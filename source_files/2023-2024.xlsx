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armjorge\Dropbox\Licitaciones\E115 2022\Licitación\Documentos compranet\"/>
    </mc:Choice>
  </mc:AlternateContent>
  <xr:revisionPtr revIDLastSave="0" documentId="13_ncr:1_{C60D9FEA-FC6E-43D2-8BE3-DDD4EAE11C8E}" xr6:coauthVersionLast="47" xr6:coauthVersionMax="47" xr10:uidLastSave="{00000000-0000-0000-0000-000000000000}"/>
  <bookViews>
    <workbookView xWindow="-120" yWindow="-120" windowWidth="20730" windowHeight="11040" xr2:uid="{00000000-000D-0000-FFFF-FFFF00000000}"/>
  </bookViews>
  <sheets>
    <sheet name="1 Demanda Agregada" sheetId="1" r:id="rId1"/>
    <sheet name="1.1 Detalle CCINSHAE" sheetId="3" r:id="rId2"/>
  </sheets>
  <definedNames>
    <definedName name="_xlnm._FilterDatabase" localSheetId="0" hidden="1">'1 Demanda Agregada'!$A$3:$AD$622</definedName>
    <definedName name="_xlnm._FilterDatabase" localSheetId="1" hidden="1">'1.1 Detalle CCINSHAE'!$A$3:$AZ$407</definedName>
    <definedName name="_xlnm.Print_Titles" localSheetId="0">'1 Demanda Agregada'!$A:$C,'1 Demanda Agregada'!$2:$4</definedName>
    <definedName name="_xlnm.Print_Titles" localSheetId="1">'1.1 Detalle CCINSHAE'!$A:$C,'1.1 Detalle CCINSHAE'!$1:$4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612" i="3" l="1"/>
  <c r="AY612" i="3"/>
  <c r="AZ611" i="3"/>
  <c r="AY611" i="3"/>
  <c r="AZ610" i="3"/>
  <c r="AY610" i="3"/>
  <c r="AZ609" i="3"/>
  <c r="AY609" i="3"/>
  <c r="AZ608" i="3"/>
  <c r="AY608" i="3"/>
  <c r="AZ607" i="3"/>
  <c r="AY607" i="3"/>
  <c r="AZ606" i="3"/>
  <c r="AY606" i="3"/>
  <c r="AZ605" i="3"/>
  <c r="AY605" i="3"/>
  <c r="AZ604" i="3"/>
  <c r="AY604" i="3"/>
  <c r="AZ603" i="3"/>
  <c r="AY603" i="3"/>
  <c r="AZ602" i="3"/>
  <c r="AY602" i="3"/>
  <c r="AZ601" i="3"/>
  <c r="AY601" i="3"/>
  <c r="AZ600" i="3"/>
  <c r="AY600" i="3"/>
  <c r="AZ599" i="3"/>
  <c r="AY599" i="3"/>
  <c r="AZ598" i="3"/>
  <c r="AY598" i="3"/>
  <c r="AZ597" i="3"/>
  <c r="AY597" i="3"/>
  <c r="AZ596" i="3"/>
  <c r="AY596" i="3"/>
  <c r="AZ595" i="3"/>
  <c r="AY595" i="3"/>
  <c r="AZ594" i="3"/>
  <c r="AY594" i="3"/>
  <c r="AZ593" i="3"/>
  <c r="AY593" i="3"/>
  <c r="AZ592" i="3"/>
  <c r="AY592" i="3"/>
  <c r="AZ591" i="3"/>
  <c r="AY591" i="3"/>
  <c r="AZ590" i="3"/>
  <c r="AY590" i="3"/>
  <c r="AZ589" i="3"/>
  <c r="AY589" i="3"/>
  <c r="AZ588" i="3"/>
  <c r="AY588" i="3"/>
  <c r="AZ587" i="3"/>
  <c r="AY587" i="3"/>
  <c r="AZ586" i="3"/>
  <c r="AY586" i="3"/>
  <c r="AZ585" i="3"/>
  <c r="AY585" i="3"/>
  <c r="AZ584" i="3"/>
  <c r="AY584" i="3"/>
  <c r="AZ583" i="3"/>
  <c r="AY583" i="3"/>
  <c r="AZ582" i="3"/>
  <c r="AY582" i="3"/>
  <c r="AZ581" i="3"/>
  <c r="AY581" i="3"/>
  <c r="AZ580" i="3"/>
  <c r="AY580" i="3"/>
  <c r="AZ579" i="3"/>
  <c r="AY579" i="3"/>
  <c r="AZ578" i="3"/>
  <c r="AY578" i="3"/>
  <c r="AZ577" i="3"/>
  <c r="AY577" i="3"/>
  <c r="AZ576" i="3"/>
  <c r="AY576" i="3"/>
  <c r="AZ575" i="3"/>
  <c r="AY575" i="3"/>
  <c r="AZ574" i="3"/>
  <c r="AY574" i="3"/>
  <c r="AZ573" i="3"/>
  <c r="AY573" i="3"/>
  <c r="AZ572" i="3"/>
  <c r="AY572" i="3"/>
  <c r="AZ571" i="3"/>
  <c r="AY571" i="3"/>
  <c r="AZ570" i="3"/>
  <c r="AY570" i="3"/>
  <c r="AZ569" i="3"/>
  <c r="AY569" i="3"/>
  <c r="AZ568" i="3"/>
  <c r="AY568" i="3"/>
  <c r="AZ567" i="3"/>
  <c r="AY567" i="3"/>
  <c r="AZ566" i="3"/>
  <c r="AY566" i="3"/>
  <c r="AZ565" i="3"/>
  <c r="AY565" i="3"/>
  <c r="AZ564" i="3"/>
  <c r="AY564" i="3"/>
  <c r="AZ563" i="3"/>
  <c r="AY563" i="3"/>
  <c r="AZ562" i="3"/>
  <c r="AY562" i="3"/>
  <c r="AZ561" i="3"/>
  <c r="AY561" i="3"/>
  <c r="AZ560" i="3"/>
  <c r="AY560" i="3"/>
  <c r="AZ559" i="3"/>
  <c r="AY559" i="3"/>
  <c r="AZ558" i="3"/>
  <c r="AY558" i="3"/>
  <c r="AZ557" i="3"/>
  <c r="AY557" i="3"/>
  <c r="AZ556" i="3"/>
  <c r="AY556" i="3"/>
  <c r="AZ555" i="3"/>
  <c r="AY555" i="3"/>
  <c r="AZ554" i="3"/>
  <c r="AY554" i="3"/>
  <c r="AZ553" i="3"/>
  <c r="AY553" i="3"/>
  <c r="AZ552" i="3"/>
  <c r="AY552" i="3"/>
  <c r="AZ551" i="3"/>
  <c r="AY551" i="3"/>
  <c r="AZ550" i="3"/>
  <c r="AY550" i="3"/>
  <c r="AZ549" i="3"/>
  <c r="AY549" i="3"/>
  <c r="AZ548" i="3"/>
  <c r="AY548" i="3"/>
  <c r="AZ547" i="3"/>
  <c r="AY547" i="3"/>
  <c r="AZ546" i="3"/>
  <c r="AY546" i="3"/>
  <c r="AZ545" i="3"/>
  <c r="AY545" i="3"/>
  <c r="AZ544" i="3"/>
  <c r="AY544" i="3"/>
  <c r="AZ543" i="3"/>
  <c r="AY543" i="3"/>
  <c r="AZ542" i="3"/>
  <c r="AY542" i="3"/>
  <c r="AZ541" i="3"/>
  <c r="AY541" i="3"/>
  <c r="AZ540" i="3"/>
  <c r="AY540" i="3"/>
  <c r="AZ539" i="3"/>
  <c r="AY539" i="3"/>
  <c r="AZ538" i="3"/>
  <c r="AY538" i="3"/>
  <c r="AZ537" i="3"/>
  <c r="AY537" i="3"/>
  <c r="AZ536" i="3"/>
  <c r="AY536" i="3"/>
  <c r="AZ535" i="3"/>
  <c r="AY535" i="3"/>
  <c r="AZ534" i="3"/>
  <c r="AY534" i="3"/>
  <c r="AZ533" i="3"/>
  <c r="AY533" i="3"/>
  <c r="AZ532" i="3"/>
  <c r="AY532" i="3"/>
  <c r="AZ531" i="3"/>
  <c r="AY531" i="3"/>
  <c r="AZ530" i="3"/>
  <c r="AY530" i="3"/>
  <c r="AZ529" i="3"/>
  <c r="AY529" i="3"/>
  <c r="AZ528" i="3"/>
  <c r="AY528" i="3"/>
  <c r="AZ527" i="3"/>
  <c r="AY527" i="3"/>
  <c r="AZ526" i="3"/>
  <c r="AY526" i="3"/>
  <c r="AZ525" i="3"/>
  <c r="AY525" i="3"/>
  <c r="AZ524" i="3"/>
  <c r="AY524" i="3"/>
  <c r="AZ523" i="3"/>
  <c r="AY523" i="3"/>
  <c r="AZ522" i="3"/>
  <c r="AY522" i="3"/>
  <c r="AZ521" i="3"/>
  <c r="AY521" i="3"/>
  <c r="AZ520" i="3"/>
  <c r="AY520" i="3"/>
  <c r="AZ519" i="3"/>
  <c r="AY519" i="3"/>
  <c r="AZ518" i="3"/>
  <c r="AY518" i="3"/>
  <c r="AZ517" i="3"/>
  <c r="AY517" i="3"/>
  <c r="AZ516" i="3"/>
  <c r="AY516" i="3"/>
  <c r="AZ515" i="3"/>
  <c r="AY515" i="3"/>
  <c r="AZ514" i="3"/>
  <c r="AY514" i="3"/>
  <c r="AZ513" i="3"/>
  <c r="AY513" i="3"/>
  <c r="AZ512" i="3"/>
  <c r="AY512" i="3"/>
  <c r="AZ511" i="3"/>
  <c r="AY511" i="3"/>
  <c r="AZ510" i="3"/>
  <c r="AY510" i="3"/>
  <c r="AZ509" i="3"/>
  <c r="AY509" i="3"/>
  <c r="AZ508" i="3"/>
  <c r="AY508" i="3"/>
  <c r="AZ507" i="3"/>
  <c r="AY507" i="3"/>
  <c r="AZ506" i="3"/>
  <c r="AY506" i="3"/>
  <c r="AZ505" i="3"/>
  <c r="AY505" i="3"/>
  <c r="AZ504" i="3"/>
  <c r="AY504" i="3"/>
  <c r="AZ503" i="3"/>
  <c r="AY503" i="3"/>
  <c r="AZ502" i="3"/>
  <c r="AY502" i="3"/>
  <c r="AZ501" i="3"/>
  <c r="AY501" i="3"/>
  <c r="AZ500" i="3"/>
  <c r="AY500" i="3"/>
  <c r="AZ499" i="3"/>
  <c r="AY499" i="3"/>
  <c r="AZ498" i="3"/>
  <c r="AY498" i="3"/>
  <c r="AZ497" i="3"/>
  <c r="AY497" i="3"/>
  <c r="AZ496" i="3"/>
  <c r="AY496" i="3"/>
  <c r="AZ495" i="3"/>
  <c r="AY495" i="3"/>
  <c r="AZ494" i="3"/>
  <c r="AY494" i="3"/>
  <c r="AZ493" i="3"/>
  <c r="AY493" i="3"/>
  <c r="AZ492" i="3"/>
  <c r="AY492" i="3"/>
  <c r="AZ491" i="3"/>
  <c r="AY491" i="3"/>
  <c r="AZ490" i="3"/>
  <c r="AY490" i="3"/>
  <c r="AZ489" i="3"/>
  <c r="AY489" i="3"/>
  <c r="AZ488" i="3"/>
  <c r="AY488" i="3"/>
  <c r="AZ487" i="3"/>
  <c r="AY487" i="3"/>
  <c r="AZ486" i="3"/>
  <c r="AY486" i="3"/>
  <c r="AZ485" i="3"/>
  <c r="AY485" i="3"/>
  <c r="AZ484" i="3"/>
  <c r="AY484" i="3"/>
  <c r="AZ483" i="3"/>
  <c r="AY483" i="3"/>
  <c r="AZ482" i="3"/>
  <c r="AY482" i="3"/>
  <c r="AZ481" i="3"/>
  <c r="AY481" i="3"/>
  <c r="AZ480" i="3"/>
  <c r="AY480" i="3"/>
  <c r="AZ479" i="3"/>
  <c r="AY479" i="3"/>
  <c r="AZ478" i="3"/>
  <c r="AY478" i="3"/>
  <c r="AZ477" i="3"/>
  <c r="AY477" i="3"/>
  <c r="AZ476" i="3"/>
  <c r="AY476" i="3"/>
  <c r="AZ475" i="3"/>
  <c r="AY475" i="3"/>
  <c r="AZ474" i="3"/>
  <c r="AY474" i="3"/>
  <c r="AZ473" i="3"/>
  <c r="AY473" i="3"/>
  <c r="AZ472" i="3"/>
  <c r="AY472" i="3"/>
  <c r="AZ471" i="3"/>
  <c r="AY471" i="3"/>
  <c r="AZ470" i="3"/>
  <c r="AY470" i="3"/>
  <c r="AZ469" i="3"/>
  <c r="AY469" i="3"/>
  <c r="AZ468" i="3"/>
  <c r="AY468" i="3"/>
  <c r="AZ467" i="3"/>
  <c r="AY467" i="3"/>
  <c r="AZ466" i="3"/>
  <c r="AY466" i="3"/>
  <c r="AZ465" i="3"/>
  <c r="AY465" i="3"/>
  <c r="AZ464" i="3"/>
  <c r="AY464" i="3"/>
  <c r="AZ463" i="3"/>
  <c r="AY463" i="3"/>
  <c r="AZ462" i="3"/>
  <c r="AY462" i="3"/>
  <c r="AZ461" i="3"/>
  <c r="AY461" i="3"/>
  <c r="AZ460" i="3"/>
  <c r="AY460" i="3"/>
  <c r="AZ459" i="3"/>
  <c r="AY459" i="3"/>
  <c r="AZ458" i="3"/>
  <c r="AY458" i="3"/>
  <c r="AZ457" i="3"/>
  <c r="AY457" i="3"/>
  <c r="AZ456" i="3"/>
  <c r="AY456" i="3"/>
  <c r="AZ455" i="3"/>
  <c r="AY455" i="3"/>
  <c r="AZ454" i="3"/>
  <c r="AY454" i="3"/>
  <c r="AZ453" i="3"/>
  <c r="AY453" i="3"/>
  <c r="AZ452" i="3"/>
  <c r="AY452" i="3"/>
  <c r="AZ451" i="3"/>
  <c r="AY451" i="3"/>
  <c r="AZ450" i="3"/>
  <c r="AY450" i="3"/>
  <c r="AZ449" i="3"/>
  <c r="AY449" i="3"/>
  <c r="AZ448" i="3"/>
  <c r="AY448" i="3"/>
  <c r="AZ447" i="3"/>
  <c r="AY447" i="3"/>
  <c r="AZ446" i="3"/>
  <c r="AY446" i="3"/>
  <c r="AZ445" i="3"/>
  <c r="AY445" i="3"/>
  <c r="AZ444" i="3"/>
  <c r="AY444" i="3"/>
  <c r="AZ443" i="3"/>
  <c r="AY443" i="3"/>
  <c r="AZ442" i="3"/>
  <c r="AY442" i="3"/>
  <c r="AZ441" i="3"/>
  <c r="AY441" i="3"/>
  <c r="AZ440" i="3"/>
  <c r="AY440" i="3"/>
  <c r="AZ439" i="3"/>
  <c r="AY439" i="3"/>
  <c r="AZ438" i="3"/>
  <c r="AY438" i="3"/>
  <c r="AZ437" i="3"/>
  <c r="AY437" i="3"/>
  <c r="AZ436" i="3"/>
  <c r="AY436" i="3"/>
  <c r="AZ435" i="3"/>
  <c r="AY435" i="3"/>
  <c r="AZ434" i="3"/>
  <c r="AY434" i="3"/>
  <c r="AZ433" i="3"/>
  <c r="AY433" i="3"/>
  <c r="AZ432" i="3"/>
  <c r="AY432" i="3"/>
  <c r="AZ431" i="3"/>
  <c r="AY431" i="3"/>
  <c r="AZ430" i="3"/>
  <c r="AY430" i="3"/>
  <c r="AZ429" i="3"/>
  <c r="AY429" i="3"/>
  <c r="AZ428" i="3"/>
  <c r="AY428" i="3"/>
  <c r="AZ427" i="3"/>
  <c r="AY427" i="3"/>
  <c r="AZ426" i="3"/>
  <c r="AY426" i="3"/>
  <c r="AZ425" i="3"/>
  <c r="AY425" i="3"/>
  <c r="AZ424" i="3"/>
  <c r="AY424" i="3"/>
  <c r="AZ423" i="3"/>
  <c r="AY423" i="3"/>
  <c r="AZ422" i="3"/>
  <c r="AY422" i="3"/>
  <c r="AZ421" i="3"/>
  <c r="AY421" i="3"/>
  <c r="AZ420" i="3"/>
  <c r="AY420" i="3"/>
  <c r="AZ419" i="3"/>
  <c r="AY419" i="3"/>
  <c r="AZ418" i="3"/>
  <c r="AY418" i="3"/>
  <c r="AZ417" i="3"/>
  <c r="AY417" i="3"/>
  <c r="AZ416" i="3"/>
  <c r="AY416" i="3"/>
  <c r="AZ415" i="3"/>
  <c r="AY415" i="3"/>
  <c r="AZ414" i="3"/>
  <c r="AY414" i="3"/>
  <c r="AZ413" i="3"/>
  <c r="AY413" i="3"/>
  <c r="AZ412" i="3"/>
  <c r="AY412" i="3"/>
  <c r="AZ411" i="3"/>
  <c r="AY411" i="3"/>
  <c r="AZ410" i="3"/>
  <c r="AY410" i="3"/>
  <c r="AZ409" i="3"/>
  <c r="AY409" i="3"/>
  <c r="AZ408" i="3"/>
  <c r="AY408"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C4" i="3"/>
  <c r="AD622" i="1"/>
  <c r="AC622" i="1"/>
  <c r="AD621" i="1"/>
  <c r="AC621" i="1"/>
  <c r="AD620" i="1"/>
  <c r="AC620" i="1"/>
  <c r="AD619" i="1"/>
  <c r="AC619" i="1"/>
  <c r="AD618" i="1"/>
  <c r="AC618" i="1"/>
  <c r="AD617" i="1"/>
  <c r="AC617" i="1"/>
  <c r="AD616" i="1"/>
  <c r="AC616" i="1"/>
  <c r="AD615" i="1"/>
  <c r="AC615" i="1"/>
  <c r="AD614" i="1"/>
  <c r="AC614" i="1"/>
  <c r="AD613" i="1"/>
  <c r="AC613" i="1"/>
  <c r="AD612" i="1"/>
  <c r="AC612" i="1"/>
  <c r="AD611" i="1"/>
  <c r="AC611" i="1"/>
  <c r="AD610" i="1"/>
  <c r="AC610" i="1"/>
  <c r="AD609" i="1"/>
  <c r="AC609" i="1"/>
  <c r="AD608" i="1"/>
  <c r="AC608" i="1"/>
  <c r="AD607" i="1"/>
  <c r="AC607" i="1"/>
  <c r="AD606" i="1"/>
  <c r="AC606" i="1"/>
  <c r="AD605" i="1"/>
  <c r="AC605" i="1"/>
  <c r="AD604" i="1"/>
  <c r="AC604" i="1"/>
  <c r="AD603" i="1"/>
  <c r="AC603" i="1"/>
  <c r="AD602" i="1"/>
  <c r="AC602" i="1"/>
  <c r="AD601" i="1"/>
  <c r="AC601" i="1"/>
  <c r="AD600" i="1"/>
  <c r="AC600" i="1"/>
  <c r="AD599" i="1"/>
  <c r="AC599" i="1"/>
  <c r="AD598" i="1"/>
  <c r="AC598" i="1"/>
  <c r="AD597" i="1"/>
  <c r="AC597" i="1"/>
  <c r="AD596" i="1"/>
  <c r="AC596" i="1"/>
  <c r="AD595" i="1"/>
  <c r="AC595" i="1"/>
  <c r="AD594" i="1"/>
  <c r="AC594" i="1"/>
  <c r="AD593" i="1"/>
  <c r="AC593" i="1"/>
  <c r="AD592" i="1"/>
  <c r="AC592" i="1"/>
  <c r="AD591" i="1"/>
  <c r="AC591" i="1"/>
  <c r="AD590" i="1"/>
  <c r="AC590" i="1"/>
  <c r="AD589" i="1"/>
  <c r="AC589" i="1"/>
  <c r="AD588" i="1"/>
  <c r="AC588" i="1"/>
  <c r="AD587" i="1"/>
  <c r="AC587" i="1"/>
  <c r="AD586" i="1"/>
  <c r="AC586" i="1"/>
  <c r="AD585" i="1"/>
  <c r="AC585" i="1"/>
  <c r="AD584" i="1"/>
  <c r="AC584" i="1"/>
  <c r="AD583" i="1"/>
  <c r="AC583" i="1"/>
  <c r="AD582" i="1"/>
  <c r="AC582" i="1"/>
  <c r="AD581" i="1"/>
  <c r="AC581" i="1"/>
  <c r="AD580" i="1"/>
  <c r="AC580" i="1"/>
  <c r="AD579" i="1"/>
  <c r="AC579" i="1"/>
  <c r="AD578" i="1"/>
  <c r="AC578" i="1"/>
  <c r="AD577" i="1"/>
  <c r="AC577" i="1"/>
  <c r="AD576" i="1"/>
  <c r="AC576" i="1"/>
  <c r="AD575" i="1"/>
  <c r="AC575" i="1"/>
  <c r="AD574" i="1"/>
  <c r="AC574" i="1"/>
  <c r="AD573" i="1"/>
  <c r="AC573" i="1"/>
  <c r="AD572" i="1"/>
  <c r="AC572" i="1"/>
  <c r="AD571" i="1"/>
  <c r="AC571" i="1"/>
  <c r="AD570" i="1"/>
  <c r="AC570" i="1"/>
  <c r="AD569" i="1"/>
  <c r="AC569" i="1"/>
  <c r="AD568" i="1"/>
  <c r="AC568" i="1"/>
  <c r="AD567" i="1"/>
  <c r="AC567" i="1"/>
  <c r="AD566" i="1"/>
  <c r="AC566" i="1"/>
  <c r="AD565" i="1"/>
  <c r="AC565" i="1"/>
  <c r="AD564" i="1"/>
  <c r="AC564" i="1"/>
  <c r="AD563" i="1"/>
  <c r="AC563" i="1"/>
  <c r="AD562" i="1"/>
  <c r="AC562" i="1"/>
  <c r="AD561" i="1"/>
  <c r="AC561" i="1"/>
  <c r="AD560" i="1"/>
  <c r="AC560" i="1"/>
  <c r="AD559" i="1"/>
  <c r="AC559" i="1"/>
  <c r="AD558" i="1"/>
  <c r="AC558" i="1"/>
  <c r="AD557" i="1"/>
  <c r="AC557" i="1"/>
  <c r="AD556" i="1"/>
  <c r="AC556" i="1"/>
  <c r="AD555" i="1"/>
  <c r="AC555" i="1"/>
  <c r="AD554" i="1"/>
  <c r="AC554" i="1"/>
  <c r="AD553" i="1"/>
  <c r="AC553" i="1"/>
  <c r="AD552" i="1"/>
  <c r="AC552" i="1"/>
  <c r="AD551" i="1"/>
  <c r="AC551" i="1"/>
  <c r="AD550" i="1"/>
  <c r="AC550" i="1"/>
  <c r="AD549" i="1"/>
  <c r="AC549" i="1"/>
  <c r="AD548" i="1"/>
  <c r="AC548" i="1"/>
  <c r="AD547" i="1"/>
  <c r="AC547" i="1"/>
  <c r="AD546" i="1"/>
  <c r="AC546" i="1"/>
  <c r="AD545" i="1"/>
  <c r="AC545" i="1"/>
  <c r="AD544" i="1"/>
  <c r="AC544" i="1"/>
  <c r="AD543" i="1"/>
  <c r="AC543" i="1"/>
  <c r="AD542" i="1"/>
  <c r="AC542" i="1"/>
  <c r="AD541" i="1"/>
  <c r="AC541" i="1"/>
  <c r="AD540" i="1"/>
  <c r="AC540" i="1"/>
  <c r="AD539" i="1"/>
  <c r="AC539" i="1"/>
  <c r="AD538" i="1"/>
  <c r="AC538" i="1"/>
  <c r="AD537" i="1"/>
  <c r="AC537" i="1"/>
  <c r="AD536" i="1"/>
  <c r="AC536" i="1"/>
  <c r="AD535" i="1"/>
  <c r="AC535" i="1"/>
  <c r="AD534" i="1"/>
  <c r="AC534" i="1"/>
  <c r="AD533" i="1"/>
  <c r="AC533" i="1"/>
  <c r="AD532" i="1"/>
  <c r="AC532" i="1"/>
  <c r="AD531" i="1"/>
  <c r="AC531" i="1"/>
  <c r="AD530" i="1"/>
  <c r="AC530" i="1"/>
  <c r="AD529" i="1"/>
  <c r="AC529" i="1"/>
  <c r="AD528" i="1"/>
  <c r="AC528" i="1"/>
  <c r="AD527" i="1"/>
  <c r="AC527" i="1"/>
  <c r="AD526" i="1"/>
  <c r="AC526" i="1"/>
  <c r="AD525" i="1"/>
  <c r="AC525" i="1"/>
  <c r="AD524" i="1"/>
  <c r="AC524" i="1"/>
  <c r="AD523" i="1"/>
  <c r="AC523" i="1"/>
  <c r="AD522" i="1"/>
  <c r="AC522" i="1"/>
  <c r="AD521" i="1"/>
  <c r="AC521" i="1"/>
  <c r="AD520" i="1"/>
  <c r="AC520" i="1"/>
  <c r="AD519" i="1"/>
  <c r="AC519" i="1"/>
  <c r="AD518" i="1"/>
  <c r="AC518" i="1"/>
  <c r="AD517" i="1"/>
  <c r="AC517" i="1"/>
  <c r="AD516" i="1"/>
  <c r="AC516" i="1"/>
  <c r="AD515" i="1"/>
  <c r="AC515" i="1"/>
  <c r="AD514" i="1"/>
  <c r="AC514" i="1"/>
  <c r="AD513" i="1"/>
  <c r="AC513" i="1"/>
  <c r="AD512" i="1"/>
  <c r="AC512" i="1"/>
  <c r="AD511" i="1"/>
  <c r="AC511" i="1"/>
  <c r="AD510" i="1"/>
  <c r="AC510" i="1"/>
  <c r="AD509" i="1"/>
  <c r="AC509" i="1"/>
  <c r="AD508" i="1"/>
  <c r="AC508" i="1"/>
  <c r="AD507" i="1"/>
  <c r="AC507" i="1"/>
  <c r="AD506" i="1"/>
  <c r="AC506" i="1"/>
  <c r="AD505" i="1"/>
  <c r="AC505" i="1"/>
  <c r="AD504" i="1"/>
  <c r="AC504" i="1"/>
  <c r="AD503" i="1"/>
  <c r="AC503" i="1"/>
  <c r="AD502" i="1"/>
  <c r="AC502" i="1"/>
  <c r="AD501" i="1"/>
  <c r="AC501" i="1"/>
  <c r="AD500" i="1"/>
  <c r="AC500" i="1"/>
  <c r="AD499" i="1"/>
  <c r="AC499" i="1"/>
  <c r="AD498" i="1"/>
  <c r="AC498" i="1"/>
  <c r="AD497" i="1"/>
  <c r="AC497" i="1"/>
  <c r="AD496" i="1"/>
  <c r="AC496" i="1"/>
  <c r="AD495" i="1"/>
  <c r="AC495" i="1"/>
  <c r="AD494" i="1"/>
  <c r="AC494" i="1"/>
  <c r="AD493" i="1"/>
  <c r="AC493" i="1"/>
  <c r="AD492" i="1"/>
  <c r="AC492" i="1"/>
  <c r="AD491" i="1"/>
  <c r="AC491" i="1"/>
  <c r="AD490" i="1"/>
  <c r="AC490" i="1"/>
  <c r="AD489" i="1"/>
  <c r="AC489" i="1"/>
  <c r="AD488" i="1"/>
  <c r="AC488" i="1"/>
  <c r="AD487" i="1"/>
  <c r="AC487" i="1"/>
  <c r="AD486" i="1"/>
  <c r="AC486" i="1"/>
  <c r="AD485" i="1"/>
  <c r="AC485" i="1"/>
  <c r="AD484" i="1"/>
  <c r="AC484" i="1"/>
  <c r="AD483" i="1"/>
  <c r="AC483" i="1"/>
  <c r="AD482" i="1"/>
  <c r="AC482" i="1"/>
  <c r="AD481" i="1"/>
  <c r="AC481" i="1"/>
  <c r="AD480" i="1"/>
  <c r="AC480" i="1"/>
  <c r="AD479" i="1"/>
  <c r="AC479" i="1"/>
  <c r="AD478" i="1"/>
  <c r="AC478" i="1"/>
  <c r="AD477" i="1"/>
  <c r="AC477" i="1"/>
  <c r="AD476" i="1"/>
  <c r="AC476" i="1"/>
  <c r="AD475" i="1"/>
  <c r="AC475" i="1"/>
  <c r="AD474" i="1"/>
  <c r="AC474" i="1"/>
  <c r="AD473" i="1"/>
  <c r="AC473" i="1"/>
  <c r="AD472" i="1"/>
  <c r="AC472" i="1"/>
  <c r="AD471" i="1"/>
  <c r="AC471" i="1"/>
  <c r="AD470" i="1"/>
  <c r="AC470" i="1"/>
  <c r="AD469" i="1"/>
  <c r="AC469" i="1"/>
  <c r="AD468" i="1"/>
  <c r="AC468" i="1"/>
  <c r="AD467" i="1"/>
  <c r="AC467" i="1"/>
  <c r="AD466" i="1"/>
  <c r="AC466" i="1"/>
  <c r="AD465" i="1"/>
  <c r="AC465" i="1"/>
  <c r="AD464" i="1"/>
  <c r="AC464" i="1"/>
  <c r="AD463" i="1"/>
  <c r="AC463" i="1"/>
  <c r="AD462" i="1"/>
  <c r="AC462" i="1"/>
  <c r="AD461" i="1"/>
  <c r="AC461" i="1"/>
  <c r="AD460" i="1"/>
  <c r="AC460" i="1"/>
  <c r="AD459" i="1"/>
  <c r="AC459" i="1"/>
  <c r="AD458" i="1"/>
  <c r="AC458" i="1"/>
  <c r="AD457" i="1"/>
  <c r="AC457" i="1"/>
  <c r="AD456" i="1"/>
  <c r="AC456" i="1"/>
  <c r="AD455" i="1"/>
  <c r="AC455" i="1"/>
  <c r="AD454" i="1"/>
  <c r="AC454" i="1"/>
  <c r="AD453" i="1"/>
  <c r="AC453" i="1"/>
  <c r="AD452" i="1"/>
  <c r="AC452" i="1"/>
  <c r="AD451" i="1"/>
  <c r="AC451" i="1"/>
  <c r="AD450" i="1"/>
  <c r="AC450" i="1"/>
  <c r="AD449" i="1"/>
  <c r="AC449" i="1"/>
  <c r="AD448" i="1"/>
  <c r="AC448" i="1"/>
  <c r="AD447" i="1"/>
  <c r="AC447" i="1"/>
  <c r="AD446" i="1"/>
  <c r="AC446" i="1"/>
  <c r="AD445" i="1"/>
  <c r="AC445" i="1"/>
  <c r="AD444" i="1"/>
  <c r="AC444" i="1"/>
  <c r="AD443" i="1"/>
  <c r="AC443" i="1"/>
  <c r="AD442" i="1"/>
  <c r="AC442" i="1"/>
  <c r="AD441" i="1"/>
  <c r="AC441" i="1"/>
  <c r="AD440" i="1"/>
  <c r="AC440" i="1"/>
  <c r="AD439" i="1"/>
  <c r="AC439" i="1"/>
  <c r="AD438" i="1"/>
  <c r="AC438" i="1"/>
  <c r="AD437" i="1"/>
  <c r="AC437" i="1"/>
  <c r="AD436" i="1"/>
  <c r="AC436" i="1"/>
  <c r="AD435" i="1"/>
  <c r="AC435" i="1"/>
  <c r="AD434" i="1"/>
  <c r="AC434" i="1"/>
  <c r="AD433" i="1"/>
  <c r="AC433" i="1"/>
  <c r="AD432" i="1"/>
  <c r="AC432" i="1"/>
  <c r="AD431" i="1"/>
  <c r="AC431" i="1"/>
  <c r="AD430" i="1"/>
  <c r="AC430" i="1"/>
  <c r="AD429" i="1"/>
  <c r="AC429" i="1"/>
  <c r="AD428" i="1"/>
  <c r="AC428" i="1"/>
  <c r="AD427" i="1"/>
  <c r="AC427" i="1"/>
  <c r="AD426" i="1"/>
  <c r="AC426" i="1"/>
  <c r="AD425" i="1"/>
  <c r="AC425" i="1"/>
  <c r="AD424" i="1"/>
  <c r="AC424" i="1"/>
  <c r="AD423" i="1"/>
  <c r="AC423" i="1"/>
  <c r="AD422" i="1"/>
  <c r="AC422" i="1"/>
  <c r="AD421" i="1"/>
  <c r="AC421" i="1"/>
  <c r="AD420" i="1"/>
  <c r="AC420" i="1"/>
  <c r="AD419" i="1"/>
  <c r="AC419" i="1"/>
  <c r="AD418" i="1"/>
  <c r="AC418" i="1"/>
  <c r="AD417" i="1"/>
  <c r="AC417" i="1"/>
  <c r="AD416" i="1"/>
  <c r="AC416" i="1"/>
  <c r="AD415" i="1"/>
  <c r="AC415" i="1"/>
  <c r="AD414" i="1"/>
  <c r="AC414" i="1"/>
  <c r="AD413" i="1"/>
  <c r="AC413" i="1"/>
  <c r="AD412" i="1"/>
  <c r="AC412" i="1"/>
  <c r="AD411" i="1"/>
  <c r="AC411" i="1"/>
  <c r="AD410" i="1"/>
  <c r="AC410" i="1"/>
  <c r="AD409" i="1"/>
  <c r="AC409" i="1"/>
  <c r="AD408" i="1"/>
  <c r="AC408" i="1"/>
  <c r="AD407" i="1"/>
  <c r="AC407" i="1"/>
  <c r="AD406" i="1"/>
  <c r="AC406" i="1"/>
  <c r="AD405" i="1"/>
  <c r="AC405" i="1"/>
  <c r="AD404" i="1"/>
  <c r="AC404" i="1"/>
  <c r="AD403" i="1"/>
  <c r="AC403" i="1"/>
  <c r="AD402" i="1"/>
  <c r="AC402" i="1"/>
  <c r="AD401" i="1"/>
  <c r="AC401" i="1"/>
  <c r="AD400" i="1"/>
  <c r="AC400" i="1"/>
  <c r="AD399" i="1"/>
  <c r="AC399" i="1"/>
  <c r="AD398" i="1"/>
  <c r="AC398" i="1"/>
  <c r="AD397" i="1"/>
  <c r="AC397" i="1"/>
  <c r="AD396" i="1"/>
  <c r="AC396" i="1"/>
  <c r="AD395" i="1"/>
  <c r="AC395" i="1"/>
  <c r="AD394" i="1"/>
  <c r="AC394" i="1"/>
  <c r="AD393" i="1"/>
  <c r="AC393" i="1"/>
  <c r="AD392" i="1"/>
  <c r="AC392" i="1"/>
  <c r="AD391" i="1"/>
  <c r="AC391" i="1"/>
  <c r="AD390" i="1"/>
  <c r="AC390" i="1"/>
  <c r="AD389" i="1"/>
  <c r="AC389" i="1"/>
  <c r="AD388" i="1"/>
  <c r="AC388" i="1"/>
  <c r="AD387" i="1"/>
  <c r="AC387" i="1"/>
  <c r="AD386" i="1"/>
  <c r="AC386" i="1"/>
  <c r="AD385" i="1"/>
  <c r="AC385" i="1"/>
  <c r="AD384" i="1"/>
  <c r="AC384" i="1"/>
  <c r="AD383" i="1"/>
  <c r="AC383" i="1"/>
  <c r="AD382" i="1"/>
  <c r="AC382" i="1"/>
  <c r="AD381" i="1"/>
  <c r="AC381" i="1"/>
  <c r="AD380" i="1"/>
  <c r="AC380" i="1"/>
  <c r="AD379" i="1"/>
  <c r="AC379" i="1"/>
  <c r="AD378" i="1"/>
  <c r="AC378" i="1"/>
  <c r="AD377" i="1"/>
  <c r="AC377" i="1"/>
  <c r="AD376" i="1"/>
  <c r="AC376" i="1"/>
  <c r="AD375" i="1"/>
  <c r="AC375" i="1"/>
  <c r="AD374" i="1"/>
  <c r="AC374" i="1"/>
  <c r="AD373" i="1"/>
  <c r="AC373" i="1"/>
  <c r="AD372" i="1"/>
  <c r="AC372" i="1"/>
  <c r="AD371" i="1"/>
  <c r="AC371" i="1"/>
  <c r="AD370" i="1"/>
  <c r="AC370" i="1"/>
  <c r="AD369" i="1"/>
  <c r="AC369" i="1"/>
  <c r="AD368" i="1"/>
  <c r="AC368" i="1"/>
  <c r="AD367" i="1"/>
  <c r="AC367" i="1"/>
  <c r="AD366" i="1"/>
  <c r="AC366" i="1"/>
  <c r="AD365" i="1"/>
  <c r="AC365" i="1"/>
  <c r="AD364" i="1"/>
  <c r="AC364" i="1"/>
  <c r="AD363" i="1"/>
  <c r="AC363" i="1"/>
  <c r="AD362" i="1"/>
  <c r="AC362" i="1"/>
  <c r="AD361" i="1"/>
  <c r="AC361" i="1"/>
  <c r="AD360" i="1"/>
  <c r="AC360" i="1"/>
  <c r="AD359" i="1"/>
  <c r="AC359" i="1"/>
  <c r="AD358" i="1"/>
  <c r="AC358" i="1"/>
  <c r="AD357" i="1"/>
  <c r="AC357" i="1"/>
  <c r="AD356" i="1"/>
  <c r="AC356" i="1"/>
  <c r="AD355" i="1"/>
  <c r="AC355" i="1"/>
  <c r="AD354" i="1"/>
  <c r="AC354" i="1"/>
  <c r="AD353" i="1"/>
  <c r="AC353" i="1"/>
  <c r="AD352" i="1"/>
  <c r="AC352" i="1"/>
  <c r="AD351" i="1"/>
  <c r="AC351" i="1"/>
  <c r="AD350" i="1"/>
  <c r="AC350" i="1"/>
  <c r="AD349" i="1"/>
  <c r="AC349" i="1"/>
  <c r="AD348" i="1"/>
  <c r="AC348" i="1"/>
  <c r="AD347" i="1"/>
  <c r="AC347" i="1"/>
  <c r="AD346" i="1"/>
  <c r="AC346" i="1"/>
  <c r="AD345" i="1"/>
  <c r="AC345" i="1"/>
  <c r="AD344" i="1"/>
  <c r="AC344" i="1"/>
  <c r="AD343" i="1"/>
  <c r="AC343" i="1"/>
  <c r="AD342" i="1"/>
  <c r="AC342" i="1"/>
  <c r="AD341" i="1"/>
  <c r="AC341" i="1"/>
  <c r="AD340" i="1"/>
  <c r="AC340" i="1"/>
  <c r="AD339" i="1"/>
  <c r="AC339" i="1"/>
  <c r="AD338" i="1"/>
  <c r="AC338" i="1"/>
  <c r="AD337" i="1"/>
  <c r="AC337" i="1"/>
  <c r="AD336" i="1"/>
  <c r="AC336" i="1"/>
  <c r="AD335" i="1"/>
  <c r="AC335" i="1"/>
  <c r="AD334" i="1"/>
  <c r="AC334" i="1"/>
  <c r="AD333" i="1"/>
  <c r="AC333" i="1"/>
  <c r="AD332" i="1"/>
  <c r="AC332" i="1"/>
  <c r="AD331" i="1"/>
  <c r="AC331" i="1"/>
  <c r="AD330" i="1"/>
  <c r="AC330" i="1"/>
  <c r="AD329" i="1"/>
  <c r="AC329" i="1"/>
  <c r="AD328" i="1"/>
  <c r="AC328" i="1"/>
  <c r="AD327" i="1"/>
  <c r="AC327" i="1"/>
  <c r="AD326" i="1"/>
  <c r="AC326" i="1"/>
  <c r="AD325" i="1"/>
  <c r="AC325" i="1"/>
  <c r="AD324" i="1"/>
  <c r="AC324" i="1"/>
  <c r="AD323" i="1"/>
  <c r="AC323" i="1"/>
  <c r="AD322" i="1"/>
  <c r="AC322" i="1"/>
  <c r="AD321" i="1"/>
  <c r="AC321" i="1"/>
  <c r="AD320" i="1"/>
  <c r="AC320" i="1"/>
  <c r="AD319" i="1"/>
  <c r="AC319" i="1"/>
  <c r="AD318" i="1"/>
  <c r="AC318" i="1"/>
  <c r="AD317" i="1"/>
  <c r="AC317" i="1"/>
  <c r="AD316" i="1"/>
  <c r="AC316" i="1"/>
  <c r="AD315" i="1"/>
  <c r="AC315" i="1"/>
  <c r="AD314" i="1"/>
  <c r="AC314" i="1"/>
  <c r="AD313" i="1"/>
  <c r="AC313" i="1"/>
  <c r="AD312" i="1"/>
  <c r="AC312" i="1"/>
  <c r="AD311" i="1"/>
  <c r="AC311" i="1"/>
  <c r="AD310" i="1"/>
  <c r="AC310" i="1"/>
  <c r="AD309" i="1"/>
  <c r="AC309" i="1"/>
  <c r="AD308" i="1"/>
  <c r="AC308" i="1"/>
  <c r="AD307" i="1"/>
  <c r="AC307" i="1"/>
  <c r="AD306" i="1"/>
  <c r="AC306" i="1"/>
  <c r="AD305" i="1"/>
  <c r="AC305" i="1"/>
  <c r="AD304" i="1"/>
  <c r="AC304" i="1"/>
  <c r="AD303" i="1"/>
  <c r="AC303" i="1"/>
  <c r="AD302" i="1"/>
  <c r="AC302" i="1"/>
  <c r="AD301" i="1"/>
  <c r="AC301" i="1"/>
  <c r="AD300" i="1"/>
  <c r="AC300" i="1"/>
  <c r="AD299" i="1"/>
  <c r="AC299" i="1"/>
  <c r="AD298" i="1"/>
  <c r="AC298" i="1"/>
  <c r="AD297" i="1"/>
  <c r="AC297" i="1"/>
  <c r="AD296" i="1"/>
  <c r="AC296" i="1"/>
  <c r="AD295" i="1"/>
  <c r="AC295" i="1"/>
  <c r="AD294" i="1"/>
  <c r="AC294" i="1"/>
  <c r="AD293" i="1"/>
  <c r="AC293" i="1"/>
  <c r="AD292" i="1"/>
  <c r="AC292" i="1"/>
  <c r="AD291" i="1"/>
  <c r="AC291" i="1"/>
  <c r="AD290" i="1"/>
  <c r="AC290" i="1"/>
  <c r="AD289" i="1"/>
  <c r="AC289" i="1"/>
  <c r="AD288" i="1"/>
  <c r="AC288" i="1"/>
  <c r="AD287" i="1"/>
  <c r="AC287" i="1"/>
  <c r="AD286" i="1"/>
  <c r="AC286" i="1"/>
  <c r="AD285" i="1"/>
  <c r="AC285" i="1"/>
  <c r="AD284" i="1"/>
  <c r="AC284" i="1"/>
  <c r="AD283" i="1"/>
  <c r="AC283" i="1"/>
  <c r="AD282" i="1"/>
  <c r="AC282" i="1"/>
  <c r="AD281" i="1"/>
  <c r="AC281" i="1"/>
  <c r="AD280" i="1"/>
  <c r="AC280" i="1"/>
  <c r="AD279" i="1"/>
  <c r="AC279" i="1"/>
  <c r="AD278" i="1"/>
  <c r="AC278" i="1"/>
  <c r="AD277" i="1"/>
  <c r="AC277" i="1"/>
  <c r="AD276" i="1"/>
  <c r="AC276" i="1"/>
  <c r="AD275" i="1"/>
  <c r="AC275" i="1"/>
  <c r="AD274" i="1"/>
  <c r="AC274" i="1"/>
  <c r="AD273" i="1"/>
  <c r="AC273" i="1"/>
  <c r="AD272" i="1"/>
  <c r="AC272" i="1"/>
  <c r="AD271" i="1"/>
  <c r="AC271" i="1"/>
  <c r="AD270" i="1"/>
  <c r="AC270" i="1"/>
  <c r="AD269" i="1"/>
  <c r="AC269" i="1"/>
  <c r="AD268" i="1"/>
  <c r="AC268" i="1"/>
  <c r="AD267" i="1"/>
  <c r="AC267" i="1"/>
  <c r="AD266" i="1"/>
  <c r="AC266" i="1"/>
  <c r="AD265" i="1"/>
  <c r="AC265" i="1"/>
  <c r="AD264" i="1"/>
  <c r="AC264" i="1"/>
  <c r="AD263" i="1"/>
  <c r="AC263" i="1"/>
  <c r="AD262" i="1"/>
  <c r="AC262" i="1"/>
  <c r="AD261" i="1"/>
  <c r="AC261" i="1"/>
  <c r="AD260" i="1"/>
  <c r="AC260" i="1"/>
  <c r="AD259" i="1"/>
  <c r="AC259" i="1"/>
  <c r="AD258" i="1"/>
  <c r="AC258" i="1"/>
  <c r="AD257" i="1"/>
  <c r="AC257" i="1"/>
  <c r="AD256" i="1"/>
  <c r="AC256" i="1"/>
  <c r="AD255" i="1"/>
  <c r="AC255" i="1"/>
  <c r="AD254" i="1"/>
  <c r="AC254" i="1"/>
  <c r="AD253" i="1"/>
  <c r="AC253" i="1"/>
  <c r="AD252" i="1"/>
  <c r="AC252" i="1"/>
  <c r="AD251" i="1"/>
  <c r="AC251" i="1"/>
  <c r="AD250" i="1"/>
  <c r="AC250" i="1"/>
  <c r="AD249" i="1"/>
  <c r="AC249" i="1"/>
  <c r="AD248" i="1"/>
  <c r="AC248" i="1"/>
  <c r="AD247" i="1"/>
  <c r="AC247" i="1"/>
  <c r="AD246" i="1"/>
  <c r="AC246" i="1"/>
  <c r="AD245" i="1"/>
  <c r="AC245" i="1"/>
  <c r="AD244" i="1"/>
  <c r="AC244" i="1"/>
  <c r="AD243" i="1"/>
  <c r="AC243" i="1"/>
  <c r="AD242" i="1"/>
  <c r="AC242" i="1"/>
  <c r="AD241" i="1"/>
  <c r="AC241" i="1"/>
  <c r="AD240" i="1"/>
  <c r="AC240" i="1"/>
  <c r="AD239" i="1"/>
  <c r="AC239" i="1"/>
  <c r="AD238" i="1"/>
  <c r="AC238" i="1"/>
  <c r="AD237" i="1"/>
  <c r="AC237" i="1"/>
  <c r="AD236" i="1"/>
  <c r="AC236" i="1"/>
  <c r="AD235" i="1"/>
  <c r="AC235" i="1"/>
  <c r="AD234" i="1"/>
  <c r="AC234" i="1"/>
  <c r="AD233" i="1"/>
  <c r="AC233" i="1"/>
  <c r="AD232" i="1"/>
  <c r="AC232" i="1"/>
  <c r="AD231" i="1"/>
  <c r="AC231" i="1"/>
  <c r="AD230" i="1"/>
  <c r="AC230" i="1"/>
  <c r="AD229" i="1"/>
  <c r="AC229" i="1"/>
  <c r="AD228" i="1"/>
  <c r="AC228" i="1"/>
  <c r="AD227" i="1"/>
  <c r="AC227" i="1"/>
  <c r="AD226" i="1"/>
  <c r="AC226" i="1"/>
  <c r="AD225" i="1"/>
  <c r="AC225" i="1"/>
  <c r="AD224" i="1"/>
  <c r="AC224" i="1"/>
  <c r="AD223" i="1"/>
  <c r="AC223" i="1"/>
  <c r="AD222" i="1"/>
  <c r="AC222" i="1"/>
  <c r="AD221" i="1"/>
  <c r="AC221" i="1"/>
  <c r="AD220" i="1"/>
  <c r="AC220" i="1"/>
  <c r="AD219" i="1"/>
  <c r="AC219" i="1"/>
  <c r="AD218" i="1"/>
  <c r="AC218" i="1"/>
  <c r="AD217" i="1"/>
  <c r="AC217" i="1"/>
  <c r="AD216" i="1"/>
  <c r="AC216" i="1"/>
  <c r="AD215" i="1"/>
  <c r="AC215" i="1"/>
  <c r="AD214" i="1"/>
  <c r="AC214" i="1"/>
  <c r="AD213" i="1"/>
  <c r="AC213" i="1"/>
  <c r="AD212" i="1"/>
  <c r="AC212" i="1"/>
  <c r="AD211" i="1"/>
  <c r="AC211" i="1"/>
  <c r="AD210" i="1"/>
  <c r="AC210" i="1"/>
  <c r="AD209" i="1"/>
  <c r="AC209" i="1"/>
  <c r="AD208" i="1"/>
  <c r="AC208" i="1"/>
  <c r="AD207" i="1"/>
  <c r="AC207" i="1"/>
  <c r="AD206" i="1"/>
  <c r="AC206" i="1"/>
  <c r="AD205" i="1"/>
  <c r="AC205" i="1"/>
  <c r="AD204" i="1"/>
  <c r="AC204" i="1"/>
  <c r="AD203" i="1"/>
  <c r="AC203" i="1"/>
  <c r="AD202" i="1"/>
  <c r="AC202" i="1"/>
  <c r="AD201" i="1"/>
  <c r="AC201" i="1"/>
  <c r="AD200" i="1"/>
  <c r="AC200" i="1"/>
  <c r="AD199" i="1"/>
  <c r="AC199" i="1"/>
  <c r="AD198" i="1"/>
  <c r="AC198" i="1"/>
  <c r="AD197" i="1"/>
  <c r="AC197" i="1"/>
  <c r="AD196" i="1"/>
  <c r="AC196" i="1"/>
  <c r="AD195" i="1"/>
  <c r="AC195" i="1"/>
  <c r="AD194" i="1"/>
  <c r="AC194" i="1"/>
  <c r="AD193" i="1"/>
  <c r="AC193" i="1"/>
  <c r="AD192" i="1"/>
  <c r="AC192" i="1"/>
  <c r="AD191" i="1"/>
  <c r="AC191" i="1"/>
  <c r="AD190" i="1"/>
  <c r="AC190" i="1"/>
  <c r="AD189" i="1"/>
  <c r="AC189" i="1"/>
  <c r="AD188" i="1"/>
  <c r="AC188" i="1"/>
  <c r="AD187" i="1"/>
  <c r="AC187" i="1"/>
  <c r="AD186" i="1"/>
  <c r="AC186" i="1"/>
  <c r="AD185" i="1"/>
  <c r="AC185" i="1"/>
  <c r="AD184" i="1"/>
  <c r="AC184" i="1"/>
  <c r="AD183" i="1"/>
  <c r="AC183" i="1"/>
  <c r="AD182" i="1"/>
  <c r="AC182" i="1"/>
  <c r="AD181" i="1"/>
  <c r="AC181" i="1"/>
  <c r="AD180" i="1"/>
  <c r="AC180" i="1"/>
  <c r="AD179" i="1"/>
  <c r="AC179" i="1"/>
  <c r="AD178" i="1"/>
  <c r="AC178" i="1"/>
  <c r="AD177" i="1"/>
  <c r="AC177" i="1"/>
  <c r="AD176" i="1"/>
  <c r="AC176" i="1"/>
  <c r="AD175" i="1"/>
  <c r="AC175" i="1"/>
  <c r="AD174" i="1"/>
  <c r="AC174" i="1"/>
  <c r="AD173" i="1"/>
  <c r="AC173" i="1"/>
  <c r="AD172" i="1"/>
  <c r="AC172" i="1"/>
  <c r="AD171" i="1"/>
  <c r="AC171" i="1"/>
  <c r="AD170" i="1"/>
  <c r="AC170" i="1"/>
  <c r="AD169" i="1"/>
  <c r="AC169" i="1"/>
  <c r="AD168" i="1"/>
  <c r="AC168" i="1"/>
  <c r="AD167" i="1"/>
  <c r="AC167" i="1"/>
  <c r="AD166" i="1"/>
  <c r="AC166" i="1"/>
  <c r="AD165" i="1"/>
  <c r="AC165" i="1"/>
  <c r="AD164" i="1"/>
  <c r="AC164" i="1"/>
  <c r="AD163" i="1"/>
  <c r="AC163" i="1"/>
  <c r="AD162" i="1"/>
  <c r="AC162" i="1"/>
  <c r="AD161" i="1"/>
  <c r="AC161" i="1"/>
  <c r="AD160" i="1"/>
  <c r="AC160" i="1"/>
  <c r="AD159" i="1"/>
  <c r="AC159" i="1"/>
  <c r="AD158" i="1"/>
  <c r="AC158" i="1"/>
  <c r="AD157" i="1"/>
  <c r="AC157" i="1"/>
  <c r="AD156" i="1"/>
  <c r="AC156" i="1"/>
  <c r="AD155" i="1"/>
  <c r="AC155" i="1"/>
  <c r="AD154" i="1"/>
  <c r="AC154" i="1"/>
  <c r="AD153" i="1"/>
  <c r="AC153" i="1"/>
  <c r="AD152" i="1"/>
  <c r="AC152" i="1"/>
  <c r="AD151" i="1"/>
  <c r="AC151" i="1"/>
  <c r="AD150" i="1"/>
  <c r="AC150" i="1"/>
  <c r="AD149" i="1"/>
  <c r="AC149" i="1"/>
  <c r="AD148" i="1"/>
  <c r="AC148" i="1"/>
  <c r="AD147" i="1"/>
  <c r="AC147" i="1"/>
  <c r="AD146" i="1"/>
  <c r="AC146" i="1"/>
  <c r="AD145" i="1"/>
  <c r="AC145" i="1"/>
  <c r="AD144" i="1"/>
  <c r="AC144" i="1"/>
  <c r="AD143" i="1"/>
  <c r="AC143" i="1"/>
  <c r="AD142" i="1"/>
  <c r="AC142" i="1"/>
  <c r="AD141" i="1"/>
  <c r="AC141" i="1"/>
  <c r="AD140" i="1"/>
  <c r="AC140" i="1"/>
  <c r="AD139" i="1"/>
  <c r="AC139" i="1"/>
  <c r="AD138" i="1"/>
  <c r="AC138" i="1"/>
  <c r="AD137" i="1"/>
  <c r="AC137" i="1"/>
  <c r="AD136" i="1"/>
  <c r="AC136" i="1"/>
  <c r="AD135" i="1"/>
  <c r="AC135" i="1"/>
  <c r="AD134" i="1"/>
  <c r="AC134" i="1"/>
  <c r="AD133" i="1"/>
  <c r="AC133" i="1"/>
  <c r="AD132" i="1"/>
  <c r="AC132" i="1"/>
  <c r="AD131" i="1"/>
  <c r="AC131" i="1"/>
  <c r="AD130" i="1"/>
  <c r="AC130" i="1"/>
  <c r="AD129" i="1"/>
  <c r="AC129" i="1"/>
  <c r="AD128" i="1"/>
  <c r="AC128" i="1"/>
  <c r="AD127" i="1"/>
  <c r="AC127" i="1"/>
  <c r="AD126" i="1"/>
  <c r="AC126" i="1"/>
  <c r="AD125" i="1"/>
  <c r="AC125" i="1"/>
  <c r="AD124" i="1"/>
  <c r="AC124" i="1"/>
  <c r="AD123" i="1"/>
  <c r="AC123" i="1"/>
  <c r="AD122" i="1"/>
  <c r="AC122" i="1"/>
  <c r="AD121" i="1"/>
  <c r="AC121" i="1"/>
  <c r="AD120" i="1"/>
  <c r="AC120" i="1"/>
  <c r="AD119" i="1"/>
  <c r="AC119" i="1"/>
  <c r="AD118" i="1"/>
  <c r="AC118" i="1"/>
  <c r="AD117" i="1"/>
  <c r="AC117" i="1"/>
  <c r="AD116" i="1"/>
  <c r="AC116" i="1"/>
  <c r="AD115" i="1"/>
  <c r="AC115" i="1"/>
  <c r="AD114" i="1"/>
  <c r="AC114" i="1"/>
  <c r="AD113" i="1"/>
  <c r="AC113" i="1"/>
  <c r="AD112" i="1"/>
  <c r="AC112" i="1"/>
  <c r="AD111" i="1"/>
  <c r="AC111" i="1"/>
  <c r="AD110" i="1"/>
  <c r="AC110" i="1"/>
  <c r="AD109" i="1"/>
  <c r="AC109" i="1"/>
  <c r="AD108" i="1"/>
  <c r="AC108" i="1"/>
  <c r="AD107" i="1"/>
  <c r="AC107" i="1"/>
  <c r="AD106" i="1"/>
  <c r="AC106" i="1"/>
  <c r="AD105" i="1"/>
  <c r="AC105" i="1"/>
  <c r="AD104" i="1"/>
  <c r="AC104" i="1"/>
  <c r="AD103" i="1"/>
  <c r="AC103" i="1"/>
  <c r="AD102" i="1"/>
  <c r="AC102" i="1"/>
  <c r="AD101" i="1"/>
  <c r="AC101" i="1"/>
  <c r="AD100" i="1"/>
  <c r="AC100" i="1"/>
  <c r="AD99" i="1"/>
  <c r="AC99" i="1"/>
  <c r="AD98" i="1"/>
  <c r="AC98" i="1"/>
  <c r="AD97" i="1"/>
  <c r="AC97" i="1"/>
  <c r="AD96" i="1"/>
  <c r="AC96" i="1"/>
  <c r="AD95" i="1"/>
  <c r="AC95" i="1"/>
  <c r="AD94" i="1"/>
  <c r="AC94" i="1"/>
  <c r="AD93" i="1"/>
  <c r="AC93" i="1"/>
  <c r="AD92" i="1"/>
  <c r="AC92" i="1"/>
  <c r="AD91" i="1"/>
  <c r="AC91" i="1"/>
  <c r="AD90" i="1"/>
  <c r="AC90" i="1"/>
  <c r="AD89" i="1"/>
  <c r="AC89" i="1"/>
  <c r="AD88" i="1"/>
  <c r="AC88" i="1"/>
  <c r="AD87" i="1"/>
  <c r="AC87" i="1"/>
  <c r="AD86" i="1"/>
  <c r="AC86" i="1"/>
  <c r="AD85" i="1"/>
  <c r="AC85" i="1"/>
  <c r="AD84" i="1"/>
  <c r="AC84" i="1"/>
  <c r="AD83" i="1"/>
  <c r="AC83" i="1"/>
  <c r="AD82" i="1"/>
  <c r="AC82" i="1"/>
  <c r="AD81" i="1"/>
  <c r="AC81" i="1"/>
  <c r="AD80" i="1"/>
  <c r="AC80" i="1"/>
  <c r="AD79" i="1"/>
  <c r="AC79" i="1"/>
  <c r="AD78" i="1"/>
  <c r="AC78" i="1"/>
  <c r="AD77" i="1"/>
  <c r="AC77" i="1"/>
  <c r="AD76" i="1"/>
  <c r="AC76" i="1"/>
  <c r="AD75" i="1"/>
  <c r="AC75" i="1"/>
  <c r="AD74" i="1"/>
  <c r="AC74" i="1"/>
  <c r="AD73" i="1"/>
  <c r="AC73" i="1"/>
  <c r="AD72" i="1"/>
  <c r="AC72" i="1"/>
  <c r="AD71" i="1"/>
  <c r="AC71" i="1"/>
  <c r="AD70" i="1"/>
  <c r="AC70" i="1"/>
  <c r="AD69" i="1"/>
  <c r="AC69" i="1"/>
  <c r="AD68" i="1"/>
  <c r="AC68" i="1"/>
  <c r="AD67" i="1"/>
  <c r="AC67" i="1"/>
  <c r="AD66" i="1"/>
  <c r="AC66" i="1"/>
  <c r="AD65" i="1"/>
  <c r="AC65" i="1"/>
  <c r="AD64" i="1"/>
  <c r="AC64" i="1"/>
  <c r="AD63" i="1"/>
  <c r="AC63" i="1"/>
  <c r="AD62" i="1"/>
  <c r="AC62" i="1"/>
  <c r="AD61" i="1"/>
  <c r="AC61" i="1"/>
  <c r="AD60" i="1"/>
  <c r="AC60" i="1"/>
  <c r="AD59" i="1"/>
  <c r="AC59" i="1"/>
  <c r="AD58" i="1"/>
  <c r="AC58" i="1"/>
  <c r="AD57" i="1"/>
  <c r="AC57" i="1"/>
  <c r="AD56" i="1"/>
  <c r="AC56" i="1"/>
  <c r="AD55" i="1"/>
  <c r="AC55" i="1"/>
  <c r="AD54" i="1"/>
  <c r="AC54" i="1"/>
  <c r="AD53" i="1"/>
  <c r="AC53" i="1"/>
  <c r="AD52" i="1"/>
  <c r="AC52" i="1"/>
  <c r="AD51" i="1"/>
  <c r="AC51" i="1"/>
  <c r="AD50" i="1"/>
  <c r="AC50" i="1"/>
  <c r="AD49" i="1"/>
  <c r="AC49" i="1"/>
  <c r="AD48" i="1"/>
  <c r="AC48" i="1"/>
  <c r="AD47" i="1"/>
  <c r="AC47" i="1"/>
  <c r="AD46" i="1"/>
  <c r="AC46" i="1"/>
  <c r="AD45" i="1"/>
  <c r="AC45" i="1"/>
  <c r="AD44" i="1"/>
  <c r="AC44" i="1"/>
  <c r="AD43" i="1"/>
  <c r="AC43" i="1"/>
  <c r="AD42" i="1"/>
  <c r="AC42" i="1"/>
  <c r="AD41" i="1"/>
  <c r="AC41" i="1"/>
  <c r="AD40" i="1"/>
  <c r="AC40" i="1"/>
  <c r="AD39" i="1"/>
  <c r="AC39" i="1"/>
  <c r="AD38" i="1"/>
  <c r="AC38" i="1"/>
  <c r="AD37" i="1"/>
  <c r="AC37" i="1"/>
  <c r="AD36" i="1"/>
  <c r="AC36" i="1"/>
  <c r="AD35" i="1"/>
  <c r="AC35" i="1"/>
  <c r="AD34" i="1"/>
  <c r="AC34" i="1"/>
  <c r="AD33" i="1"/>
  <c r="AC33" i="1"/>
  <c r="AD32" i="1"/>
  <c r="AC32" i="1"/>
  <c r="AD31" i="1"/>
  <c r="AC31" i="1"/>
  <c r="AD30" i="1"/>
  <c r="AC30" i="1"/>
  <c r="AD29" i="1"/>
  <c r="AC29" i="1"/>
  <c r="AD28" i="1"/>
  <c r="AC28" i="1"/>
  <c r="AD27" i="1"/>
  <c r="AC27" i="1"/>
  <c r="AD26" i="1"/>
  <c r="AC26" i="1"/>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10" i="1"/>
  <c r="AC10" i="1"/>
  <c r="AD9" i="1"/>
  <c r="AC9" i="1"/>
  <c r="AD8" i="1"/>
  <c r="AC8" i="1"/>
  <c r="AD7" i="1"/>
  <c r="AC7" i="1"/>
  <c r="AD6" i="1"/>
  <c r="AC6" i="1"/>
  <c r="AD5" i="1"/>
  <c r="AC5" i="1"/>
  <c r="AB4" i="1"/>
  <c r="AA4" i="1"/>
  <c r="Z4" i="1"/>
  <c r="Y4" i="1"/>
  <c r="X4" i="1"/>
  <c r="W4" i="1"/>
  <c r="V4" i="1"/>
  <c r="U4" i="1"/>
  <c r="T4" i="1"/>
  <c r="S4" i="1"/>
  <c r="R4" i="1"/>
  <c r="Q4" i="1"/>
  <c r="P4" i="1"/>
  <c r="O4" i="1"/>
  <c r="N4" i="1"/>
  <c r="M4" i="1"/>
  <c r="L4" i="1"/>
  <c r="K4" i="1"/>
  <c r="J4" i="1"/>
  <c r="I4" i="1"/>
  <c r="H4" i="1"/>
  <c r="G4" i="1"/>
  <c r="F4" i="1"/>
  <c r="E4" i="1"/>
  <c r="C4" i="1"/>
  <c r="AC4" i="1" l="1"/>
  <c r="AD4" i="1"/>
  <c r="AZ407" i="3"/>
  <c r="AY407" i="3"/>
  <c r="AZ406" i="3"/>
  <c r="AY406" i="3"/>
  <c r="AZ405" i="3"/>
  <c r="AY405" i="3"/>
  <c r="AZ404" i="3"/>
  <c r="AY404" i="3"/>
  <c r="AZ403" i="3"/>
  <c r="AY403" i="3"/>
  <c r="AZ402" i="3"/>
  <c r="AY402" i="3"/>
  <c r="AZ401" i="3"/>
  <c r="AY401" i="3"/>
  <c r="AZ400" i="3"/>
  <c r="AY400" i="3"/>
  <c r="AZ399" i="3"/>
  <c r="AY399" i="3"/>
  <c r="AZ398" i="3"/>
  <c r="AY398" i="3"/>
  <c r="AZ397" i="3"/>
  <c r="AY397" i="3"/>
  <c r="AZ396" i="3"/>
  <c r="AY396" i="3"/>
  <c r="AZ395" i="3"/>
  <c r="AY395" i="3"/>
  <c r="AZ394" i="3"/>
  <c r="AY394" i="3"/>
  <c r="AZ393" i="3"/>
  <c r="AY393" i="3"/>
  <c r="AZ392" i="3"/>
  <c r="AY392" i="3"/>
  <c r="AZ391" i="3"/>
  <c r="AY391" i="3"/>
  <c r="AZ390" i="3"/>
  <c r="AY390" i="3"/>
  <c r="AZ389" i="3"/>
  <c r="AY389" i="3"/>
  <c r="AZ388" i="3"/>
  <c r="AY388" i="3"/>
  <c r="AZ387" i="3"/>
  <c r="AY387" i="3"/>
  <c r="AZ386" i="3"/>
  <c r="AY386" i="3"/>
  <c r="AZ385" i="3"/>
  <c r="AY385" i="3"/>
  <c r="AZ384" i="3"/>
  <c r="AY384" i="3"/>
  <c r="AZ383" i="3"/>
  <c r="AY383" i="3"/>
  <c r="AZ382" i="3"/>
  <c r="AY382" i="3"/>
  <c r="AZ381" i="3"/>
  <c r="AY381" i="3"/>
  <c r="AZ380" i="3"/>
  <c r="AY380" i="3"/>
  <c r="AZ379" i="3"/>
  <c r="AY379" i="3"/>
  <c r="AZ378" i="3"/>
  <c r="AY378" i="3"/>
  <c r="AZ377" i="3"/>
  <c r="AY377" i="3"/>
  <c r="AZ376" i="3"/>
  <c r="AY376" i="3"/>
  <c r="AZ375" i="3"/>
  <c r="AY375" i="3"/>
  <c r="AZ374" i="3"/>
  <c r="AY374" i="3"/>
  <c r="AZ373" i="3"/>
  <c r="AY373" i="3"/>
  <c r="AZ372" i="3"/>
  <c r="AY372" i="3"/>
  <c r="AZ371" i="3"/>
  <c r="AY371" i="3"/>
  <c r="AZ370" i="3"/>
  <c r="AY370" i="3"/>
  <c r="AZ369" i="3"/>
  <c r="AY369" i="3"/>
  <c r="AZ368" i="3"/>
  <c r="AY368" i="3"/>
  <c r="AZ367" i="3"/>
  <c r="AY367" i="3"/>
  <c r="AZ366" i="3"/>
  <c r="AY366" i="3"/>
  <c r="AZ365" i="3"/>
  <c r="AY365" i="3"/>
  <c r="AZ364" i="3"/>
  <c r="AY364" i="3"/>
  <c r="AZ363" i="3"/>
  <c r="AY363" i="3"/>
  <c r="AZ362" i="3"/>
  <c r="AY362" i="3"/>
  <c r="AZ361" i="3"/>
  <c r="AY361" i="3"/>
  <c r="AZ360" i="3"/>
  <c r="AY360" i="3"/>
  <c r="AZ359" i="3"/>
  <c r="AY359" i="3"/>
  <c r="AZ358" i="3"/>
  <c r="AY358" i="3"/>
  <c r="AZ357" i="3"/>
  <c r="AY357" i="3"/>
  <c r="AZ356" i="3"/>
  <c r="AY356" i="3"/>
  <c r="AZ355" i="3"/>
  <c r="AY355" i="3"/>
  <c r="AZ354" i="3"/>
  <c r="AY354" i="3"/>
  <c r="AZ353" i="3"/>
  <c r="AY353" i="3"/>
  <c r="AZ352" i="3"/>
  <c r="AY352" i="3"/>
  <c r="AZ351" i="3"/>
  <c r="AY351" i="3"/>
  <c r="AZ350" i="3"/>
  <c r="AY350" i="3"/>
  <c r="AZ349" i="3"/>
  <c r="AY349" i="3"/>
  <c r="AZ348" i="3"/>
  <c r="AY348" i="3"/>
  <c r="AZ347" i="3"/>
  <c r="AY347" i="3"/>
  <c r="AZ346" i="3"/>
  <c r="AY346" i="3"/>
  <c r="AZ345" i="3"/>
  <c r="AY345" i="3"/>
  <c r="AZ344" i="3"/>
  <c r="AY344" i="3"/>
  <c r="AZ343" i="3"/>
  <c r="AY343" i="3"/>
  <c r="AZ342" i="3"/>
  <c r="AY342" i="3"/>
  <c r="AZ341" i="3"/>
  <c r="AY341" i="3"/>
  <c r="AZ340" i="3"/>
  <c r="AY340" i="3"/>
  <c r="AZ339" i="3"/>
  <c r="AY339" i="3"/>
  <c r="AZ338" i="3"/>
  <c r="AY338" i="3"/>
  <c r="AZ337" i="3"/>
  <c r="AY337" i="3"/>
  <c r="AZ336" i="3"/>
  <c r="AY336" i="3"/>
  <c r="AZ335" i="3"/>
  <c r="AY335" i="3"/>
  <c r="AZ334" i="3"/>
  <c r="AY334" i="3"/>
  <c r="AZ333" i="3"/>
  <c r="AY333" i="3"/>
  <c r="AZ332" i="3"/>
  <c r="AY332" i="3"/>
  <c r="AZ331" i="3"/>
  <c r="AY331" i="3"/>
  <c r="AZ330" i="3"/>
  <c r="AY330" i="3"/>
  <c r="AZ329" i="3"/>
  <c r="AY329" i="3"/>
  <c r="AZ328" i="3"/>
  <c r="AY328" i="3"/>
  <c r="AZ327" i="3"/>
  <c r="AY327" i="3"/>
  <c r="AZ326" i="3"/>
  <c r="AY326" i="3"/>
  <c r="AZ325" i="3"/>
  <c r="AY325" i="3"/>
  <c r="AZ324" i="3"/>
  <c r="AY324" i="3"/>
  <c r="AZ323" i="3"/>
  <c r="AY323" i="3"/>
  <c r="AZ322" i="3"/>
  <c r="AY322" i="3"/>
  <c r="AZ321" i="3"/>
  <c r="AY321" i="3"/>
  <c r="AZ320" i="3"/>
  <c r="AY320" i="3"/>
  <c r="AZ319" i="3"/>
  <c r="AY319" i="3"/>
  <c r="AZ318" i="3"/>
  <c r="AY318" i="3"/>
  <c r="AZ317" i="3"/>
  <c r="AY317" i="3"/>
  <c r="AZ316" i="3"/>
  <c r="AY316" i="3"/>
  <c r="AZ315" i="3"/>
  <c r="AY315" i="3"/>
  <c r="AZ314" i="3"/>
  <c r="AY314" i="3"/>
  <c r="AZ313" i="3"/>
  <c r="AY313" i="3"/>
  <c r="AZ312" i="3"/>
  <c r="AY312" i="3"/>
  <c r="AZ311" i="3"/>
  <c r="AY311" i="3"/>
  <c r="AZ310" i="3"/>
  <c r="AY310" i="3"/>
  <c r="AZ309" i="3"/>
  <c r="AY309" i="3"/>
  <c r="AZ308" i="3"/>
  <c r="AY308" i="3"/>
  <c r="AZ307" i="3"/>
  <c r="AY307" i="3"/>
  <c r="AZ306" i="3"/>
  <c r="AY306" i="3"/>
  <c r="AZ305" i="3"/>
  <c r="AY305" i="3"/>
  <c r="AZ304" i="3"/>
  <c r="AY304" i="3"/>
  <c r="AZ303" i="3"/>
  <c r="AY303" i="3"/>
  <c r="AZ302" i="3"/>
  <c r="AY302" i="3"/>
  <c r="AZ301" i="3"/>
  <c r="AY301" i="3"/>
  <c r="AZ300" i="3"/>
  <c r="AY300" i="3"/>
  <c r="AZ299" i="3"/>
  <c r="AY299" i="3"/>
  <c r="AZ298" i="3"/>
  <c r="AY298" i="3"/>
  <c r="AZ297" i="3"/>
  <c r="AY297" i="3"/>
  <c r="AZ296" i="3"/>
  <c r="AY296" i="3"/>
  <c r="AZ295" i="3"/>
  <c r="AY295" i="3"/>
  <c r="AZ294" i="3"/>
  <c r="AY294" i="3"/>
  <c r="AZ293" i="3"/>
  <c r="AY293" i="3"/>
  <c r="AZ292" i="3"/>
  <c r="AY292" i="3"/>
  <c r="AZ291" i="3"/>
  <c r="AY291" i="3"/>
  <c r="AZ290" i="3"/>
  <c r="AY290" i="3"/>
  <c r="AZ289" i="3"/>
  <c r="AY289" i="3"/>
  <c r="AZ288" i="3"/>
  <c r="AY288" i="3"/>
  <c r="AZ287" i="3"/>
  <c r="AY287" i="3"/>
  <c r="AZ286" i="3"/>
  <c r="AY286" i="3"/>
  <c r="AZ285" i="3"/>
  <c r="AY285" i="3"/>
  <c r="AZ284" i="3"/>
  <c r="AY284" i="3"/>
  <c r="AZ283" i="3"/>
  <c r="AY283" i="3"/>
  <c r="AZ282" i="3"/>
  <c r="AY282" i="3"/>
  <c r="AZ281" i="3"/>
  <c r="AY281" i="3"/>
  <c r="AZ280" i="3"/>
  <c r="AY280" i="3"/>
  <c r="AZ279" i="3"/>
  <c r="AY279" i="3"/>
  <c r="AZ278" i="3"/>
  <c r="AY278" i="3"/>
  <c r="AZ277" i="3"/>
  <c r="AY277" i="3"/>
  <c r="AZ276" i="3"/>
  <c r="AY276" i="3"/>
  <c r="AZ275" i="3"/>
  <c r="AY275" i="3"/>
  <c r="AZ274" i="3"/>
  <c r="AY274" i="3"/>
  <c r="AZ273" i="3"/>
  <c r="AY273" i="3"/>
  <c r="AZ272" i="3"/>
  <c r="AY272" i="3"/>
  <c r="AZ271" i="3"/>
  <c r="AY271" i="3"/>
  <c r="AZ270" i="3"/>
  <c r="AY270" i="3"/>
  <c r="AZ269" i="3"/>
  <c r="AY269" i="3"/>
  <c r="AZ268" i="3"/>
  <c r="AY268" i="3"/>
  <c r="AZ267" i="3"/>
  <c r="AY267" i="3"/>
  <c r="AZ266" i="3"/>
  <c r="AY266" i="3"/>
  <c r="AZ265" i="3"/>
  <c r="AY265" i="3"/>
  <c r="AZ264" i="3"/>
  <c r="AY264" i="3"/>
  <c r="AZ263" i="3"/>
  <c r="AY263" i="3"/>
  <c r="AZ262" i="3"/>
  <c r="AY262" i="3"/>
  <c r="AZ261" i="3"/>
  <c r="AY261" i="3"/>
  <c r="AZ260" i="3"/>
  <c r="AY260" i="3"/>
  <c r="AZ259" i="3"/>
  <c r="AY259" i="3"/>
  <c r="AZ258" i="3"/>
  <c r="AY258" i="3"/>
  <c r="AZ257" i="3"/>
  <c r="AY257" i="3"/>
  <c r="AZ256" i="3"/>
  <c r="AY256" i="3"/>
  <c r="AZ255" i="3"/>
  <c r="AY255" i="3"/>
  <c r="AZ254" i="3"/>
  <c r="AY254" i="3"/>
  <c r="AZ253" i="3"/>
  <c r="AY253" i="3"/>
  <c r="AZ252" i="3"/>
  <c r="AY252" i="3"/>
  <c r="AZ251" i="3"/>
  <c r="AY251" i="3"/>
  <c r="AZ250" i="3"/>
  <c r="AY250" i="3"/>
  <c r="AZ249" i="3"/>
  <c r="AY249" i="3"/>
  <c r="AZ248" i="3"/>
  <c r="AY248" i="3"/>
  <c r="AZ247" i="3"/>
  <c r="AY247" i="3"/>
  <c r="AZ246" i="3"/>
  <c r="AY246" i="3"/>
  <c r="AZ245" i="3"/>
  <c r="AY245" i="3"/>
  <c r="AZ244" i="3"/>
  <c r="AY244" i="3"/>
  <c r="AZ243" i="3"/>
  <c r="AY243" i="3"/>
  <c r="AZ242" i="3"/>
  <c r="AY242" i="3"/>
  <c r="AZ241" i="3"/>
  <c r="AY241" i="3"/>
  <c r="AZ240" i="3"/>
  <c r="AY240" i="3"/>
  <c r="AZ239" i="3"/>
  <c r="AY239" i="3"/>
  <c r="AZ238" i="3"/>
  <c r="AY238" i="3"/>
  <c r="AZ237" i="3"/>
  <c r="AY237" i="3"/>
  <c r="AZ236" i="3"/>
  <c r="AY236" i="3"/>
  <c r="AZ235" i="3"/>
  <c r="AY235" i="3"/>
  <c r="AZ234" i="3"/>
  <c r="AY234" i="3"/>
  <c r="AZ233" i="3"/>
  <c r="AY233" i="3"/>
  <c r="AZ232" i="3"/>
  <c r="AY232" i="3"/>
  <c r="AZ231" i="3"/>
  <c r="AY231" i="3"/>
  <c r="AZ230" i="3"/>
  <c r="AY230" i="3"/>
  <c r="AZ229" i="3"/>
  <c r="AY229" i="3"/>
  <c r="AZ228" i="3"/>
  <c r="AY228" i="3"/>
  <c r="AZ227" i="3"/>
  <c r="AY227" i="3"/>
  <c r="AZ226" i="3"/>
  <c r="AY226" i="3"/>
  <c r="AZ225" i="3"/>
  <c r="AY225" i="3"/>
  <c r="AZ224" i="3"/>
  <c r="AY224" i="3"/>
  <c r="AZ223" i="3"/>
  <c r="AY223" i="3"/>
  <c r="AZ222" i="3"/>
  <c r="AY222" i="3"/>
  <c r="AZ221" i="3"/>
  <c r="AY221" i="3"/>
  <c r="AZ220" i="3"/>
  <c r="AY220" i="3"/>
  <c r="AZ219" i="3"/>
  <c r="AY219" i="3"/>
  <c r="AZ218" i="3"/>
  <c r="AY218" i="3"/>
  <c r="AZ217" i="3"/>
  <c r="AY217" i="3"/>
  <c r="AZ216" i="3"/>
  <c r="AY216" i="3"/>
  <c r="AZ215" i="3"/>
  <c r="AY215" i="3"/>
  <c r="AZ214" i="3"/>
  <c r="AY214" i="3"/>
  <c r="AZ213" i="3"/>
  <c r="AY213" i="3"/>
  <c r="AZ212" i="3"/>
  <c r="AY212" i="3"/>
  <c r="AZ211" i="3"/>
  <c r="AY211" i="3"/>
  <c r="AZ210" i="3"/>
  <c r="AY210" i="3"/>
  <c r="AZ209" i="3"/>
  <c r="AY209" i="3"/>
  <c r="AZ208" i="3"/>
  <c r="AY208" i="3"/>
  <c r="AZ207" i="3"/>
  <c r="AY207" i="3"/>
  <c r="AZ206" i="3"/>
  <c r="AY206" i="3"/>
  <c r="AZ205" i="3"/>
  <c r="AY205" i="3"/>
  <c r="AZ204" i="3"/>
  <c r="AY204" i="3"/>
  <c r="AZ203" i="3"/>
  <c r="AY203" i="3"/>
  <c r="AZ202" i="3"/>
  <c r="AY202" i="3"/>
  <c r="AZ201" i="3"/>
  <c r="AY201" i="3"/>
  <c r="AZ200" i="3"/>
  <c r="AY200" i="3"/>
  <c r="AZ199" i="3"/>
  <c r="AY199" i="3"/>
  <c r="AZ198" i="3"/>
  <c r="AY198" i="3"/>
  <c r="AZ197" i="3"/>
  <c r="AY197" i="3"/>
  <c r="AZ196" i="3"/>
  <c r="AY196" i="3"/>
  <c r="AZ195" i="3"/>
  <c r="AY195" i="3"/>
  <c r="AZ194" i="3"/>
  <c r="AY194" i="3"/>
  <c r="AZ193" i="3"/>
  <c r="AY193" i="3"/>
  <c r="AZ192" i="3"/>
  <c r="AY192" i="3"/>
  <c r="AZ191" i="3"/>
  <c r="AY191" i="3"/>
  <c r="AZ190" i="3"/>
  <c r="AY190" i="3"/>
  <c r="AZ189" i="3"/>
  <c r="AY189" i="3"/>
  <c r="AZ188" i="3"/>
  <c r="AY188" i="3"/>
  <c r="AZ187" i="3"/>
  <c r="AY187" i="3"/>
  <c r="AZ186" i="3"/>
  <c r="AY186" i="3"/>
  <c r="AZ185" i="3"/>
  <c r="AY185" i="3"/>
  <c r="AZ184" i="3"/>
  <c r="AY184" i="3"/>
  <c r="AZ183" i="3"/>
  <c r="AY183" i="3"/>
  <c r="AZ182" i="3"/>
  <c r="AY182" i="3"/>
  <c r="AZ181" i="3"/>
  <c r="AY181" i="3"/>
  <c r="AZ180" i="3"/>
  <c r="AY180" i="3"/>
  <c r="AZ179" i="3"/>
  <c r="AY179" i="3"/>
  <c r="AZ178" i="3"/>
  <c r="AY178" i="3"/>
  <c r="AZ177" i="3"/>
  <c r="AY177" i="3"/>
  <c r="AZ176" i="3"/>
  <c r="AY176" i="3"/>
  <c r="AZ175" i="3"/>
  <c r="AY175" i="3"/>
  <c r="AZ174" i="3"/>
  <c r="AY174" i="3"/>
  <c r="AZ173" i="3"/>
  <c r="AY173" i="3"/>
  <c r="AZ172" i="3"/>
  <c r="AY172" i="3"/>
  <c r="AZ171" i="3"/>
  <c r="AY171" i="3"/>
  <c r="AZ170" i="3"/>
  <c r="AY170" i="3"/>
  <c r="AZ169" i="3"/>
  <c r="AY169" i="3"/>
  <c r="AZ168" i="3"/>
  <c r="AY168" i="3"/>
  <c r="AZ167" i="3"/>
  <c r="AY167" i="3"/>
  <c r="AZ166" i="3"/>
  <c r="AY166" i="3"/>
  <c r="AZ165" i="3"/>
  <c r="AY165" i="3"/>
  <c r="AZ164" i="3"/>
  <c r="AY164" i="3"/>
  <c r="AZ163" i="3"/>
  <c r="AY163" i="3"/>
  <c r="AZ162" i="3"/>
  <c r="AY162" i="3"/>
  <c r="AZ161" i="3"/>
  <c r="AY161" i="3"/>
  <c r="AZ160" i="3"/>
  <c r="AY160" i="3"/>
  <c r="AZ159" i="3"/>
  <c r="AY159" i="3"/>
  <c r="AZ158" i="3"/>
  <c r="AY158" i="3"/>
  <c r="AZ157" i="3"/>
  <c r="AY157" i="3"/>
  <c r="AZ156" i="3"/>
  <c r="AY156" i="3"/>
  <c r="AZ155" i="3"/>
  <c r="AY155" i="3"/>
  <c r="AZ154" i="3"/>
  <c r="AY154" i="3"/>
  <c r="AZ153" i="3"/>
  <c r="AY153" i="3"/>
  <c r="AZ152" i="3"/>
  <c r="AY152" i="3"/>
  <c r="AZ151" i="3"/>
  <c r="AY151" i="3"/>
  <c r="AZ150" i="3"/>
  <c r="AY150" i="3"/>
  <c r="AZ149" i="3"/>
  <c r="AY149" i="3"/>
  <c r="AZ148" i="3"/>
  <c r="AY148" i="3"/>
  <c r="AZ147" i="3"/>
  <c r="AY147" i="3"/>
  <c r="AZ146" i="3"/>
  <c r="AY146" i="3"/>
  <c r="AZ145" i="3"/>
  <c r="AY145" i="3"/>
  <c r="AZ144" i="3"/>
  <c r="AY144" i="3"/>
  <c r="AZ143" i="3"/>
  <c r="AY143" i="3"/>
  <c r="AZ142" i="3"/>
  <c r="AY142" i="3"/>
  <c r="AZ141" i="3"/>
  <c r="AY141" i="3"/>
  <c r="AZ140" i="3"/>
  <c r="AY140" i="3"/>
  <c r="AZ139" i="3"/>
  <c r="AY139" i="3"/>
  <c r="AZ138" i="3"/>
  <c r="AY138" i="3"/>
  <c r="AZ137" i="3"/>
  <c r="AY137" i="3"/>
  <c r="AZ136" i="3"/>
  <c r="AY136" i="3"/>
  <c r="AZ135" i="3"/>
  <c r="AY135" i="3"/>
  <c r="AZ134" i="3"/>
  <c r="AY134" i="3"/>
  <c r="AZ133" i="3"/>
  <c r="AY133" i="3"/>
  <c r="AZ132" i="3"/>
  <c r="AY132" i="3"/>
  <c r="AZ131" i="3"/>
  <c r="AY131" i="3"/>
  <c r="AZ130" i="3"/>
  <c r="AY130" i="3"/>
  <c r="AZ129" i="3"/>
  <c r="AY129" i="3"/>
  <c r="AZ128" i="3"/>
  <c r="AY128" i="3"/>
  <c r="AZ127" i="3"/>
  <c r="AY127" i="3"/>
  <c r="AZ126" i="3"/>
  <c r="AY126" i="3"/>
  <c r="AZ125" i="3"/>
  <c r="AY125" i="3"/>
  <c r="AZ124" i="3"/>
  <c r="AY124" i="3"/>
  <c r="AZ123" i="3"/>
  <c r="AY123" i="3"/>
  <c r="AZ122" i="3"/>
  <c r="AY122" i="3"/>
  <c r="AZ121" i="3"/>
  <c r="AY121" i="3"/>
  <c r="AZ120" i="3"/>
  <c r="AY120" i="3"/>
  <c r="AZ119" i="3"/>
  <c r="AY119" i="3"/>
  <c r="AZ118" i="3"/>
  <c r="AY118" i="3"/>
  <c r="AZ117" i="3"/>
  <c r="AY117" i="3"/>
  <c r="AZ116" i="3"/>
  <c r="AY116" i="3"/>
  <c r="AZ115" i="3"/>
  <c r="AY115" i="3"/>
  <c r="AZ114" i="3"/>
  <c r="AY114" i="3"/>
  <c r="AZ113" i="3"/>
  <c r="AY113" i="3"/>
  <c r="AZ112" i="3"/>
  <c r="AY112" i="3"/>
  <c r="AZ111" i="3"/>
  <c r="AY111" i="3"/>
  <c r="AZ110" i="3"/>
  <c r="AY110" i="3"/>
  <c r="AZ109" i="3"/>
  <c r="AY109" i="3"/>
  <c r="AZ108" i="3"/>
  <c r="AY108" i="3"/>
  <c r="AZ107" i="3"/>
  <c r="AY107" i="3"/>
  <c r="AZ106" i="3"/>
  <c r="AY106" i="3"/>
  <c r="AZ105" i="3"/>
  <c r="AY105" i="3"/>
  <c r="AZ104" i="3"/>
  <c r="AY104" i="3"/>
  <c r="AZ103" i="3"/>
  <c r="AY103" i="3"/>
  <c r="AZ102" i="3"/>
  <c r="AY102" i="3"/>
  <c r="AZ101" i="3"/>
  <c r="AY101" i="3"/>
  <c r="AZ100" i="3"/>
  <c r="AY100" i="3"/>
  <c r="AZ99" i="3"/>
  <c r="AY99" i="3"/>
  <c r="AZ98" i="3"/>
  <c r="AY98" i="3"/>
  <c r="AZ97" i="3"/>
  <c r="AY97" i="3"/>
  <c r="AZ96" i="3"/>
  <c r="AY96" i="3"/>
  <c r="AZ95" i="3"/>
  <c r="AY95" i="3"/>
  <c r="AZ94" i="3"/>
  <c r="AY94" i="3"/>
  <c r="AZ93" i="3"/>
  <c r="AY93" i="3"/>
  <c r="AZ92" i="3"/>
  <c r="AY92" i="3"/>
  <c r="AZ91" i="3"/>
  <c r="AY91" i="3"/>
  <c r="AZ90" i="3"/>
  <c r="AY90" i="3"/>
  <c r="AZ89" i="3"/>
  <c r="AY89" i="3"/>
  <c r="AZ88" i="3"/>
  <c r="AY88" i="3"/>
  <c r="AZ87" i="3"/>
  <c r="AY87" i="3"/>
  <c r="AZ86" i="3"/>
  <c r="AY86" i="3"/>
  <c r="AZ85" i="3"/>
  <c r="AY85" i="3"/>
  <c r="AZ84" i="3"/>
  <c r="AY84" i="3"/>
  <c r="AZ83" i="3"/>
  <c r="AY83" i="3"/>
  <c r="AZ82" i="3"/>
  <c r="AY82" i="3"/>
  <c r="AZ81" i="3"/>
  <c r="AY81" i="3"/>
  <c r="AZ80" i="3"/>
  <c r="AY80" i="3"/>
  <c r="AZ79" i="3"/>
  <c r="AY79" i="3"/>
  <c r="AZ78" i="3"/>
  <c r="AY78" i="3"/>
  <c r="AZ77" i="3"/>
  <c r="AY77" i="3"/>
  <c r="AZ76" i="3"/>
  <c r="AY76" i="3"/>
  <c r="AZ75" i="3"/>
  <c r="AY75" i="3"/>
  <c r="AZ74" i="3"/>
  <c r="AY74" i="3"/>
  <c r="AZ73" i="3"/>
  <c r="AY73" i="3"/>
  <c r="AZ72" i="3" l="1"/>
  <c r="AY72" i="3"/>
  <c r="AZ71" i="3"/>
  <c r="AY71" i="3"/>
  <c r="AZ70" i="3"/>
  <c r="AY70" i="3"/>
  <c r="AZ69" i="3"/>
  <c r="AY69" i="3"/>
  <c r="AZ68" i="3"/>
  <c r="AY68" i="3"/>
  <c r="AZ67" i="3"/>
  <c r="AY67" i="3"/>
  <c r="AZ66" i="3"/>
  <c r="AY66" i="3"/>
  <c r="AZ65" i="3"/>
  <c r="AY65" i="3"/>
  <c r="AZ64" i="3"/>
  <c r="AY64" i="3"/>
  <c r="AZ63" i="3"/>
  <c r="AY63" i="3"/>
  <c r="AZ62" i="3"/>
  <c r="AY62" i="3"/>
  <c r="AZ61" i="3"/>
  <c r="AY61" i="3"/>
  <c r="AZ60" i="3"/>
  <c r="AY60" i="3"/>
  <c r="AZ59" i="3"/>
  <c r="AY59" i="3"/>
  <c r="AZ58" i="3"/>
  <c r="AY58" i="3"/>
  <c r="AZ57" i="3"/>
  <c r="AY57" i="3"/>
  <c r="AZ56" i="3"/>
  <c r="AY56" i="3"/>
  <c r="AZ55" i="3"/>
  <c r="AY55" i="3"/>
  <c r="AZ54" i="3"/>
  <c r="AY54" i="3"/>
  <c r="AZ53" i="3"/>
  <c r="AY53" i="3"/>
  <c r="AZ52" i="3"/>
  <c r="AY52" i="3"/>
  <c r="AZ51" i="3"/>
  <c r="AY51" i="3"/>
  <c r="AZ50" i="3"/>
  <c r="AY50" i="3"/>
  <c r="AZ49" i="3"/>
  <c r="AY49" i="3"/>
  <c r="AZ48" i="3"/>
  <c r="AY48" i="3"/>
  <c r="AZ47" i="3"/>
  <c r="AY47" i="3"/>
  <c r="AZ46" i="3"/>
  <c r="AY46" i="3"/>
  <c r="AZ45" i="3"/>
  <c r="AY45" i="3"/>
  <c r="AZ44" i="3"/>
  <c r="AY44" i="3"/>
  <c r="AZ43" i="3"/>
  <c r="AY43" i="3"/>
  <c r="AZ42" i="3"/>
  <c r="AY42" i="3"/>
  <c r="AZ41" i="3"/>
  <c r="AY41" i="3"/>
  <c r="AZ40" i="3"/>
  <c r="AY40" i="3"/>
  <c r="AZ39" i="3"/>
  <c r="AY39" i="3"/>
  <c r="AZ38" i="3"/>
  <c r="AY38" i="3"/>
  <c r="AZ37" i="3"/>
  <c r="AY37" i="3"/>
  <c r="AZ36" i="3"/>
  <c r="AY36" i="3"/>
  <c r="AZ35" i="3"/>
  <c r="AY35" i="3"/>
  <c r="AZ34" i="3"/>
  <c r="AY34" i="3"/>
  <c r="AZ33" i="3"/>
  <c r="AY33" i="3"/>
  <c r="AZ32" i="3"/>
  <c r="AY32" i="3"/>
  <c r="AZ31" i="3"/>
  <c r="AY31" i="3"/>
  <c r="AZ30" i="3"/>
  <c r="AY30" i="3"/>
  <c r="AZ29" i="3"/>
  <c r="AY29" i="3"/>
  <c r="AZ28" i="3"/>
  <c r="AY28" i="3"/>
  <c r="AZ27" i="3"/>
  <c r="AY27" i="3"/>
  <c r="AZ26" i="3"/>
  <c r="AY26" i="3"/>
  <c r="AZ25" i="3"/>
  <c r="AY25" i="3"/>
  <c r="AZ24" i="3"/>
  <c r="AY24" i="3"/>
  <c r="AZ23" i="3"/>
  <c r="AY23" i="3"/>
  <c r="AZ22" i="3"/>
  <c r="AY22" i="3"/>
  <c r="AZ21" i="3"/>
  <c r="AY21" i="3"/>
  <c r="AZ20" i="3"/>
  <c r="AY20" i="3"/>
  <c r="AZ19" i="3"/>
  <c r="AY19" i="3"/>
  <c r="AZ18" i="3"/>
  <c r="AY18" i="3"/>
  <c r="AZ17" i="3"/>
  <c r="AY17" i="3"/>
  <c r="AZ16" i="3"/>
  <c r="AY16" i="3"/>
  <c r="AZ15" i="3"/>
  <c r="AY15" i="3"/>
  <c r="AZ14" i="3"/>
  <c r="AY14" i="3"/>
  <c r="AZ13" i="3"/>
  <c r="AY13" i="3"/>
  <c r="AZ12" i="3"/>
  <c r="AY12" i="3"/>
  <c r="AZ11" i="3"/>
  <c r="AY11" i="3"/>
  <c r="AZ10" i="3"/>
  <c r="AY10" i="3"/>
  <c r="AZ9" i="3"/>
  <c r="AY9" i="3"/>
  <c r="AZ8" i="3"/>
  <c r="AY8" i="3"/>
  <c r="AZ7" i="3"/>
  <c r="AY7" i="3"/>
  <c r="AZ6" i="3"/>
  <c r="AY6" i="3"/>
  <c r="AZ5" i="3"/>
  <c r="AZ4" i="3" s="1"/>
  <c r="AY5" i="3"/>
  <c r="AY4" i="3" s="1"/>
</calcChain>
</file>

<file path=xl/sharedStrings.xml><?xml version="1.0" encoding="utf-8"?>
<sst xmlns="http://schemas.openxmlformats.org/spreadsheetml/2006/main" count="3805" uniqueCount="1287">
  <si>
    <t>CCINSHAE</t>
  </si>
  <si>
    <t>INSABI</t>
  </si>
  <si>
    <t>Total</t>
  </si>
  <si>
    <t>TOTAL GENERAL</t>
  </si>
  <si>
    <t>ISSSTE</t>
  </si>
  <si>
    <t>IMSS</t>
  </si>
  <si>
    <t>-</t>
  </si>
  <si>
    <t>UM</t>
  </si>
  <si>
    <t>CANTIDAD MIN</t>
  </si>
  <si>
    <t>CANTIDAD MAX</t>
  </si>
  <si>
    <t>GUARDIA NACIONAL</t>
  </si>
  <si>
    <t>SPPS-CENAPRECE</t>
  </si>
  <si>
    <t>SPPS-CENSIDA</t>
  </si>
  <si>
    <t>SPPS-CNEGSR</t>
  </si>
  <si>
    <t>SPPS-SAP</t>
  </si>
  <si>
    <t>#</t>
  </si>
  <si>
    <t>CLAVES</t>
  </si>
  <si>
    <t>DESCRIPCIÓN</t>
  </si>
  <si>
    <t>OADPRS</t>
  </si>
  <si>
    <t>HOSPITAL DE ESPECIALIDADES PEDIÁTRICAS</t>
  </si>
  <si>
    <t>HOSPITAL DE LA MUJER</t>
  </si>
  <si>
    <t>HOSPITAL GENERAL DE MÉXICO</t>
  </si>
  <si>
    <t>HOSPITAL GENERAL DR. MANUEL GEA GONZÁLEZ</t>
  </si>
  <si>
    <t>HOSPITAL INFANTIL DE MÉXICO FEDERICO GÓMEZ</t>
  </si>
  <si>
    <t>HOSPITAL JUÁREZ DE MÉXICO</t>
  </si>
  <si>
    <t>HOSPITAL NACIONAL HOMEOPÁTICO</t>
  </si>
  <si>
    <t>HOSPITAL REGIONAL DE ALTA ESPECIALIDAD CIUDAD SALUD</t>
  </si>
  <si>
    <t>HOSPITAL REGIONAL DE ALTA ESPECIALIDAD DE LA PENÍNSULA DE YUCATÁN</t>
  </si>
  <si>
    <t>HOSPITAL REGIONAL DE ALTA ESPECIALIDAD DE OAXACA</t>
  </si>
  <si>
    <t>HOSPITAL REGIONAL DE ALTA ESPECIALIDAD DEL BAJÍO</t>
  </si>
  <si>
    <t>HOSPITAL REGIONAL DE ALTA ESPECIALIDAD EN CD VICTORIA BICENTENARIO 2010</t>
  </si>
  <si>
    <t>HOSPITAL REGIONAL DE ALTA ESPECIALIDAD IXTAPALUCA</t>
  </si>
  <si>
    <t>INSTITUTO NACIONAL DE CANCEROLOGÍA</t>
  </si>
  <si>
    <t>INSTITUTO NACIONAL DE CARDIOLOGÍA IGNACIO CHÁVEZ</t>
  </si>
  <si>
    <t>INSTITUTO NACIONAL DE CIENCIAS MÉDICAS Y NUTRICIÓN SALVADOR ZUBIRÁN</t>
  </si>
  <si>
    <t>INSTITUTO NACIONAL DE ENFERMEDADES RESPIRATORIAS ISMAEL COSÍO VILLEGAS</t>
  </si>
  <si>
    <t>INSTITUTO NACIONAL DE NEUROLOGÍA Y NEUROCIRUGÍA MANUEL VELASCO SUÁREZ</t>
  </si>
  <si>
    <t>INSTITUTO NACIONAL DE PEDIATRÍA</t>
  </si>
  <si>
    <t>INSTITUTO NACIONAL DE PERINATOLOGÍA ISIDRO ESPINOSA DE LOS REYES</t>
  </si>
  <si>
    <t>INSTITUTO NACIONAL DE PSIQUIATRÍA RAMÓN DE LA FUENTE MUÑÍZ</t>
  </si>
  <si>
    <t>INSTITUTO NACIONAL DE REHABILITACIÓN</t>
  </si>
  <si>
    <t>UNIDAD MÉDICO QUIRÚRGICA JUÁREZ CENTRO</t>
  </si>
  <si>
    <t>Pieza</t>
  </si>
  <si>
    <t>Envase</t>
  </si>
  <si>
    <t>Equipo</t>
  </si>
  <si>
    <t>Caja</t>
  </si>
  <si>
    <t>APÉNDICE 1 DEMANDA DE MEDICAMENTO 2023-2024</t>
  </si>
  <si>
    <t>APÉNDICE 1 DEMANDA DE MEDICAMENTO 2023-2024 (CCINSHAE)</t>
  </si>
  <si>
    <t>010.000.0022.00</t>
  </si>
  <si>
    <t>Caseinato de calcio. Polvo. cada 100 g contienen: Proteínas 86.0 a 90.0 g. Grasas 0.0 a 2.0 g. Minerales 3.8 a 6.0 g. Humedad 0.0 a 6.2 g. Envase con 100 g.</t>
  </si>
  <si>
    <t>010.000.0103.00</t>
  </si>
  <si>
    <t>Ácido acetilsalicilico. Tableta soluble o efervescente cada tableta soluble o efervescente contiene: acido acetilsalicílico 300 mg. envase con 20 tabletas solubles o efervescentes.</t>
  </si>
  <si>
    <t>010.000.0104.00</t>
  </si>
  <si>
    <t>Paracetamol. Tableta cada tableta contiene: paracetamol 500 mg. envase con 10 tabletas.</t>
  </si>
  <si>
    <t>010.000.0105.00</t>
  </si>
  <si>
    <t>Paracetamol. Supositorio cada supositorio contiene: paracetamol 300 mg. envase con 3 supositorios.</t>
  </si>
  <si>
    <t>010.000.0109.00</t>
  </si>
  <si>
    <t>Metamizol sodico. Solucion inyectable cada ampolleta contiene: metamizol sódico 1 g. envase con 3 ampolletas con 2 ml.</t>
  </si>
  <si>
    <t>010.000.0204.00</t>
  </si>
  <si>
    <t>Atropina. Solucion inyectable cada ampolleta contiene: sulfato de atropina 1 mg. envase con 50 ampolletas con 1 ml.</t>
  </si>
  <si>
    <t>010.000.0232.00</t>
  </si>
  <si>
    <t>Isoflurano. Liquido o solucion cada envase contiene: isoflurano 100 ml. envase con 100 ml.</t>
  </si>
  <si>
    <t>010.000.0244.00</t>
  </si>
  <si>
    <t>PROPOFOL. EMULSION INYECTABLE Cada ampolleta o frasco ámpula contiene: Propofol 200 mg. En solución con aceite de soya, fosfátido de huevo o lecitina de huevo y glicerol. Envase con 5 ampolletas o frascos ámpula de 20 mL.</t>
  </si>
  <si>
    <t>010.000.0245.00</t>
  </si>
  <si>
    <t>PROPOFOL. EMULSION INYECTABLE Cada frasco ámpula o jeringa contiene: Propofol 500 mg. En solución con aceite de soya, fosfátido de huevo o lecitina de huevo y glicerol. Envase con un frasco ámpula o jeringa de 50 mL.</t>
  </si>
  <si>
    <t>010.000.0246.00</t>
  </si>
  <si>
    <t>PROPOFOL. EMULSIÓN INYECTABLE Cada ampolleta o frasco ámpula contiene: Propofol  200 mg. En emulsión con o sin edetato disódico (dihidratado). Envase con 5 ampolletas o frascos ámpula de 20 mL.</t>
  </si>
  <si>
    <t>010.000.0247.01</t>
  </si>
  <si>
    <t>Dexmedetomidina solución inyectable. Cada frasco ámpula contiene: clorhidrato de dexmedetomidina 200 µg envase con 5 frasco ámpula</t>
  </si>
  <si>
    <t>010.000.0247.02</t>
  </si>
  <si>
    <t>Dexmedetomidina solución inyectable. Cada frasco ámpula contiene: clorhidrato de dexmedetomidina 200 µg envase con 25 frascos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</si>
  <si>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</si>
  <si>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</si>
  <si>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</si>
  <si>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</si>
  <si>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</si>
  <si>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</si>
  <si>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</si>
  <si>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</si>
  <si>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010.000.0265.00</t>
  </si>
  <si>
    <t>Lidocaína epinefrina. Solución Inyectable al 2% Cada frasco ámpula contiene: Clorhidrato de lidocaína 1 g Epinefrina (1:200000) 0.25 mg Envase con 5 frascos ámpula con 50 ml.</t>
  </si>
  <si>
    <t>010.000.0267.00</t>
  </si>
  <si>
    <t>Lidocaína epinefrina. Solución Inyectable al 2% Cada cartucho dental contiene: Clorhidrato de lidocaína 36 mg Epinefrina (1:100000) 0.018 mg Envase con 50 cartuchos dentales con 1.8 ml.</t>
  </si>
  <si>
    <t>010.000.0271.00</t>
  </si>
  <si>
    <t>Bupivacaína. Solución Inyectable Cada ml contiene: Clorhidrato de bupivacaína 5 mg Envase con 30 ml.</t>
  </si>
  <si>
    <t>010.000.0402.00</t>
  </si>
  <si>
    <t>Clorfenamina. Tableta. Cada tableta contiene: Maleato de clorfenamina 4.0 mg Envase con 20 Tabletas.</t>
  </si>
  <si>
    <t>010.000.0406.00</t>
  </si>
  <si>
    <t>Difenhidramina. Solución inyectable. Cada frasco ámpula contiene: Clorhidrato de difenhidramina 100 mg. Envase con frasco ámpula de 10 ml.</t>
  </si>
  <si>
    <t>010.000.0426.00</t>
  </si>
  <si>
    <t>Aminofilina. Solución Inyectable. Cada ampolleta contiene: Aminofilina 250 mg. Envase con 5 ampolletas de 10 ml.</t>
  </si>
  <si>
    <t>010.000.0439.00</t>
  </si>
  <si>
    <t>Salbutamol. Solución para nebulizador. Cada 100 ml contienen: Sulfato de salbutamol 0.5 g. Envase con 10 ml.</t>
  </si>
  <si>
    <t>010.000.0450.00</t>
  </si>
  <si>
    <t>Fluticasona. Suspensión en aerosol. Cada dosis contiene: Propionato de fluticasona 50µg. Envase con un frasco presurizado para 120 dosis.</t>
  </si>
  <si>
    <t>010.000.0472.00</t>
  </si>
  <si>
    <t>Prednisona. Tableta Cada Tableta contiene: Prednisona 5 mg Envase con 20 Tabletas.</t>
  </si>
  <si>
    <t>010.000.0474.00</t>
  </si>
  <si>
    <t>Hidrocortisona. Solución Inyectable Cada frasco ámpula contiene: Succinato sódico de hidrocortisona equivalente a 100 mg de hidrocortisona. Envase con 50 frascos ámpula y 50 ampolletas con 2 ml de diluyente.</t>
  </si>
  <si>
    <t>010.000.0476.00</t>
  </si>
  <si>
    <t>Metilprednisolona. Solución Inyectable Cada frasco ámpula con liofilizado contiene Succinato sódico de metilprednisolona equivalente a 500 mg de metilprednisolona. Envase con 50 frascos ámpula y 50 ampolletas con 8 ml de diluyente.</t>
  </si>
  <si>
    <t>010.000.0502.00</t>
  </si>
  <si>
    <t>Digoxina. Tableta. Cada tableta contiene: Digoxina 0.25 mg Envase con 20 Tabletas</t>
  </si>
  <si>
    <t>010.000.0504.00</t>
  </si>
  <si>
    <t>Digoxina. Solución Inyectable. Cada ampolleta contiene: Digoxina 0.5 mg Envase con 6 ampolletas de 2 ml.</t>
  </si>
  <si>
    <t>010.000.0530.00</t>
  </si>
  <si>
    <t>Propranolol. Tableta Cada Tableta contiene: Clorhidrato de propranolol 40 mg Envase con 30 Tabletas</t>
  </si>
  <si>
    <t>010.000.0537.00</t>
  </si>
  <si>
    <t>Propafenona. Tableta Cada Tableta contiene: Clorhidrato de Propafenona 150 mg Envase con 20 Tabletas.</t>
  </si>
  <si>
    <t>010.000.0566.00</t>
  </si>
  <si>
    <t>Metildopa. Tableta Cada Tableta contiene: Metildopa 250 mg Envase con 30 Tabletas.</t>
  </si>
  <si>
    <t>010.000.0568.00</t>
  </si>
  <si>
    <t>Diazóxido. Solución inyectable. Cada ampolleta contiene: Diazóxido 300 mg Envase con una ampolleta de 20 ml. (15 mg/ml).</t>
  </si>
  <si>
    <t>010.000.0572.00</t>
  </si>
  <si>
    <t>Metoprolol. Tableta Cada Tableta contiene: Tartrato de metoprolol 100 mg Envase con 20 Tabletas.</t>
  </si>
  <si>
    <t>010.000.0573.00</t>
  </si>
  <si>
    <t>Prazosina. Cápsula o Comprimido Cada Cápsula o Comprimido contiene: Clorhidrato de prazosina equivalente a 1 mg de prazosina. Envase con 30 Cápsulas o Comprimidos.</t>
  </si>
  <si>
    <t>010.000.0574.00</t>
  </si>
  <si>
    <t>Captopril. Tableta Cada Tableta contiene: Captopril 25 mg Envase con 30 Tabletas.</t>
  </si>
  <si>
    <t>010.000.0593.00</t>
  </si>
  <si>
    <t>Isosorbida. Tableta Cada Tableta contiene: Dinitrato de isosorbida 10 mg Envase con 20 Tabletas.</t>
  </si>
  <si>
    <t>010.000.0597.00</t>
  </si>
  <si>
    <t>Nifedipino. Cápsula de Gelatina blanda Cada Cápsula contiene: Nifedipino 10 mg Envase con 20 Cápsulas.</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</si>
  <si>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</si>
  <si>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</si>
  <si>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</si>
  <si>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</si>
  <si>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010.000.0614.00</t>
  </si>
  <si>
    <t>Dopamina. Solución Inyectable Cada ampolleta contiene: Clorhidrato de dopamina 200 mg Envase con 5 ampolletas con 5 ml.</t>
  </si>
  <si>
    <t>010.000.0615.00</t>
  </si>
  <si>
    <t>Dobutamina. Solución Inyectable. Cada frasco ámpula o ampolleta contiene: Clorhidrato de dobutamina equivalente a 250 mg de dobutamina. Envase con 5 ampolletas con 5 ml cada una.</t>
  </si>
  <si>
    <t>010.000.0621.00</t>
  </si>
  <si>
    <t>Heparina. Solución Inyectable Cada frasco ámpula contiene: Heparina sódica equivalente a 10 000 UI de heparina. Envase con 50 frascos ámpula con 10 ml (1000 UI/ml)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</si>
  <si>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</si>
  <si>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</si>
  <si>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</si>
  <si>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</si>
  <si>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010.000.0624.01</t>
  </si>
  <si>
    <t>Acenocumarol. Tableta Cada Tableta contiene: Acenocumarol 4 mg. Envase con 30 tabletas.</t>
  </si>
  <si>
    <t>010.000.0625.00</t>
  </si>
  <si>
    <t>Protamina. Solución Inyectable Cada ampolleta de 5 mililitros contiene: Sulfato de protamina 71.5 mg Envase con ampolleta con 5 ml.</t>
  </si>
  <si>
    <t>010.000.0626.01</t>
  </si>
  <si>
    <t>Fitomenadiona. Solución o Emulsión Inyectable Cada ampolleta contiene: Fitomenadiona 10 mg Envase con 5 ampolletas de 1 ml.</t>
  </si>
  <si>
    <t>010.000.0641.00</t>
  </si>
  <si>
    <t>Dextrán. Solución Inyectable al 10%. Cada 100 mililitros contienen: dextrán (40 000): 10 g Glucosa 5 g Envase con 500 ml.</t>
  </si>
  <si>
    <t>010.000.0801.01</t>
  </si>
  <si>
    <t>Baño coloide. Polvo. Cada gramo contiene: Harina de soya 965 mg (contenido proteico 45%) Polividona 20 mg Envase con dos sobres individuales de 90 g.</t>
  </si>
  <si>
    <t>010.000.0822.00</t>
  </si>
  <si>
    <t>Benzoilo. Loción Dérmica o Gel Dérmico Cada 100 mililitros o gramos contienen: Peróxido de benzoilo 5 g Envase con 30 ml</t>
  </si>
  <si>
    <t>010.000.0865.00</t>
  </si>
  <si>
    <t>Permetrina. Solución Cada 100 ml contienen: Permetrina 1 g Envase con 110 ml.</t>
  </si>
  <si>
    <t>010.000.0871.00</t>
  </si>
  <si>
    <t>Alibour. Polvo Cada gramo contiene: Sulfato de Cobre 177.0 mg Sulfato de Zinc 619.5 mg alcanfor 26.5 mg Envase con 12 sobres con 2.2 g.</t>
  </si>
  <si>
    <t>010.000.0903.00</t>
  </si>
  <si>
    <t>Fluorouracilo. Crema o Ungüento Cada gramo contiene: 5- Fluorouracilo 50 mg Envase con 20 g.</t>
  </si>
  <si>
    <t>010.000.1005.00</t>
  </si>
  <si>
    <t>Tiroxina - triyodotironina. Tableta Cada tableta contiene: Tiroxina 100 µg. Triyodotironina 20 µg. Envase con 50 tabletas.</t>
  </si>
  <si>
    <t>010.000.1006.00</t>
  </si>
  <si>
    <t>Calcio. Comprimido Efervescente Cada comprimido contiene: Lactato gluconato de calcio 2.94 g. Carbonato de calcio 300 mg. equivalente a 500 mg de calcio ionizable. Envase con 12 comprimidos.</t>
  </si>
  <si>
    <t>010.000.1007.00</t>
  </si>
  <si>
    <t>Levotiroxina. Tableta Cada tableta contiene: Levotiroxina sódica equivalente a 100 µg de levotiroxina sódica anhidra. Envase con 100 tabletas.</t>
  </si>
  <si>
    <t>010.000.1022.00</t>
  </si>
  <si>
    <t>Tiamazol. Tableta Cada tableta contiene: Tiamazol 5 mg. Envase con 20 tabletas.</t>
  </si>
  <si>
    <t>010.000.1042.00</t>
  </si>
  <si>
    <t>Glibenclamida. Tableta Cada tableta contiene: Glibenclamida 5 mg. Envase con 50 tabletas.</t>
  </si>
  <si>
    <t>010.000.1050.00</t>
  </si>
  <si>
    <t>Insulina humana. Suspensión Inyectable Acción INTERMEDIA NPH Cada ml contiene: Insulina humana isófana (origen ADN recombinante) 100 UI ó Insulina zinc isófana humana (origen ADN recombinante) 100 UI Envase con un frasco ámpula con 5 ml.</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</si>
  <si>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</si>
  <si>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</si>
  <si>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010.000.1051.00</t>
  </si>
  <si>
    <t>Insulina humana. Solución Inyectable Acción Rápida Regular Cada ml contiene: Insulina humana (origen ADN recombinante) 100 UI ó Insulina zinc isófana humana (origen ADN recombinante) 100 UI Envase con un frasco ámpula con 5 ml.</t>
  </si>
  <si>
    <t>010.000.1051.01</t>
  </si>
  <si>
    <t>Insulina humana. Solución Inyectable Acción Rápida Regular Cada ml contiene: Insulina humana (origen ADN recombinante) 100 UI ó Insulina zinc isófana humana (origen ADN recombinante) 100 UI Envase con un frasco ámpula con 10 ml.</t>
  </si>
  <si>
    <t>010.000.1061.00</t>
  </si>
  <si>
    <t>Testosterona. Solución Inyectable Cada ampolleta contiene: Enantato de testosterona 250 mg Envase con ampolleta con 1 ml.</t>
  </si>
  <si>
    <t>010.000.1081.01</t>
  </si>
  <si>
    <t>Gonadotrofina coriónica. Solución Inyectable Cada frasco ámpula o ampolleta con liofilizado contiene: Gonadotrofina coriónica 5 000 UI Envase con 1 o 3 ampolletas o frascos viales y 1 o 3 ampolletas con 1 ml de diluyente.</t>
  </si>
  <si>
    <t>010.000.1095.00</t>
  </si>
  <si>
    <t>Calcitriol. Cápsula de Gelatina blanda Cada cápsula contiene: Calcitriol 0.25 µg. Envase con 50 cápsulas.</t>
  </si>
  <si>
    <t>010.000.1098.00</t>
  </si>
  <si>
    <t>Vitaminas A C y D. Solución. Cada ml contiene: Palmitato de Retinol 7000 a 9000 UI. Ácido ascórbico 80 a 125 mg. Colecalciferol 1400 a 1800 UI. Envase con 15 ml.</t>
  </si>
  <si>
    <t>010.000.1223.00</t>
  </si>
  <si>
    <t>Aluminio y magnesio. Tableta Masticable Cada Tableta Masticable contiene: Hidróxido de aluminio 200 mg Hidróxido de magnesio 200 mg o trisilicato de magnesio: 447.3 mg Envase con 50 Tabletas Masticables.</t>
  </si>
  <si>
    <t>010.000.1224.00</t>
  </si>
  <si>
    <t>Aluminio y magnesio. Suspensión Oral Cada 100 ml contienen: Hidróxido de aluminio 3.7 g Hidróxido de magnesio 4.0 g o trisilicato de magnesio: 8.9 g Envase con 240 ml y dosificador.</t>
  </si>
  <si>
    <t>010.000.1242.00</t>
  </si>
  <si>
    <t>Metoclopramida. Tableta Cada Tableta contiene: Clorhidrato de metoclopramida 10 mg Envase con 20 Tabletas.</t>
  </si>
  <si>
    <t>010.000.1244.00</t>
  </si>
  <si>
    <t>Mesalazina. Suspensión rectal. Cada 100 ml contiene: Mesalazina 6.667 g. Envase con 7 enemas de 60 ml.</t>
  </si>
  <si>
    <t>010.000.1271.00</t>
  </si>
  <si>
    <t>Plántago psyllium. Polvo Cada 100 g contienen: Polvo de cáscara de semilla de plántago psyllium 49.7 g Envase con 400 g.</t>
  </si>
  <si>
    <t>010.000.1272.00</t>
  </si>
  <si>
    <t>Senósidos a-b. Tableta Cada Tableta contiene: Concentrados de Sen desecados 187 mg (normalizado a 8.6 mg de senósidos A-B). Envase con 20 Tabletas.</t>
  </si>
  <si>
    <t>010.000.1275.00</t>
  </si>
  <si>
    <t>Magnesio. Suspensión Oral Cada 100 ml contienen: Hidróxido de magnesio 8.5 g Envase con 120 ml. (425 mg/5 ml).</t>
  </si>
  <si>
    <t>010.000.1277.00</t>
  </si>
  <si>
    <t>Fosfato y citrato de sodio. Solución. Cada 100 ml contienen: Fosfato monosódico 12 g Citrato de sodio 10 g Envase con 133 ml y cánula rectal.</t>
  </si>
  <si>
    <t>010.000.1278.00</t>
  </si>
  <si>
    <t>Glicerol. Supositorio. Cada supositorio contiene: Glicerol 2.632 g Envase con 6 Supositorios.</t>
  </si>
  <si>
    <t>010.000.1309.00</t>
  </si>
  <si>
    <t>Metronidazol. Solución Inyectable Cada ampolleta o frasco ámpula contiene: Metronidazol 200 mg Envase con 2 ampolletas o frascos ámpula con 10 ml.</t>
  </si>
  <si>
    <t>010.000.1310.00</t>
  </si>
  <si>
    <t>Metronidazol. Suspensión Oral Cada 5 ml contienen: Benzoilo de metronidazol equivalente a 250 mg de metronidazol. Envase con 120 ml y dosificador.</t>
  </si>
  <si>
    <t>010.000.1344.00</t>
  </si>
  <si>
    <t>Albendazol. Tableta Cada Tableta contiene: albendazol 200 mg Envase con 2 Tabletas.</t>
  </si>
  <si>
    <t>010.000.1345.00</t>
  </si>
  <si>
    <t>Albendazol. Suspensión Oral Cada frasco contiene: albendazol 400 mg Envase con 20 ml.</t>
  </si>
  <si>
    <t>010.000.1364.00</t>
  </si>
  <si>
    <t>Lidocaína - hidrocortisona. Supositorio Cada Supositorio contiene: Lidocaína 60 mg Acetato de Hidrocortisona 5 mg Óxido de Zinc 400 mg Subacetato de aluminio 50 mg Envase con 6 Supositorios.</t>
  </si>
  <si>
    <t>010.000.1506.00</t>
  </si>
  <si>
    <t>Estrógenos conjugados. Crema Vaginal Cada 100 g contiene: Estrógenos conjugados de origen equino 62.5 mg Envase con 43 g y aplicador.</t>
  </si>
  <si>
    <t>010.000.1531.00</t>
  </si>
  <si>
    <t>Clomifeno. Tableta. Cada tableta contiene: Citrato de Clomifeno 50 mg Envase con 10 Tabletas.</t>
  </si>
  <si>
    <t>010.000.1542.00</t>
  </si>
  <si>
    <t>Oxitocina. Solución Inyectable Cada ampolleta contiene: Oxitocina: 5 UI. Envase con 50 ampolletas con 1 ml.</t>
  </si>
  <si>
    <t>010.000.1545.00</t>
  </si>
  <si>
    <t>Atosibán. Solución Inyectable Cada frasco ámpula contiene: Atosibán 6.75 mg. Envase con 0.9 ml</t>
  </si>
  <si>
    <t>010.000.1562.00</t>
  </si>
  <si>
    <t>Nitrofural. Óvulo Cada Óvulo contiene: Nitrofural 6 mg Envase con 6 Óvulos.</t>
  </si>
  <si>
    <t>010.000.1701.00</t>
  </si>
  <si>
    <t>Fumarato ferroso. Tableta. Cada tableta contiene: Fumarato ferroso 200 mg equivalente a 65.74 mg de hierro elemental. Envase con 50 Tabletas.</t>
  </si>
  <si>
    <t>010.000.1703.00</t>
  </si>
  <si>
    <t>Sulfato ferroso. Tableta Cada Tableta contiene: Sulfato ferroso desecado aproximadamente 200 mg equivalente a 60.27 mg de hierro elemental. Envase con 30 Tabletas.</t>
  </si>
  <si>
    <t>010.000.1704.00</t>
  </si>
  <si>
    <t>Sulfato ferroso. Solución Cada ml contiene: Sulfato ferroso heptahidratado 125 mg equivalente a 25 mg de hierro elemental. Envase gotero con 15 ml.</t>
  </si>
  <si>
    <t>010.000.1705.00</t>
  </si>
  <si>
    <t>Hierro dextrán. Solución Inyectable Cada ampolleta contiene: Hierro en forma de hierro dextrán 100 mg Envase con 3 ampolletas de 2 ml.</t>
  </si>
  <si>
    <t>010.000.1706.00</t>
  </si>
  <si>
    <t>Ácido fólico. Tableta. Cada tableta contiene: Ácido fólico 5 mg Envase con 20 Tabletas.</t>
  </si>
  <si>
    <t>010.000.1707.00</t>
  </si>
  <si>
    <t>Ácido folínico. Solución Inyectable Cada ampolleta o frasco ámpula contiene: Folinato cálcico equivalente a 3 mg de ácido folínico. Envase con 6 ampolletas o frascos ámpula con un ml</t>
  </si>
  <si>
    <t>010.000.1711.00</t>
  </si>
  <si>
    <t>Ácido fólico. Tableta. Cada tableta contiene: Acido fólico 0.4 mg Envase con 90 Tabletas.</t>
  </si>
  <si>
    <t>010.000.1714.00</t>
  </si>
  <si>
    <t>Sacarato férrico. Solución Inyectable. La ampolleta contiene: Complejo de sacarato de óxido férrico equivalente a 100 mg de hierro elemental. Envase con 1 ampolleta de 5 ml.</t>
  </si>
  <si>
    <t>010.000.1732.01</t>
  </si>
  <si>
    <t>Fitomenadiona. Solución o Emulsión Inyectable Cada ampolleta contiene: Fitomenadiona 2 mg Envase con 5 ampolletas de 0.2 ml.</t>
  </si>
  <si>
    <t>010.000.1752.00</t>
  </si>
  <si>
    <t>Ciclofosfamida. Solución Inyectable Cada frasco ámpula con liofilizado o solución inyectable contiene: Ciclofosfamida monohidratada equivalente a 200 mg de ciclofosfamida. Envase con 5 frascos ámpula.</t>
  </si>
  <si>
    <t>010.000.1755.00</t>
  </si>
  <si>
    <t>Busulfán. Tableta Cada Tableta contiene: Busulfán 2 mg Envase con 25 Tabletas.</t>
  </si>
  <si>
    <t>010.000.1759.00</t>
  </si>
  <si>
    <t>Metotrexato. Tableta Cada Tableta contiene: Metotrexato sódico equivalente a 2.5 mg de metotrexato Envase con 50 Tabletas.</t>
  </si>
  <si>
    <t>010.000.1760.00</t>
  </si>
  <si>
    <t>METOTREXATO. SOLUCIÓN INYECTABLE Cada frasco ámpula con liofilizado o solución contiene: Metotrexato sódico equivalente a 50 mg de metotrexato. Envase con un frasco ámpula.</t>
  </si>
  <si>
    <t>010.000.1764.00</t>
  </si>
  <si>
    <t>Doxorrubicina. Solución Inyectable Cada frasco ámpula con liofilizado contiene: Clorhidrato de doxorrubicina 10 mg Envase con un frasco ámpula.</t>
  </si>
  <si>
    <t>010.000.1765.00</t>
  </si>
  <si>
    <t>Doxorrubicina. Solución Inyectable Cada frasco ámpula con liofilizado contiene: Clorhidrato de doxorrubicina 50 mg Envase con un frasco ámpula.</t>
  </si>
  <si>
    <t>010.000.1766.00</t>
  </si>
  <si>
    <t>Doxorrubicina. Suspensión Inyectable Cada frasco ámpula contiene: Clorhidrato de doxorrubicina liposomal pegilada equivalente a 20 mg de doxorrubicina (2 mg/ml) Envase con un frasco ámpula con 10 ml (2 mg/ml).</t>
  </si>
  <si>
    <t>010.000.1767.00</t>
  </si>
  <si>
    <t>Bleomicina. Solución Inyectable Cada ampolleta o frasco ámpula con liofilizado contiene: Sulfato de bleomicina equivalente a 15 UI de bleomicina. Envase con una ampolleta o un frasco ámpula y diluyente de 5 ml.</t>
  </si>
  <si>
    <t>010.000.1767.01</t>
  </si>
  <si>
    <t>Bleomicina. Solución Inyectable Cada ampolleta o frasco ámpula con liofilizado contiene: Sulfato de bleomicina equivalente a 15 UI de bleomicina. Envase con una ampolleta o un frasco ámpula y diluyente de 10 ml.</t>
  </si>
  <si>
    <t>010.000.1768.00</t>
  </si>
  <si>
    <t>Vincristina. Solución Inyectable. Cada frasco ámpula con liofilizado contiene: Sulfato de Vincristina 1 mg. Envase con frasco ámpula y una ampolleta con 10 ml de diluyente.</t>
  </si>
  <si>
    <t>010.000.1768.03</t>
  </si>
  <si>
    <t>VINCRISTINA. SOLUCIÓN INYECTABLE. Cada frasco ámpula liofilizado contiene: sulfato de vincristina 1 mg de liofilizado sin diluyente. Envase con 1 frascos ámpula.</t>
  </si>
  <si>
    <t>010.000.1770.00</t>
  </si>
  <si>
    <t>Vinblastina. Solución Inyectable. Cada frasco ámpula con liofilizado contiene: Sulfato de vinblastina 10 mg. Envase con un frasco ámpula con o sin diluyente de 10 mL.</t>
  </si>
  <si>
    <t>010.000.1770.01</t>
  </si>
  <si>
    <t>VINBLASTINA. SOLUCIÓN INYECTABLE. Cada frasco ámpula con solución inyectable contiene: sulfato de vinblastina 10 mg. Envase con 10 frascos ámpula.</t>
  </si>
  <si>
    <t>010.000.1773.00</t>
  </si>
  <si>
    <t>Epirubicina. Solución Inyectable Cada envase contiene: Clorhidrato de epirubicina 10 mg Envase con un frasco ámpula con liofilizado o envase con un frasco ámpula con 5 ml de Solución (10 mg/5 ml).</t>
  </si>
  <si>
    <t>010.000.1774.00</t>
  </si>
  <si>
    <t>Epirubicina. Solución Inyectable Cada envase contiene: Clorhidrato de epirubicina 50 mg Envase con un frasco ámpula con liofilizado o envase con un frasco ámpula con 25 ml de Solución (50 mg/25 ml).</t>
  </si>
  <si>
    <t>010.000.1775.00</t>
  </si>
  <si>
    <t>Citarabina. Solución Inyectable Cada frasco ámpula o frasco ámpula con liofilizado contiene: Citarabina 500 mg Envase con un frasco ámpula o con un frasco ámpula con liofilizado.</t>
  </si>
  <si>
    <t>010.000.1776.00</t>
  </si>
  <si>
    <t>Metotrexato. Solución Inyectable Cada frasco ámpula con liofilizado contiene: Metotrexato sódico equivalente a 500 mg de metotrexato Envase con un frasco ámpula.</t>
  </si>
  <si>
    <t>010.000.1903.00</t>
  </si>
  <si>
    <t>Trimetoprima-sulfametoxazol. Comprimido o Tableta Cada Comprimido o Tableta contiene: Trimetoprima 80 mg Sulfametoxazol 400 mg Envase con 20 Comprimidos o Tabletas.</t>
  </si>
  <si>
    <t>010.000.1911.00</t>
  </si>
  <si>
    <t>Nitrofurantoína. Cápsula Cada Cápsula contiene: Nitrofurantoína 100 mg Envase con 40 Cápsulas.</t>
  </si>
  <si>
    <t>010.000.1921.00</t>
  </si>
  <si>
    <t>Bencilpenicilina sódica cristalina. Solución Inyectable Cada frasco ámpula con polvo contiene: Bencilpenicilina sódica cristalina equivalente a 1000 000 UI de bencilpenicilina. Envase con un frasco ámpula con o sin 2 ml de diluyente.</t>
  </si>
  <si>
    <t>010.000.1926.00</t>
  </si>
  <si>
    <t>Dicloxacilina. Cápsula o comprimido. Cada cápsula o comprimido contiene: Dicloxacilina sódica 500 mg Envase con 20 Cápsulas o Comprimidos.</t>
  </si>
  <si>
    <t>010.000.1927.00</t>
  </si>
  <si>
    <t>Dicloxacilina. Suspensión Oral. Cada 5 ml contienen: Dicloxacilina sódica 250 mg Envase con polvo para 60 ml y dosificador.</t>
  </si>
  <si>
    <t>010.000.1931.00</t>
  </si>
  <si>
    <t>Ampicilina. Solución Inyectable Cada frasco ámpula con polvo contiene: Ampicilina sódica equivalente a 500 mg de ampicilina. Envase con un frasco ámpula y 2 ml de diluyente.</t>
  </si>
  <si>
    <t>010.000.1933.00</t>
  </si>
  <si>
    <t>Bencilpenicilina sódica cristalina. Solución Inyectable Cada frasco ámpula con polvo contiene: Bencilpenicilina sódica cristalina equivalente a 5 000 000 UI de bencilpenicilina. Envase con un frasco ámpula.</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</si>
  <si>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</si>
  <si>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</si>
  <si>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</si>
  <si>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</si>
  <si>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010.000.1938.00</t>
  </si>
  <si>
    <t>Bencilpenicilina benzatínica compuesta. Suspensión Inyectable Cada frasco ámpula con polvo contiene: Benzatina bencilpenicilina equivalente a 600 000 UI de bencilpenicilina Bencilpenicilina procaínica equivalente a 300 000 UI de bencilpenicilina Bencilpenicilina cristalina equivalente a 300 000 UI de bencilpenicilina Envase con un frasco ámpula y diluyente con 3 ml.</t>
  </si>
  <si>
    <t>010.000.1939.00</t>
  </si>
  <si>
    <t>Cefalexina. Tableta o Cápsula. Cada tableta o cápsula contiene: Cefalexina monohidratada equivalente a 500 mg de cefalexina. Envase con 20 Tabletas o Cápsulas.</t>
  </si>
  <si>
    <t>010.000.1941.00</t>
  </si>
  <si>
    <t>Doxiciclina. Cápsula o Tableta Cada Cápsula o Tableta contiene: Hiclato de doxiciclina equivalente a 50 mg de doxicilina. Envase con 28 Cápsulas o Tabletas.</t>
  </si>
  <si>
    <t>010.000.1954.00</t>
  </si>
  <si>
    <t>Gentamicina. Solución Inyectable. Cada ampolleta contiene: Sulfato de gentamicina equivalente a 80 mg de gentamicina. Envase con ampolleta con 2 ml.</t>
  </si>
  <si>
    <t>010.000.1955.00</t>
  </si>
  <si>
    <t>Gentamicina. Solución Inyectable. Cada ampolleta contiene: Sulfato de gentamicina equivalente a 20 mg de gentamicina base. Envase con ampolleta con 2 ml.</t>
  </si>
  <si>
    <t>010.000.1956.00</t>
  </si>
  <si>
    <t>Amikacina. Solución Inyectable. Cada ampolleta o frasco ámpula contiene: Sulfato de amikacina equivalente a 500 mg de amikacina. Envase con 1 ampolleta o frasco ámpula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</si>
  <si>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</si>
  <si>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</si>
  <si>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</si>
  <si>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</si>
  <si>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010.000.1973.00</t>
  </si>
  <si>
    <t>Clindamicina. Solución Inyectable Cada ampolleta contiene: Fosfato de clindamicina equivalente a 300 mg de clindamicina. Envase ampolleta con 2 ml.</t>
  </si>
  <si>
    <t>010.000.2012.00</t>
  </si>
  <si>
    <t>Amfotericina B o Anfotericina B. Solución Inyectable. Cada frasco ámpula con polvo contiene: Amfotericina B o Anfotericina B 50 mg. Envase con un frasco ámpula.</t>
  </si>
  <si>
    <t>010.000.2018.00</t>
  </si>
  <si>
    <t>Itraconazol. Cápsula Cada Cápsula contiene: Itraconazol 100 mg Envase con 15 Cápsulas.</t>
  </si>
  <si>
    <t>010.000.2111.01</t>
  </si>
  <si>
    <t>Amlodipino. Tableta o Cápsula Cada Tableta o Cápsula contiene: Besilato o Maleato de amlodipino equivalente a 5 mg de amlodipino. Envase con 30 Tabletas o Cápsulas.</t>
  </si>
  <si>
    <t>010.000.2118.00</t>
  </si>
  <si>
    <t>Aceite de almendras dulces. Crema Aceite de almendras dulces e hidróxido de calcio. Envase con 240 ml.</t>
  </si>
  <si>
    <t>010.000.2119.00</t>
  </si>
  <si>
    <t>Betametasona. Ungüento Cada 100 gramos contiene: Dipropionato de betametasona 64 mg equivalente a 50 mg de betametasona. Envase con 30 g.</t>
  </si>
  <si>
    <t>010.000.2126.00</t>
  </si>
  <si>
    <t>Aciclovir. Comprimido o Tableta Cada Comprimido o Tableta contiene: Aciclovir 400 mg Envase con 35 Comprimidos o Tabletas.</t>
  </si>
  <si>
    <t>010.000.2127.00</t>
  </si>
  <si>
    <t>Amoxicilina. Suspensión Oral Cada frasco con polvo contiene: Amoxicilina trihidratada equivalente a 7.5 g de amoxicilina. Envase con polvo para 75 ml (500 mg/5 ml).</t>
  </si>
  <si>
    <t>010.000.2128.00</t>
  </si>
  <si>
    <t>Amoxicilina. Cápsula Cada Cápsula contiene: Amoxicilina trihidratada equivalente a 500 mg de amoxicilina. Envase con 12 Cápsulas.</t>
  </si>
  <si>
    <t>010.000.2128.01</t>
  </si>
  <si>
    <t>Amoxicilina. Cápsula Cada Cápsula contiene: Amoxicilina trihidratada equivalente a 500 mg de amoxicilina. Envase con 15 Cápsulas.</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</si>
  <si>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</si>
  <si>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</si>
  <si>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010.000.2132.00</t>
  </si>
  <si>
    <t>Claritromicina. Tableta Cada Tableta contiene: Claritromicina 250 mg Envase con 10 Tabletas.</t>
  </si>
  <si>
    <t>010.000.2133.00</t>
  </si>
  <si>
    <t>Clindamicina. Cápsula Cada Cápsula contiene: Clorhidrato de clindamicina equivalente a 300 mg de clindamicina. Envase con 16 Cápsulas.</t>
  </si>
  <si>
    <t>010.000.2144.00</t>
  </si>
  <si>
    <t>Loratadina. Tableta o gragea. Cada tableta o gragea contienen: Loratadina 10 mg. Envase con 20 tabletas o grageas.</t>
  </si>
  <si>
    <t>010.000.2145.00</t>
  </si>
  <si>
    <t>Loratadina. Jarabe Cada 100 ml contienen: Loratadina 100 mg Envase con 60 ml y dosificador.</t>
  </si>
  <si>
    <t>010.000.2154.00</t>
  </si>
  <si>
    <t>Enoxaparina. Solución Inyectable Cada jeringa contiene: Enoxaparina sódica 40 mg Envase con 2 Jeringas. de 0.4 ml.</t>
  </si>
  <si>
    <t>010.000.2154.01</t>
  </si>
  <si>
    <t>Enoxaparina. Solución Inyectable Cada jeringa contiene: Enoxaparina sódica 40 mg Envase con 2 Jeringas. con dispositivo de seguridad de 0.4 ml.</t>
  </si>
  <si>
    <t>010.000.2172.00</t>
  </si>
  <si>
    <t>Alcohol polivinílico. Solución Oftálmica Cada ml contiene: alcohol polivinílico 14 mg Envase con gotero integral con 15 ml.</t>
  </si>
  <si>
    <t>010.000.2174.00</t>
  </si>
  <si>
    <t>Ciprofloxacino. Solución Oftálmica Cada 1 ml contiene: Clorhidrato de ciprofloxacino monohidratado equivalente a 3.0 mg de ciprofloxacino. Envase con gotero integral con 5 ml.</t>
  </si>
  <si>
    <t>010.000.2176.00</t>
  </si>
  <si>
    <t>Dexametasona. Solución oftálmica. Cada 100 ml contienen: Fosfato de dexametasona 0.1 g Envase con frasco gotero con 5 ml.</t>
  </si>
  <si>
    <t>010.000.2179.00</t>
  </si>
  <si>
    <t>Fluorometalona. Solución Oftálmica Cada 100 ml contienen: Fluorometalona 100 mg Envase con gotero integral con 5 ml.</t>
  </si>
  <si>
    <t>010.000.2186.00</t>
  </si>
  <si>
    <t>Prednisolona-sulfacetamida. Suspensión Oftálmica Cada ml contiene: Acetato de prednisolona 5 mg Sulfacetamida sódica 100 mg Envase con gotero integrado con 5 ml.</t>
  </si>
  <si>
    <t>010.000.2188.00</t>
  </si>
  <si>
    <t>Ipratropio-salbutamol. Solución Cada ampolleta contiene: Bromuro de ipratropio monohidratado equivalente a 0.500 mg de bromuro de ipratropio. Sulfato de salbutamol equivalente a 2.500 mg de salbutamol. Envase con 10 ampolletas de 2.5 ml.</t>
  </si>
  <si>
    <t>010.000.2189.01</t>
  </si>
  <si>
    <t>Tobramicina. Solución Oftálmica Cada ml contiene: Sulfato de tobramicina equivalente a 3.0 mg de tobramicina ó tobramicina 3.0 mg Envase con gotero integral con15 ml</t>
  </si>
  <si>
    <t>010.000.2195.00</t>
  </si>
  <si>
    <t>Ondansetrón. Tableta Cada Tableta contiene: Clorhidrato dihidratado de ondansetrón equivalente a 8 mg de ondansetrón Envase con 10 Tabletas.</t>
  </si>
  <si>
    <t>010.000.2198.00</t>
  </si>
  <si>
    <t>Oximetazolina. Solución Nasal Cada 100 ml contienen: Clorhidrato de oximetazolina 50 mg Envase con gotero integral con 20 ml.</t>
  </si>
  <si>
    <t>010.000.2199.00</t>
  </si>
  <si>
    <t>Oximetazolina. Solución Nasal Cada 100 ml contienen Clorhidrato de oximetazolina 25 mg Envase con gotero integral con 20 ml.</t>
  </si>
  <si>
    <t>010.000.2207.01</t>
  </si>
  <si>
    <t>Tibolona. Tableta Cada Tableta contiene: Tibolona 2.5 mg Envase con 30 Tabletas.</t>
  </si>
  <si>
    <t>010.000.2208.00</t>
  </si>
  <si>
    <t>Levonorgestrel. Polvo El dispositivo con polvo contiene: Levonorgestrel (micronizado) 52 mg Envase con un dispositivo.</t>
  </si>
  <si>
    <t>010.000.2210.00</t>
  </si>
  <si>
    <t>Levonorgestrel. Comprimido o Tableta Cada Comprimido o Tableta contiene: Levonorgestrel 0.750 mg Envase con 2 Comprimidos o Tabletas.</t>
  </si>
  <si>
    <t>010.000.2212.00</t>
  </si>
  <si>
    <t>Desogestrel. Tableta. Cada tableta contiene: desogestrel 0.075 mg Envase con 28 Tabletas.</t>
  </si>
  <si>
    <t>010.000.2230.00</t>
  </si>
  <si>
    <t>Amoxicilina acido clavulánico. Tableta Cada Tableta contiene: amoxicilina trihidratada equivalente a 500 mg de amoxilina. Clavulanato de potasio equivalente a 125 mg de ácido clavulánico. Envase con 12 Tabletas.</t>
  </si>
  <si>
    <t>010.000.2230.01</t>
  </si>
  <si>
    <t>Amoxicilina acido clavulánico. Tableta Cada Tableta contiene: amoxicilina trihidratada equivalente a 500 mg de amoxilina. Clavulanato de potasio equivalente a 125 mg de ácido clavulánico. Envase con 16 Tabletas.</t>
  </si>
  <si>
    <t>010.000.2242.00</t>
  </si>
  <si>
    <t>Carbón activado. Polvo. Cada envase contiene: Carbón activado 1 kg Envase con un kg. (para uso en seres humanos).</t>
  </si>
  <si>
    <t>010.000.2301.00</t>
  </si>
  <si>
    <t>Hidroclorotiazida. Tableta Cada Tableta contiene: Hidroclorotiazida 25 mg Envase con 20 Tabletas.</t>
  </si>
  <si>
    <t>010.000.2304.00</t>
  </si>
  <si>
    <t>Espironolactona. Tableta. Cada Tableta contiene: Espironolactona 25 mg Envase con 20 Tabletas.</t>
  </si>
  <si>
    <t>010.000.2307.00</t>
  </si>
  <si>
    <t>Furosemida. Tableta. Cada tableta contiene: Furosemida 40 mg Envase con 20 Tabletas.</t>
  </si>
  <si>
    <t>010.000.2308.00</t>
  </si>
  <si>
    <t>Furosemida. Solución Inyectable. Cada ampolleta contiene: Furosemida 20 mg Envase con 5 ampolletas de 2 ml.</t>
  </si>
  <si>
    <t>010.000.2350.00</t>
  </si>
  <si>
    <t>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t>
  </si>
  <si>
    <t>010.000.2352.00</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</si>
  <si>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t>
  </si>
  <si>
    <t>010.000.2354.00</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</si>
  <si>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t>
  </si>
  <si>
    <t>010.000.2356.00</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</si>
  <si>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t>
  </si>
  <si>
    <t>010.000.2366.00</t>
  </si>
  <si>
    <t>Sistema integral para la aplicación de Diálisis Peritoneal automatizada. Las unidades médicas seleccionarán de acuerdo a sus necesidades asegurando su compatibilidad con la marca y modelo del equipo: 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oSolución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6 000 ml.CATETER Catéter para Diálisis Peritoneal. Tipo: Cola de cochino. Tamaño: Pediátrico o Adulto. de instalación subcutánea blando de silicón con dos cojinetes de poliéster o dacrón con conector tapón y seguro con banda radioopaca. Estéril y desechable. Pieza. El tamaño del catéter será seleccionado por las instituciones. o Catéter para Diálisis Peritoneal. Tipo: Tenckhoff: Tamaño: Neonatal pediátrico o Adulto. de instalación subcutánea blando de silicón con dos cojinetes de poliéster o dacrón con conector con tapón seguro con banda radioopaca. Estéril y desechable. Pieza. El tamaño del catéter será seleccionado por las instituciones.CoNECToR Conector de titanio Luer lock para ajustar la punta del catéter a línea de transferencia tipo Tenckhoff. Estéril. Pieza.EQUIPo de LINEA CoRTA de TRANSFERENCIA Equipo. de línea corta de transferencia de 6 meses de duración para unirse al conector correspondiente al catéter del paciente. Estéril y desechable.SISTEMA de CoNEXIoN MULTIPLE de PVC Sistema de conexión múltiple de PVC para conectar hasta 4 Bolsas de Solución de Diálisis Peritoneal. Compatible con el equipo portátil de Diálisis Peritoneal (clave 531.829.0599). Estéril y desechable.CUBREBoCAS Cubrebocas. Para uso en área hospitalaria desechables. Pieza.TAPoN LUER LoCK PRoTECToR Tapón Luer-lock protector con Solución antiséptica de yodopovidona para protección del equipo de transferencia sistema automático. Sólo si el Sistema lo requiere. Estéril y desechable.PINZA de SUJECIoN deSECHABLE Pinza de sujeción desechable para el manejo de equipo para Diálisis Peritoneal. Pieza.Antiséptico y germicida. Solución. Sólo si el Sistema lo requiere.</t>
  </si>
  <si>
    <t>010.000.2403.00</t>
  </si>
  <si>
    <t>Estreptomicina. Solución Inyectable El frasco ámpula con polvo contiene: Sulfato de estreptomicina equivalente a 1 g de estreptomicina. Envase con un frasco ámpula y diluyente con 2 ml.</t>
  </si>
  <si>
    <t>010.000.2404.00</t>
  </si>
  <si>
    <t>Isoniazida. Tableta Cada Tableta contiene: Isoniazida: 100 mg Envase con 200 Tabletas.</t>
  </si>
  <si>
    <t>010.000.2433.00</t>
  </si>
  <si>
    <t>Benzonatato. Perla o Cápsula Cada Perla o Cápsula contiene: Benzonatato 100 mg Envase con 20 Perlas o Cápsulas.</t>
  </si>
  <si>
    <t>010.000.2462.00</t>
  </si>
  <si>
    <t>Ambroxol. Comprimido Cada Comprimido contiene: Clorhidrato de ambroxol 30 mg Envase con 20 Comprimidos.</t>
  </si>
  <si>
    <t>010.000.2501.00</t>
  </si>
  <si>
    <t>ENALAPRIL. CÁPSULA O TABLETA Cada cápsula o tableta contiene: Maleato de enalapril 10 mg. Envase con 30 cápsulas o tabletas.</t>
  </si>
  <si>
    <t>010.000.2503.02</t>
  </si>
  <si>
    <t>Alopurinol. Tableta. Cada tableta contiene: alopurinol 100 mg. Envase con 60 tabletas.</t>
  </si>
  <si>
    <t>010.000.2504.00</t>
  </si>
  <si>
    <t>Ketoprofeno. Cápsula Cada Cápsula contiene: Ketoprofeno 100 mg Envase con 15 Cápsulas.</t>
  </si>
  <si>
    <t>010.000.2520.00</t>
  </si>
  <si>
    <t>Losartán. Gragea o comprimido recubierto. Cada gragea o comprimido recubierto contiene: Losartán potásico 50 mg. Envase con 30 grageas o comprimidos recubiertos.</t>
  </si>
  <si>
    <t>010.000.2523.00</t>
  </si>
  <si>
    <t>Nitazoxanida. Gragea o Tableta ReCubierta Cada Gragea o Tableta ReCubierta contiene: Nitazoxanida 500 mg Envase con 6 Grageas o Tabletas ReCubiertas</t>
  </si>
  <si>
    <t>010.000.2524.01</t>
  </si>
  <si>
    <t>Nitazoxanida. Suspensión Oral Cada 5 ml contienen Nitazoxanida 100 mg Envase con 60 ml</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</si>
  <si>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</si>
  <si>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</si>
  <si>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</si>
  <si>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</si>
  <si>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</si>
  <si>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</si>
  <si>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010.000.2606.00</t>
  </si>
  <si>
    <t>Primidona. Tableta Cada Tableta contiene: Primidona 250 mg Envase con 50 Tabletas.</t>
  </si>
  <si>
    <t>010.000.2616.00</t>
  </si>
  <si>
    <t>Levetiracetam. Solución Oral Cada 100 ml contienen: Levetiracetam 10 g Envase con 300 ml (100 mg/ml)</t>
  </si>
  <si>
    <t>010.000.2620.00</t>
  </si>
  <si>
    <t>Ácido valproico. Cápsula Cada Cápsula contiene: Ácido valproico 250 mg Envase con 60 Cápsulas.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</si>
  <si>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</si>
  <si>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</si>
  <si>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010.000.2623.00</t>
  </si>
  <si>
    <t>Valproato de magnesio. Solución Cada ml contiene: Valproato de magnesio equivalente a 186 mg de ácido valproico. Envase con 40 ml.</t>
  </si>
  <si>
    <t>010.000.2627.00</t>
  </si>
  <si>
    <t>Oxcarbazepina. Gragea o Tableta Cada Gragea o Tableta contiene oxcarbazepina 600 mg Envase con 20 Grageas o Tabletas.</t>
  </si>
  <si>
    <t>010.000.2628.00</t>
  </si>
  <si>
    <t>Oxcarbazepina. Suspensión Oral Cada 100 ml contienen: oxcarbazepina 6 g Envase con 100 ml.</t>
  </si>
  <si>
    <t>010.000.2649.00</t>
  </si>
  <si>
    <t>Pramipexol. Tableta Cada Tableta contiene Diclorhidrato de pramipexol Monohidratado 0.5 mg Envase con 30 Tabletas.</t>
  </si>
  <si>
    <t>010.000.2714.00</t>
  </si>
  <si>
    <t>Complejo b. Tableta Comprimido o Cápsula. Cada tableta Comprimido o Cápsula contiene: Mononitrato o clorhidrato de Tiamina 100 mg. Clorhidrato de piridoxina 5 mg. Cianocobalamina 50 µg Envase con 30 Tabletas Comprimidos o Cápsulas.</t>
  </si>
  <si>
    <t>010.000.2715.00</t>
  </si>
  <si>
    <t>Vitamina E. Gragea o Cápsula. Cada Gragea o Cápsula contiene: Vitamina E 400 mg. Envase con 100 Grageas o Cápsulas.</t>
  </si>
  <si>
    <t>010.000.2736.00</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</si>
  <si>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6 sobres con 79.5 a 80.4 g cada uno.</t>
  </si>
  <si>
    <t>010.000.2739.00</t>
  </si>
  <si>
    <t>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t>
  </si>
  <si>
    <t>010.000.2740.00</t>
  </si>
  <si>
    <t>Lípidos intravenosos. Emulsión Inyectable (lípidos de cadena mediana y larga al 20%; soya/triglicéridos). Cada 1000 ml contienen: Aceite de soya 100 g. Triglicéridos de cadena mediana 100 g. Cada ml proporciona 1.9 Kcal. Envase con 500 ml.</t>
  </si>
  <si>
    <t>010.000.2744.00</t>
  </si>
  <si>
    <t>Lípidos intravenosos. Emulsión Inyectable (lípidos de cadena larga al 20 %; oliva/soya) Cada 100 ml contienen: Aceite de oliva 16 g. Aceite de soya 4 g. Envase con 500 ml.</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</si>
  <si>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</si>
  <si>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</si>
  <si>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</si>
  <si>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</si>
  <si>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010.000.2806.00</t>
  </si>
  <si>
    <t>Cromoglicato de sodio. Solución Oftálmica Cada ml contiene: Cromoglicato de sodio 40 mg Envase con gotero integral con 5 ml.</t>
  </si>
  <si>
    <t>010.000.2814.00</t>
  </si>
  <si>
    <t>Hipromelosa. Solución Oftálmica al 0.5% Cada ml contiene: Hipromelosa 5 mg Envase con gotero integral con 15 ml.</t>
  </si>
  <si>
    <t>010.000.2821.00</t>
  </si>
  <si>
    <t>Cloranfenicol. Solución oftálmica. Cada ml contiene: Cloranfenicol levógiro 5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</si>
  <si>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</si>
  <si>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</si>
  <si>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</si>
  <si>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</si>
  <si>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010.000.2830.00</t>
  </si>
  <si>
    <t>Aciclovir. Ungüento Oftálmico Cada 100 gramos contienen Aciclovir 3 g Envase con 4.5 g.</t>
  </si>
  <si>
    <t>010.000.2841.00</t>
  </si>
  <si>
    <t>Prednisolona. Solución Oftálmica Cada ml contiene: Fosfato sódico de prednisolona equivalente a 5 mg de fosfato de prednisolona Envase con gotero integral con 5 ml.</t>
  </si>
  <si>
    <t>010.000.2851.00</t>
  </si>
  <si>
    <t>Pilocarpina. Solución Oftálmica al 2% Cada ml contiene: Clorhidrato de pilocarpina 20 mg Envase con gotero integral con 15 ml.</t>
  </si>
  <si>
    <t>010.000.2858.00</t>
  </si>
  <si>
    <t>Timolol. Solución Oftálmica Cada ml contiene: Maleato de timolol equivalente a 5 mg de timolol. Envase con gotero integral con 5 ml.</t>
  </si>
  <si>
    <t>010.000.2871.00</t>
  </si>
  <si>
    <t>Fenilefrina. Solución Oftálmica Cada ml contiene: Clorhidrato de fenilefrina 100 mg Envase con gotero integral con 15 ml.</t>
  </si>
  <si>
    <t>010.000.2872.00</t>
  </si>
  <si>
    <t>Atropina. Solución Oftálmica Cada ml contiene: Sulfato de Atropina 10 mg Envase con gotero integral con 15 ml.</t>
  </si>
  <si>
    <t>010.000.2893.00</t>
  </si>
  <si>
    <t>Hipromelosa. Solución Oftálmica al 2% Cada ml contiene: Hipromelosa 20 mg Envase con gotero integral con 15 ml.</t>
  </si>
  <si>
    <t>010.000.2899.00</t>
  </si>
  <si>
    <t>Cloruro de sodio. Pomada o Solución Oftálmica Cada gramo o ml contiene: Cloruro de sodio 50 mg Envase con 7 g o con gotero integral con 10 ml.</t>
  </si>
  <si>
    <t>010.000.3003.00</t>
  </si>
  <si>
    <t>Dacarbazina. Solución Inyectable Cada frasco ámpula con polvo contiene: Dacarbazina 200 mg Envase con un frasco ámpula</t>
  </si>
  <si>
    <t>010.000.3012.00</t>
  </si>
  <si>
    <t>Fluorouracilo. Solución Inyectable. Cada ampolleta o frasco ámpula contiene: Fluorouracilo 250 mg. Envase con 10 ampolletas o frascos ámpula con 10 ml.</t>
  </si>
  <si>
    <t>010.000.3022.00</t>
  </si>
  <si>
    <t>Mitomicina. Solución Inyectable Cada frasco ámpula con polvo contiene: Mitomicina 5 mg Envase con un frasco ámpula.</t>
  </si>
  <si>
    <t>010.000.3046.00</t>
  </si>
  <si>
    <t>Cisplatino. Solución Inyectable El frasco ámpula con liofilizado o Solución contiene: Cisplatino 10 mg Envase con un frasco ámpula.</t>
  </si>
  <si>
    <t>010.000.3047.00</t>
  </si>
  <si>
    <t>Tamoxifeno. Tableta Cada Tableta contiene: Citrato de tamoxifeno equivalente a 20 mg de tamoxifeno Envase con 14 Tabletas.</t>
  </si>
  <si>
    <t>010.000.3055.01</t>
  </si>
  <si>
    <t>Leuprorelina. Suspensión Inyectable Cada jeringa prellenada con polvo liofilizado o cada frasco ámpula con microesferas liofilizadas contiene: Acetato de leuprorelina 7.5 mg. Envase con frasco ámpula con microesferas liofilizadas un frasco ámpula con 2 ml de diluyente y jeringa de 3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</si>
  <si>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</si>
  <si>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</si>
  <si>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</si>
  <si>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</si>
  <si>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010.000.3143.00</t>
  </si>
  <si>
    <t>Epinastina. Tableta Cada Tableta contiene: Clorhidrato de epinastina 20 mg Envase con 10 Tabletas.</t>
  </si>
  <si>
    <t>010.000.3146.00</t>
  </si>
  <si>
    <t>Fexofenadina. Comprimido Cada Comprimido contiene: Clorhidrato de fexofenadina 180 mg Envase con 10 Comprimidos.</t>
  </si>
  <si>
    <t>010.000.3264.00</t>
  </si>
  <si>
    <t>Ziprasidona. Cápsula Cada Cápsula contiene: Clorhidrato de ziprasidona equivalente a 40 mg de ziprasidona. Envase con 28 Cápsulas</t>
  </si>
  <si>
    <t>010.000.3265.00</t>
  </si>
  <si>
    <t>Ziprasidona. Cápsula Cada Cápsula contiene: Clorhidrato de ziprasidona equivalente a 80 mg de ziprasidona. Envase con 28 Cápsulas</t>
  </si>
  <si>
    <t>010.000.3406.00</t>
  </si>
  <si>
    <t>Acemetacina. Cápsula de Liberación Prolongada Cada Cápsula de Liberación Prolongada contiene: Acemetacina 90 mg Envase con 14 Cápsulas de Liberación Prolongada.</t>
  </si>
  <si>
    <t>010.000.3412.01</t>
  </si>
  <si>
    <t>Indometacina. Supositorio Cada Supositorio contiene: Indometacina 100 mg Envase con 15 Supositorios.</t>
  </si>
  <si>
    <t>010.000.3417.00</t>
  </si>
  <si>
    <t>Diclofenaco. Cápsula o gragea de liberación prolongada. Cada gragea contiene: Diclofenaco sódico 100 mg Envase con 20 Cápsulas o Grageas.</t>
  </si>
  <si>
    <t>010.000.3422.00</t>
  </si>
  <si>
    <t>Ketorolaco solucion inyectable cada frasco ámpula o ampolleta contiene: ketorolaco-trometamina 30 mg envase con 3 frascos ámpula o 3 ampolletas de 1 ml.</t>
  </si>
  <si>
    <t>010.000.3461.00</t>
  </si>
  <si>
    <t>Azatioprina. Tableta Cada Tableta contiene: Azatioprina 50 mg Envase con 50 Tabletas.</t>
  </si>
  <si>
    <t>010.000.3507.00</t>
  </si>
  <si>
    <t>Levonorgestrel y etinilestradiol. Gragea Cada Gragea contiene: Levonorgestrel 0.15 mg Etinilestradiol 0.03 mg Envase con 28 Grageas. (21 con hormonales y 7 sin hormonales)</t>
  </si>
  <si>
    <t>010.000.3509.00</t>
  </si>
  <si>
    <t>Medroxiprogesterona y cipionato de estradiol. Suspensión Inyectable Cada ampolleta o jeringa contiene: Acetato de Medroxiprogesterona 25 mg Cipionato de estradiol 5 mg Envase con una ampolleta o jeringa prellenada de 0.5 ml.</t>
  </si>
  <si>
    <t>010.000.3515.00</t>
  </si>
  <si>
    <t>Noretisterona y estradiol. Solución Inyectable Cada ampolleta o jeringa contiene: Enantato de noretisterona 50 mg Valerato de estradiol 5 mg Envase con una ampolleta o jeringa con un ml.</t>
  </si>
  <si>
    <t>010.000.3601.00</t>
  </si>
  <si>
    <t>Glucosa. Solución Inyectable al 5 % Cada 100 ml contiene: Glucosa anhidra o glucosa 5 g ó Glucosa monohidratada equivalente a 5.0 g de glucosa Envase con 250 ml. Contiene: Glucosa 12.5 g</t>
  </si>
  <si>
    <t>010.000.3603.00</t>
  </si>
  <si>
    <t>Glucosa. Solución Inyectable al 5% Cada 100 ml contienen: Glucosa anhidra o glucosa 5 g ó Glucosa monohidratada equivalente a 5.0 g de glucosa Envase con 1 000 ml. Contiene: Glucosa 50.0 g</t>
  </si>
  <si>
    <t>010.000.3604.00</t>
  </si>
  <si>
    <t>Glucosa. Solución Inyectable al 10% Cada 100 ml contienen: Glucosa anhidra o glucosa 10 g ó Glucosa monohidratada equivalente a 10.0 g de glucosa Envase con 500 ml. Contiene: Glucosa 50.0 g</t>
  </si>
  <si>
    <t>010.000.3605.00</t>
  </si>
  <si>
    <t>Glucosa. Solución Inyectable al 10% Cada 100 ml contienen: Glucosa anhidra o glucosa 10 g ó Glucosa monohidratada equivalente a 10.0 g de glucosa Envase con 1 000 ml. Contiene: Glucosa 100.0 g</t>
  </si>
  <si>
    <t>010.000.3608.00</t>
  </si>
  <si>
    <t>Cloruro de sodio. Solución Inyectable al 0.9%. Cada 100 ml contienen: Cloruro de sodio 0.9 g Agua Inyectable 100 ml Envase con 250 ml. Contiene: Sodio 38.5 mEq. Cloruro 38.5 mEq.</t>
  </si>
  <si>
    <t>010.000.3609.00</t>
  </si>
  <si>
    <t>Cloruro de sodio. Solución Inyectable al 0.9%. Cada 100 ml contienen: Cloruro de sodio 0.9 g Agua Inyectable 100 ml Envase con 500 ml. Contiene: Sodio 77 mEq. Cloruro 77 mEq.</t>
  </si>
  <si>
    <t>010.000.3610.00</t>
  </si>
  <si>
    <t>Cloruro de sodio. Solución Inyectable al 0.9%. Cada 100 ml contienen: Cloruro de sodio 0.9 g Agua Inyectable 100 ml Envase con 1 000 ml. Contiene: Sodio 154 mEq. Cloruro 154 mEq.</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</si>
  <si>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</si>
  <si>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</si>
  <si>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</si>
  <si>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</si>
  <si>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</si>
  <si>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</si>
  <si>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</si>
  <si>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</si>
  <si>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010.000.3618.00</t>
  </si>
  <si>
    <t>Bicarbonato de sodio. Solución Inyectable al 7.5% Cada frasco ámpula contiene: Bicarbonato de sodio 3.75 g Envase con frasco ámpula de 50 ml. El envase con 50 ml contiene: Bicarbonato de sodio 44.5 mEq</t>
  </si>
  <si>
    <t>010.000.3619.00</t>
  </si>
  <si>
    <t>Bicarbonato de sodio. Solución Inyectable al 7.5% Cada ampolleta contiene: Bicarbonato de sodio 0.75 g Envase con 50 ampolletas de 10 ml. Cada ampolleta con 10 ml contiene: Bicarbonato de sodio 8.9 mEq</t>
  </si>
  <si>
    <t>010.000.3620.00</t>
  </si>
  <si>
    <t>Gluconato de calcio. Solución Inyectable Cada ampolleta contiene: Gluconato de calcio 1 g equivalente a 0.093 g de calcio ionizable. Envase con 50 ampolletas de 10 ml</t>
  </si>
  <si>
    <t>010.000.3627.00</t>
  </si>
  <si>
    <t>Cloruro de sodio. Solución Inyectable al 0.9%. Cada 100 ml contienen: Cloruro de sodio 0.9 g Agua Inyectable 100 ml Envase con 100 ml.</t>
  </si>
  <si>
    <t>010.000.3629.00</t>
  </si>
  <si>
    <t>Magnesio sulfato de. Solución Inyectable Cada ampolleta contiene: Sulfato de magnesio 1g (Magnesio 8.1 mEq sulfato 8.1 mEq) Envase con 100 ampolletas de 10 ml con 1 g (100 mg/1 ml).</t>
  </si>
  <si>
    <t>010.000.3630.00</t>
  </si>
  <si>
    <t>Glucosa. Solución Inyectable al 5 % Cada 100 ml contiene: Glucosa anhidra o glucosa 5 g ó Glucosa monohidratada equivalente a 5.0 g de glucosa. Envase con 500 ml. Contiene: Glucosa 25.0 g</t>
  </si>
  <si>
    <t>010.000.3633.00</t>
  </si>
  <si>
    <t>Cloruro de sodio. Solución Inyectable. Cada 100 ml contienen: Cloruro de sodio 900 mg Agua Inyectable 100 ml Envase con bolsa de 50 ml y adaptador para vial.</t>
  </si>
  <si>
    <t>010.000.3634.00</t>
  </si>
  <si>
    <t>Cloruro de sodio. Solución Inyectable. Cada 100 ml contienen: Cloruro de sodio 900 mg Agua Inyectable 100 ml Envase con bolsa de 100 ml y adaptador para vial.</t>
  </si>
  <si>
    <t>010.000.3662.00</t>
  </si>
  <si>
    <t>Seroalbúmina humana o albúmina humana. Solución Inyectable Cada envase contiene: Seroalbúmina humana o albúmina humana 12.5 g Envase con 50 ml.</t>
  </si>
  <si>
    <t>010.000.3663.01</t>
  </si>
  <si>
    <t>Almidón. Solución Inyectable al 10%. Cada 100 ml contienen: Poli (o-2 hidroxietil) almidón o pentalmidón o hidroxietil almidón (200/0.5) 10 g Envase con 500 ml.</t>
  </si>
  <si>
    <t>010.000.3664.00</t>
  </si>
  <si>
    <t>Poligelina. Solución Inyectable Cada 100 ml contienen: Polimerizado de Gelatina succinilada degradada 4.0 g Envase con 500 ml</t>
  </si>
  <si>
    <t>010.000.3674.00</t>
  </si>
  <si>
    <t>Agua Inyectable. Solución Inyectable Cada ampolleta contiene: Agua Inyectable 10 ml Envase con 100 ampolletas con 10 ml.</t>
  </si>
  <si>
    <t>010.000.3830.00</t>
  </si>
  <si>
    <t>L-ornitina L-aspartato. Granulado Cada sobre -contiene: L-ornitina-L-aspartato 3 g Envase con 10 sobres.</t>
  </si>
  <si>
    <t>010.000.4023.00</t>
  </si>
  <si>
    <t>Rosuvastatina. Tableta Cada Tableta contiene: Rosuvastatina cálcica equivalente a 10 mg de rosuvastatina Envase con 30 Tabletas.</t>
  </si>
  <si>
    <t>010.000.4024.05</t>
  </si>
  <si>
    <t>Ezetimiba. Tableta Cada Tableta contiene: Ezetimiba 10 mg Envase con 30 Tabletas.</t>
  </si>
  <si>
    <t>010.000.4028.00</t>
  </si>
  <si>
    <t>Clonixinato de lisina solución inyectable cada ampolleta contiene: clonixinato de lisina 100 mg envase con 5 ampolletas de 2 ml.</t>
  </si>
  <si>
    <t>010.000.4059.00</t>
  </si>
  <si>
    <t>Rocuronio bromuro de. Solución Inyectable Cada ampolleta o frasco ámpula contiene: Bromuro de rocuronio 50 mg Envase con 12 ampolletas o frascos ámpula de 5 ml.</t>
  </si>
  <si>
    <t>010.000.4095.00</t>
  </si>
  <si>
    <t>Irbesartán. Tableta Cada Tableta contiene: Irbesartán 150 mg Envase con 28 Tabletas.</t>
  </si>
  <si>
    <t>010.000.4096.00</t>
  </si>
  <si>
    <t>Irbesartán. Tableta Cada Tableta contiene: Irbesartán 300 mg Envase con 28 Tabletas.</t>
  </si>
  <si>
    <t>010.000.4097.00</t>
  </si>
  <si>
    <t>Irbesartán-hidroclorotiazida. Tableta Cada Tableta contiene: Irbesartán 150 mg Hidroclorotiazida 12.5 mg Envase con 28 Tabletas.</t>
  </si>
  <si>
    <t>010.000.4098.00</t>
  </si>
  <si>
    <t>Irbesartán-hidroclorotiazida. Tableta Cada Tableta contiene: Irbesartán 300 mg Hidroclorotiazida 12.5 mg Envase con 28 Tabletas.</t>
  </si>
  <si>
    <t>010.000.4110.00</t>
  </si>
  <si>
    <t>Amiodarona. Tableta. Cada tableta contiene: Clorhidrato de amiodarona 200 mg. Envase con 20 tabletas.</t>
  </si>
  <si>
    <t>010.000.4113.00</t>
  </si>
  <si>
    <t>Polidocanol. Solución Inyectable Cada ml contiene: Polidocanol 30 mg Envase con un frasco ámpula con 30 ml.</t>
  </si>
  <si>
    <t>010.000.4117.00</t>
  </si>
  <si>
    <t>Pentoxifilina. Tableta o Gragea de Liberación Prolongada Cada Tableta o Gragea contiene: Pentoxifilina 400 mg Envase con 30 Tabletas o Grageas.</t>
  </si>
  <si>
    <t>010.000.4120.00</t>
  </si>
  <si>
    <t>Isosorbida mononitrato de. Tableta Cada Tableta contiene: 5-mononitrato de isosorbida 20 mg Envase con 20 Tabletas.</t>
  </si>
  <si>
    <t>010.000.4131.01</t>
  </si>
  <si>
    <t>Pimecrolimus. Crema Cada 100 g contiene: Pimecrolimus 1 g Envase con 30 g.</t>
  </si>
  <si>
    <t>010.000.4132.00</t>
  </si>
  <si>
    <t>Mometasona. Ungüento Cada 100 gramos contienen: Furoato de mometasona 0.100 g Envase con 30 g.</t>
  </si>
  <si>
    <t>010.000.4134.01</t>
  </si>
  <si>
    <t>Hidroquinona. Crema Cada 100 gramos contienen: Hidroquinona 4.0 g Envase con 30 g.</t>
  </si>
  <si>
    <t>010.000.4139.00</t>
  </si>
  <si>
    <t>Minociclina. Gragea Cada Gragea contiene Clorhidrato de minociclina equivalente a 100 mg de minociclina. Envase con 12 Grageas.</t>
  </si>
  <si>
    <t>010.000.4145.00</t>
  </si>
  <si>
    <t>Lutropina alfa. Solución Inyectable Cada frasco ámpula con liofilizado contiene: Lutropina alfa 75 UI Envase con 1 frasco ámpula y 1 ampolleta o frasco ámpula con 1 ml de diluyente.</t>
  </si>
  <si>
    <t>010.000.4149.00</t>
  </si>
  <si>
    <t>Pioglitazona. Tableta Cada Tableta contiene: Clorhidrato de pioglitazona equivalente a 15 mg de pioglitazona. Envase con 7 Tabletas.</t>
  </si>
  <si>
    <t>010.000.4152.01</t>
  </si>
  <si>
    <t>Sitagliptina. Comprimido Cada Comprimido contiene: Fosfato de sitagliptina monohidratada equivalente a 100 mg de sitagliptina Envase con 28 Comprimidos.</t>
  </si>
  <si>
    <t>010.000.4153.01</t>
  </si>
  <si>
    <t>Sitagliptina. Comprimido Cada Comprimido contiene: Fosfato de sitagliptina monohidratada equivalente a 50 mg de sitagliptina Envase con 28 Comprimidos.</t>
  </si>
  <si>
    <t>010.000.4154.00</t>
  </si>
  <si>
    <t>Vasopresina. Solución Inyectable Cada ampolleta contiene: Vasopresina 20 UI Envase con una ampolleta.</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</si>
  <si>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</si>
  <si>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</si>
  <si>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010.000.4158.00</t>
  </si>
  <si>
    <t>Insulina glargina. Solución Inyectable Cada ml de Solución contiene: Insulina glargina 3.64 mg equivalente a 100.0 UI de insulina humana. Envase con un frasco ámpula con 10 ml.</t>
  </si>
  <si>
    <t>010.000.4158.01</t>
  </si>
  <si>
    <t>Insulina glargina. Solución Inyectable Cada ml de Solución contiene: Insulina glargina 3.64 mg equivalente a 100.0 UI de insulina humana. Envase con 5 cartuchos de vidrio con 3 ml en dispositivo desechable.</t>
  </si>
  <si>
    <t>010.000.4160.00</t>
  </si>
  <si>
    <t>Fludrocortisona. Comprimido Cada Comprimido contiene: Acetato de fludrocortisona 0.1 mg Envase con 100 Comprimidos.</t>
  </si>
  <si>
    <t>010.000.4161.00</t>
  </si>
  <si>
    <t>Ácido alendrónico. Tableta o Comprimido Cada Tableta o Comprimido contiene alendronato de sodio equivalente a 10 mg de ácido alendrónico. Envase con 30 Tabletas o Comprimidos.</t>
  </si>
  <si>
    <t>010.000.4166.00</t>
  </si>
  <si>
    <t>Ácido risedrónico. Gragea o Tableta Cada Gragea o Tableta contiene: Risedronato sódico 5 mg Envase con 28 Grageas o Tabletas.</t>
  </si>
  <si>
    <t>010.000.4167.00</t>
  </si>
  <si>
    <t>Ácido risedrónico. Gragea o Tableta Cada Gragea o Tableta contiene: Risedronato sódico 35 mg Envase con 4 Grageas o Tabletas.</t>
  </si>
  <si>
    <t>010.000.4175.01</t>
  </si>
  <si>
    <t>Mesalazina. Supositorio Cada Supositorio contiene: Mesalazina 1 g Envase con 28 Supositorios.</t>
  </si>
  <si>
    <t>010.000.4176.00</t>
  </si>
  <si>
    <t>Neomicina. Cápsula o Tableta Cada Tableta o Cápsula contiene: Sulfato de neomicina equivalente a 250 mg de neomicina. Envase con 10 Cápsulas o Tabletas.</t>
  </si>
  <si>
    <t>010.000.4184.00</t>
  </si>
  <si>
    <t>Loperamida. Comprimido tableta o gragea. Cada comprimido tableta o gragea contiene: Clorhidrato de loperamida 2 mg. Envase con 12 comprimidos tabletas o grageas.</t>
  </si>
  <si>
    <t>010.000.4186.00</t>
  </si>
  <si>
    <t>Mesalazina. Gragea con capa entérica o tableta de liberación prolongada. Cada gragea con capa entérica o tableta de liberación prolongada contiene: Mesalazina 500 mg. Envase con 30 grageas con capa entérica o tabletas de liberación prolongada</t>
  </si>
  <si>
    <t>010.000.4186.01</t>
  </si>
  <si>
    <t>Mesalazina. Gragea con capa entérica o tableta de liberación prolongada. Cada gragea con capa entérica o tableta de liberación prolongada contiene: Mesalazina 500 mg. Envase con 40 grageas con capa entérica o tabletas de liberación prolongada.</t>
  </si>
  <si>
    <t>010.000.4188.00</t>
  </si>
  <si>
    <t>Pancreatina. Cápsula o gragea con capa entérica. Cada cápsula o gragea contiene pancreatina 300 mg Lipasa. Proteasa. Amilasa. Envase con 30 cápsulas o grageas con capa entérica.</t>
  </si>
  <si>
    <t>010.000.4188.01</t>
  </si>
  <si>
    <t>Pancreatina. Cápsula o gragea con capa entérica. Cada cápsula o gragea contiene pancreatina 300 mg Lipasa. Proteasa. Amilasa. Envase con 50 cápsulas o grageas con capa entérica.</t>
  </si>
  <si>
    <t>010.000.4190.00</t>
  </si>
  <si>
    <t>Pancreatina. Cápsula (con microesferas ácido resistentes) Cada Cápsula contiene Pancreatina 150 mg Con: Lipasa. No menos de 10000 unidades USP Envase con 50 Cápsulas</t>
  </si>
  <si>
    <t>010.000.4201.00</t>
  </si>
  <si>
    <t>Hidralazina. Solución Inyectable Cada ampolleta o frasco ámpula contiene: Clorhidrato de hidralazina 20 mg Envase con 5 ampolletas o 5 frascos ámpula con 1.0 ml</t>
  </si>
  <si>
    <t>010.000.4207.00</t>
  </si>
  <si>
    <t>Progesterona. Gel Cada aplicador contiene: Progesterona 90 mg Envase con 6 Aplicadores.</t>
  </si>
  <si>
    <t>010.000.4217.00</t>
  </si>
  <si>
    <t>Progesterona. Cápsula o Perla. Cada cápsula o perla contiene: Progesterona 200 mg Envase con 14 cápsulas o perlas.</t>
  </si>
  <si>
    <t>010.000.4224.00</t>
  </si>
  <si>
    <t>Enoxaparina. Solución Inyectable Cada jeringa contiene Enoxaparina sódica 60 mg Envase con 2 Jeringas. de 0.6 ml</t>
  </si>
  <si>
    <t>010.000.4224.01</t>
  </si>
  <si>
    <t>Enoxaparina. Solución Inyectable Cada jeringa contiene Enoxaparina sódica 60 mg Envase con 2 Jeringas. con dispositivo de seguridad de 0.6 ml.</t>
  </si>
  <si>
    <t>010.000.4225.00</t>
  </si>
  <si>
    <t>Imatinib. Comprimido Recubierto Cada Comprimido Recubierto contiene: Mesilato de imatinib 100 mg Envase con 60 Comprimidos Recubiertos.</t>
  </si>
  <si>
    <t>010.000.4227.00</t>
  </si>
  <si>
    <t>Imatinib. Comprimido Cada Comprimido contiene: Mesilato de imatinib equivalente a 400 mg de imatinib Envase con 30 Comprimidos.</t>
  </si>
  <si>
    <t>010.000.4228.00</t>
  </si>
  <si>
    <t>Daunorubicina. Solución Inyectable Cada frasco ámpula con liofilizado contiene: Clorhidrato de daunorubicina equivalente a 20 mg de daunorubicina. Envase con un frasco ámpula.</t>
  </si>
  <si>
    <t>010.000.4229.00</t>
  </si>
  <si>
    <t>L-Asparaginasa. Solución Inyectable. Cada frasco ámpula con polvo contiene: L-Asparaginasa 10000 UI Envase con 1 frasco ámpula.</t>
  </si>
  <si>
    <t>010.000.4230.00</t>
  </si>
  <si>
    <t>Etopósido. Solución Inyectable Cada ampolleta o frasco ámpula contiene: Etopósido 100 mg Envase con 10 ampolletas o frascos ámpula de 5 ml.</t>
  </si>
  <si>
    <t>010.000.4233.00</t>
  </si>
  <si>
    <t>Mitoxantrona. Solución Inyectable Cada frasco ámpula contiene: Clorhidrato de mitoxantrona equivalente a 20 mg de mitoxantrona base Envase con un frasco ámpula con 10 ml.</t>
  </si>
  <si>
    <t>010.000.4236.00</t>
  </si>
  <si>
    <t>Ciclosporina. Solución Inyectable Cada ampolleta contiene: Ciclosporina 50 mg Envase con 10 ampolletas con un ml.</t>
  </si>
  <si>
    <t>010.000.4241.00</t>
  </si>
  <si>
    <t>Dexametasona. Solución Inyectable. Cada frasco ámpula o ampolleta contiene: Fosfato sódico de dexametasona equivalente a 8 mg de fosfato de dexametasona. Envase con un frasco ámpula o ampolleta con 2 ml.</t>
  </si>
  <si>
    <t>010.000.4242.00</t>
  </si>
  <si>
    <t>Enoxaparina. Solución Inyectable Cada jeringa contiene: Enoxaparina sódica 20 mg Envase con 2 Jeringas. de 0.2 ml.</t>
  </si>
  <si>
    <t>010.000.4242.02</t>
  </si>
  <si>
    <t>Enoxaparina. Solución Inyectable Cada jeringa contiene: Enoxaparina sódica 20 mg Envase con 10 Jeringas de 0.2 ml.</t>
  </si>
  <si>
    <t>010.000.4246.01</t>
  </si>
  <si>
    <t>Clopidogrel. Gragea o tableta. Cada gragea o tableta contiene: Bisulfato de clopidogrel o Bisulfato de clopidogrel (Polimorfo forma 2) equivalente a 75 mg de clopidogrel. Envase con 28 Grageas o Tabletas</t>
  </si>
  <si>
    <t>010.000.4251.00</t>
  </si>
  <si>
    <t>Vancomicina. Solución Inyectable Cada frasco ámpula con polvo contiene: Clorhidrato de vancomicina equivalente a 500 mg de vancomicina. Envase con un frasco ámpula.</t>
  </si>
  <si>
    <t>010.000.4253.00</t>
  </si>
  <si>
    <t>Moxifloxacino. Solución Inyectable Cada 100 ml contienen: Clorhidrato de moxifloxacino equivalente a 160 mg de moxifloxacino. Envase con bolsa flexible o frasco ámpula con 250 ml (400 mg).</t>
  </si>
  <si>
    <t>010.000.4255.00</t>
  </si>
  <si>
    <t>Ciprofloxacino. Cápsula o Tableta Cada Cápsula o Tableta contiene: Clorhidrato de ciprofloxacino monohidratado equivalente a 250 mg de ciprofloxacino. Envase con 8 Cápsulas o Tabletas.</t>
  </si>
  <si>
    <t>010.000.4259.00</t>
  </si>
  <si>
    <t>Ciprofloxacino. Solución Inyectable Cada 100 ml contiene: Lactato o clorhidrato de ciprofloxacino equivalente a 200 mg de ciprofloxacino. Envase con 100 ml.</t>
  </si>
  <si>
    <t>010.000.4263.00</t>
  </si>
  <si>
    <t>Aciclovir. Comprimido o Tableta Cada Comprimido o Tableta contiene: Aciclovir 200 mg Envase con 25 Comprimidos o Tabletas.</t>
  </si>
  <si>
    <t>010.000.4268.00</t>
  </si>
  <si>
    <t>Lamivudina/zidovudina. Tableta Cada Tableta contiene: Lamivudina 150 mg Zidovudina 300 mg Envase con 60 Tabletas.</t>
  </si>
  <si>
    <t>010.000.4269.01</t>
  </si>
  <si>
    <t>ENFUVIRTIDA. SOLUCIÓN INYECTABLE Cada frasco ámpula con liofilizado contiene: Enfuvirtida 108 mg Caja con 60 frascos ámpula con liofilizado y 60 frascos ámpula con diluyente, 60 jeringas de 3 mL, 60 jeringas de 1 mL y 180 toallitas humedecidas con alcohol.</t>
  </si>
  <si>
    <t>010.000.4271.00</t>
  </si>
  <si>
    <t>Lamivudina. Solución Cada 100 ml contienen: Lamivudina 1 g Envase con 240 ml y dosificador.</t>
  </si>
  <si>
    <t>010.000.4272.00</t>
  </si>
  <si>
    <t>Abacavir. Solución o jarabe. Cada 100 ml contienen: Sulfato de abacavir equivalente a 2 g de abacavir. Envase con un frasco de 240 ml y pipeta dosificadora o jeringa dosificadora.</t>
  </si>
  <si>
    <t>010.000.4273.00</t>
  </si>
  <si>
    <t>Abacavir. Tableta. Cada tableta contiene: Sulfato de abacavir equivalente a 300 mg de abacavir. Envase con 60 tabletas.</t>
  </si>
  <si>
    <t>010.000.4277.00</t>
  </si>
  <si>
    <t>TENOFOVIR TABLETA Cada tableta contiene: Tenofovir disoproxil fumarato 300 mg. Envase con 30 tabletas.</t>
  </si>
  <si>
    <t>010.000.4294.00</t>
  </si>
  <si>
    <t>Ciclosporina. Emulsión Oral Cada ml contiene: Ciclosporina modificada o ciclosporina en microemulsión 100 mg. Envase con 50 ml y pipeta dosificadora.</t>
  </si>
  <si>
    <t>010.000.4301.00</t>
  </si>
  <si>
    <t>Ertapenem. Solución Inyectable Cada frasco ámpula con liofilizado contiene: Ertapenem sódico equivalente a 1 g de ertapenem Envase con un frasco ámpula con liofilizado.</t>
  </si>
  <si>
    <t>010.000.4306.00</t>
  </si>
  <si>
    <t>Ciclosporina. Capsula de gelatina blanda. Cada cápsula contiene: ciclosporina modificada o ciclosporina en microemulsión 25 mg. envase con 50 cápsulas.</t>
  </si>
  <si>
    <t>010.000.4308.01</t>
  </si>
  <si>
    <t>Sildenafil. Tableta Cada Tableta contiene: Citrato de sildenafil equivalente a Sildenafil 50 mg Envase con 4 Tabletas.</t>
  </si>
  <si>
    <t>010.000.4309.01</t>
  </si>
  <si>
    <t>Sildenafil. Tableta Cada Tableta contiene: Citrato de sildenafil equivalente a Sildenafil 100 mg  Envase con 4 Tabletas.</t>
  </si>
  <si>
    <t>010.000.4326.00</t>
  </si>
  <si>
    <t>Acetilcisteína. Solución al 20% Cada ampolleta contiene: Acetilcisteína 400 mg Envase con 5 ampolletas con 2 ml (200 mg/ml).</t>
  </si>
  <si>
    <t>010.000.4331.01</t>
  </si>
  <si>
    <t>Zafirlukast. Tableta  Cada tableta contiene: Zafirlukast 20 mg. Envase con 30 tabletas.</t>
  </si>
  <si>
    <t>010.000.4356.00</t>
  </si>
  <si>
    <t>Pregabalina. Cápsula Cada Cápsula contiene: Pregabalina 75 mg Envase con 14 Cápsulas</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</si>
  <si>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</si>
  <si>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</si>
  <si>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</si>
  <si>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</si>
  <si>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</si>
  <si>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</si>
  <si>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010.000.4363.00</t>
  </si>
  <si>
    <t>Acetato de glatiramer. Solución Inyectable Cada jeringa prellenada contiene: Acetato de glatiramer 20 mg Envase con 28 Jeringas prellenadas con 1 ml (20 mg/ml).</t>
  </si>
  <si>
    <t>010.000.4364.01</t>
  </si>
  <si>
    <t>Donepecilo. Tableta Cada Tableta contiene: Clorhidrato de donepecilo 5 mg Envase con 28 Tabletas.</t>
  </si>
  <si>
    <t>010.000.4367.00</t>
  </si>
  <si>
    <t>Eletriptán. Tableta Cada Tableta contiene: Bromhidrato de eletriptán equivalente a 80 mg de eletriptán Envase con dos Tabletas.</t>
  </si>
  <si>
    <t>010.000.4370.00</t>
  </si>
  <si>
    <t>Efavirenz. Comprimido recubierto. Cada comprimido contiene: Efavirenz 600 mg. Envase con 30 comprimidos recubiertos.</t>
  </si>
  <si>
    <t>010.000.4371.00</t>
  </si>
  <si>
    <t>Abacavir-lamivudina. Tableta. Cada tableta contiene: Sulfato de abacavir equivalente a 600 mg de abacavir. Lamivudina 300 mg. Envase con 30 tabletas.</t>
  </si>
  <si>
    <t>010.000.4376.00</t>
  </si>
  <si>
    <t>Multivitaminas (polivitaminas) y minerales. Tableta Cápsula o Gragea. Cada tableta cápsula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Acido pantoténico 2.0 a 7.0 mg. Sulfato ferroso 15.0 a 60.0 mg. Sulfato de cobre 1.0 a 4.0 mg. Yoduro o fosfato de potasio 0.15 a 4.0 mg. Glicerofosfato sulfato o hiposulfito de magnesio 1.0 a 8.00 mg. Fosfato de magnesio 5.0 a 133.0 mg. Cloruro fosfato o sulfato de zinc 3.0 a 25.0 mg. Envase con 30 tabletas cápsulas o grageas.</t>
  </si>
  <si>
    <t>010.000.4379.00</t>
  </si>
  <si>
    <t>Rivastigmina. Parche Cada Parche de 5 cm2 contiene: Tartrato de rivastigmina equivalente a 9 mg de rivastigmina Envase con 30 Parches. cada Parche libera 4.6 mg/24 horas.</t>
  </si>
  <si>
    <t>010.000.4380.00</t>
  </si>
  <si>
    <t>Rivastigmina. Parche Cada Parche de 10 cm2 contiene: Tartrato de rivastigmina equivalente a 18 mg de rivastigmina Envase con 30 Parches. cada Parche libera 9.5 mg/24 horas.</t>
  </si>
  <si>
    <t>010.000.4385.00</t>
  </si>
  <si>
    <t>Entecavir. Tableta Cada Tableta contiene: Entecavir 0.50 mg Envase con 30 Tabletas.</t>
  </si>
  <si>
    <t>010.000.4396.00</t>
  </si>
  <si>
    <t>EMTRICITABINA-TENOFOVIR DISOPROXIL O EMTRICITABINA-TENOFOVIR DISOPROXIL FUMARATO. TABLETA RECUBIERTA. Cada tableta recubierta contiene:Tenofovir disoproxil 245 mg o Tenofovir disoproxil fumarato  300 mg equivalente a 245 mg de Tenofovir disoproxil Emtricitabina 200 mg. Envase con 30 tabletas recubiertas.</t>
  </si>
  <si>
    <t>010.000.4407.00</t>
  </si>
  <si>
    <t>Tetracaína. Solución Oftálmica Cada ml contiene: Clorhidrato de Tetracaína 5.0 mg Envase con gotero integral con 10 ml.</t>
  </si>
  <si>
    <t>010.000.4408.00</t>
  </si>
  <si>
    <t>Diclofenaco. Solución oftálmica. Cada ml contiene: Diclofenaco sódico 1.0 mg Envase con gotero integral con 5 ml</t>
  </si>
  <si>
    <t>010.000.4409.00</t>
  </si>
  <si>
    <t>Tropicamida. Solución Oftálmica Cada 100 ml contienen: Tropicamida 1 g Envase con gotero integral con 5 ml</t>
  </si>
  <si>
    <t>010.000.4410.00</t>
  </si>
  <si>
    <t>Dorzolamida. Solución Oftálmica Cada ml contiene: Clorhidrato de dorzolamida equivalente a 20 mg de dorzolamida Envase con gotero integral con 5 ml.</t>
  </si>
  <si>
    <t>010.000.4411.00</t>
  </si>
  <si>
    <t>Latanoprost. Solución Oftálmica Cada ml contiene: Latanoprost 50 µg Envase con un frasco gotero con 2.5 ml.</t>
  </si>
  <si>
    <t>010.000.4412.00</t>
  </si>
  <si>
    <t>Dorzolamida y timolol. Solución Oftálmica Cada ml contiene: Clorhidrato de dorzolamida equivalente a 20 mg de dorzolamida Maleato de timolol equivalente a 5 mg de timolol Envase con gotero integral con 5 ml</t>
  </si>
  <si>
    <t>010.000.4418.00</t>
  </si>
  <si>
    <t>Travoprost. Solución Oftálmica Cada ml contiene: Travoprost 40 µg Envase con un frasco gotero con 2.5 ml.</t>
  </si>
  <si>
    <t>010.000.4429.00</t>
  </si>
  <si>
    <t>Dactinomicina. Solución Inyectable Cada frasco ámpula con liofilizado contiene: Dactinomicina 0.5 mg Envase con un frasco ámpula.</t>
  </si>
  <si>
    <t>010.000.4431.00</t>
  </si>
  <si>
    <t>CARBOPLATINO. SOLUCIÓN INYECTABLE. Cada frasco ámpula contiene: Carboplatino 150 mg Envase con un frasco ámpula.</t>
  </si>
  <si>
    <t>010.000.4432.00</t>
  </si>
  <si>
    <t>Ifosfamida. Solución Inyectable. Cada frasco ámpula con polvo o liofilizado contiene: Ifosfamida 1 g. Envase con un frasco ámpula.</t>
  </si>
  <si>
    <t>010.000.4434.00</t>
  </si>
  <si>
    <t>Idarubicina. Solución Inyectable Cada frasco ámpula contiene: Clorhidrato de idarubicina 5 mg Envase con frasco ámpula con liofilizado o frasco ámpula con 5 ml (1 mg/ml).</t>
  </si>
  <si>
    <t>010.000.4435.00</t>
  </si>
  <si>
    <t>Vinorelbina. Solución Inyectable Cada frasco ámpula contiene: Ditartrato de vinorelbina equivalente a 10 mg de Vinorelbina Envase con un frasco ámpula con 1 ml.</t>
  </si>
  <si>
    <t>010.000.4442.00</t>
  </si>
  <si>
    <t>Aprepitant. Cápsula Cada Cápsula contiene: 125 mg de Aprepitant Cada Cápsula contiene: 80 mg de Aprepitant Envase con una Cápsula de 125 mg y 2 Cápsulas de 80 mg</t>
  </si>
  <si>
    <t>010.000.4448.00</t>
  </si>
  <si>
    <t>Bortezomib. Solución Inyectable Cada frasco ámpula con liofilizado contiene: Bortezomib 3.5 mg Envase con un frasco ámpula.</t>
  </si>
  <si>
    <t>010.000.4464.00</t>
  </si>
  <si>
    <t>Galantamina. Cápsula de liberación prolongada. Cada cápsula de liberación prolongada contiene: Bromhidrato de galantamina equivalente a 8 mg de galantamina Envase con 7 Cápsulas de Liberación Prolongada.</t>
  </si>
  <si>
    <t>010.000.4480.01</t>
  </si>
  <si>
    <t>Escitalopram. Tableta Cada Tableta contiene: oxalato de escitalopram equivalente a 10 mg de escitalopram Envase con 28 Tabletas.</t>
  </si>
  <si>
    <t>010.000.4483.01</t>
  </si>
  <si>
    <t>Fluoxetina. Cápsula o Tableta Cada Cápsula o Tableta contiene: Clorhidrato de fluoxetina equivalente a 20 mg de fluoxetina. Envase con 28 Cápsulas o Tabletas.</t>
  </si>
  <si>
    <t>010.000.4490.00</t>
  </si>
  <si>
    <t>Aripiprazol. Tableta Cada Tableta contiene: Aripiprazol 15 mg Envase con 20 Tabletas.</t>
  </si>
  <si>
    <t>010.000.4492.00</t>
  </si>
  <si>
    <t>Aripiprazol. Tableta Cada Tableta contiene: Aripiprazol 30 mg Envase con 10 Tabletas.</t>
  </si>
  <si>
    <t>010.000.4507.00</t>
  </si>
  <si>
    <t>Deflazacort. Tableta. Cada tableta contiene: deflazacort 30 mg Envase con 10 Tabletas.</t>
  </si>
  <si>
    <t>010.000.4508.00</t>
  </si>
  <si>
    <t>Infliximab. Solución Inyectable El frasco ámpula con liofilizado contiene: Infliximab 100 mg Envase con un frasco ámpula con liofilizado e instructivo.</t>
  </si>
  <si>
    <t>010.000.4510.00</t>
  </si>
  <si>
    <t>Etanercept. Solución Inyectable Cada frasco ámpula contiene: Etanercept 25 mg Envase con 4 frascos ámpula 4 Jeringas. con 1 ml de diluyente y 8 almohadillas</t>
  </si>
  <si>
    <t>010.000.4510.01</t>
  </si>
  <si>
    <t>Etanercept. Solución Inyectable Cada frasco ámpula contiene: Etanercept 25 mg Envase 4 Jeringas. prellenadas con 0.5 ml.</t>
  </si>
  <si>
    <t>010.000.4511.00</t>
  </si>
  <si>
    <t>Etanercept. Solución Inyectable Cada envase contiene: Etanercept 50 mg Envase con 2 frascos ámpula 2 Jeringas. con 1 ml de diluyente.</t>
  </si>
  <si>
    <t>010.000.4511.01</t>
  </si>
  <si>
    <t>Etanercept. Solución Inyectable Cada envase contiene: Etanercept 50 mg Envase con 2 Jeringas. prellenadas con 1 ml.</t>
  </si>
  <si>
    <t>010.000.4515.00</t>
  </si>
  <si>
    <t>Leflunomida. Comprimido Cada Comprimido contiene: Leflunomida 100 mg Envase con 3 Comprimidos.</t>
  </si>
  <si>
    <t>010.000.4552.00</t>
  </si>
  <si>
    <t>Seroalbúmina humana o albúmina humana. Solución Inyectable Cada envase contiene: Seroalbúmina humana o albúmina humana 10 g Envase con 50 ml.</t>
  </si>
  <si>
    <t>010.000.4585.00</t>
  </si>
  <si>
    <t>Oseltamivir. Suspensión Cada envase con 30 g de polvo contiene: Fosfato de oseltamivir equivalente a 0.9 g de oseltamivir Envase con 30 g. Reconstituir con 100 ml de agua para formar una Suspensión conteniendo 900 mg/75 ml (12 mg/ml).</t>
  </si>
  <si>
    <t>010.000.4592.00</t>
  </si>
  <si>
    <t>Piperacilina-tazobactam. Solución Inyectable Cada frasco ámpula con polvo contiene: Piperacilina sódica equivalente a 4 g de piperacilina. Tazobactam sódico equivalente a 500 mg de tazobactam. Envase con frasco ámpula.</t>
  </si>
  <si>
    <t>010.000.5082.00</t>
  </si>
  <si>
    <t>Tacrolimus. Cápsula Cada Cápsula contiene: Tacrolimus monohidratado equivalente a 5 mg de tacrolimus Envase con 50 Cápsulas.</t>
  </si>
  <si>
    <t>010.000.5082.01</t>
  </si>
  <si>
    <t>Tacrolimus. Cápsula Cada Cápsula contiene: Tacrolimus monohidratado equivalente a 5 mg de tacrolimus Envase con 100 Cápsulas.</t>
  </si>
  <si>
    <t>010.000.5084.00</t>
  </si>
  <si>
    <t>Tacrolimus. Cápsula Cada Cápsula contiene: Tacrolimus monohidratado equivalente a 1 mg de tacrolimus Envase con 50 Cápsulas.</t>
  </si>
  <si>
    <t>010.000.5084.01</t>
  </si>
  <si>
    <t>Tacrolimus. Cápsula Cada Cápsula contiene: Tacrolimus monohidratado equivalente a 1 mg de tacrolimus Envase con 100 Cápsulas.</t>
  </si>
  <si>
    <t>010.000.5086.00</t>
  </si>
  <si>
    <t>Sirolimus. Solución Cada ml contiene Sirolimus 1 mg Envase con 60 ml.</t>
  </si>
  <si>
    <t>010.000.5097.00</t>
  </si>
  <si>
    <t>Levosimendan. Solución Inyectable Cada ml contiene: Levosimendan 2.5 mg Envase con 1 frasco ámpula con 5 ml.</t>
  </si>
  <si>
    <t>010.000.5106.00</t>
  </si>
  <si>
    <t>Atorvastatina. Tableta Cada Tableta contiene: Atorvastatina cálcica trihidratada equivalente a 20 mg de atorvastatina. Envase con 10 Tabletas.</t>
  </si>
  <si>
    <t>010.000.5106.01</t>
  </si>
  <si>
    <t>ATORVASTATINA. TABLETA Cada tableta contiene: Atorvastatina cálcica trihidratada equivalente a  20 mg de atorvastatina. Envase con 30 tabletas.</t>
  </si>
  <si>
    <t>010.000.5111.00</t>
  </si>
  <si>
    <t>Valsartán. Comprimido Cada Comprimido contiene 80 mg Envase con 30 Comprimidos.</t>
  </si>
  <si>
    <t>010.000.5132.00</t>
  </si>
  <si>
    <t>Alantoina alquitrán de hulla y clioquinol. Crema Cada 100 gramos contienen: alantoina 0.2 g Solución de alquitrán de hulla 5.0 g Clioquinol 3.0 g Envase con 60 g.</t>
  </si>
  <si>
    <t>010.000.5140.01</t>
  </si>
  <si>
    <t>Tirotropina alfa. Solución Inyectable Cada frasco ámpula con liofilizado contiene: Tirotropina alfa 1.1 mg Envase con dos frascos ámpula</t>
  </si>
  <si>
    <t>010.000.5163.00</t>
  </si>
  <si>
    <t>Somatropina. Solución Inyectable. Cada frasco ámpula con liofilizado contiene: Somatropina biosintética 1.33 mg equivalente a 4 UI. Envase con frasco ámpula y frasco ámpula o ampolleta con 1 ó 2 ml de diluyente.</t>
  </si>
  <si>
    <t>010.000.5165.00</t>
  </si>
  <si>
    <t>METFORMINA. TABLETA Cada tableta contiene: Clorhidrato de metformina  850 mg. Envase con 30 tabletas.</t>
  </si>
  <si>
    <t>010.000.5167.00</t>
  </si>
  <si>
    <t>Somatropina. Solución Inyectable Cada cartucho con dos compartimientos uno con liofilizado contiene: Somatropina 5.3 mg equivalente a 16 UI y otro con el diluyente. Envase con un cartucho con dos compartimientos uno con liofilizado y otro con el diluyente.</t>
  </si>
  <si>
    <t>010.000.5181.00</t>
  </si>
  <si>
    <t>Octreotida. Solución Inyectable Cada frasco ámpula contiene: octreotida 1 mg Envase con un frasco ámpula con 5 ml.</t>
  </si>
  <si>
    <t>010.000.5186.01</t>
  </si>
  <si>
    <t>Pantoprazol o rabeprazol u omeprazol. Tableta o Gragea o Cápsula Cada Tableta o Gragea o Cápsula contiene: Pantoprazol 40 mg o Rabeprazol sódico 20 mg u omeprazol 20 mg Envase con 14 Tabletas o Grageas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</si>
  <si>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</si>
  <si>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</si>
  <si>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</si>
  <si>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</si>
  <si>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010.000.5233.00</t>
  </si>
  <si>
    <t>Ácido folínico. Tableta Cada Tableta contiene: Folinato cálcico equivalente a 15 mg de ácido folínico Envase con 12 Tabletas.</t>
  </si>
  <si>
    <t>010.000.5237.02</t>
  </si>
  <si>
    <t>Interferón (Beta). Solución Inyectable. Cada frasco ámpula o jeringa prellenada contiene: Interferón beta 1a 44 µg (12 millones UI). Envase con jeringa prellenada con 0.5 ml.</t>
  </si>
  <si>
    <t>010.000.5237.03</t>
  </si>
  <si>
    <t>Interferón (Beta). Solución Inyectable. Cada frasco ámpula o jeringa prellenada contiene: Interferón beta 1a 44  µg (12 millones UI). Envase con cartucho prellenado de 1.5 ml (3 dosis de 44  µg/0.5 ml) para administrarse en dispositivo autoinyector.</t>
  </si>
  <si>
    <t>010.000.5238.00</t>
  </si>
  <si>
    <t>Factor ix. Solución Inyectable Cada frasco ámpula con liofilizado contiene: Factor IX 400 a 600 UI Envase con un frasco ámpula y diluyente.</t>
  </si>
  <si>
    <t>010.000.5240.00</t>
  </si>
  <si>
    <t>Inmunoglobulina g no modificada. Solución Inyectable Cada frasco ámpula con liofilizado o Solución contienen: Inmunoglobulina G no modificada 6 g Envase con un frasco ámpula con 120 ml.</t>
  </si>
  <si>
    <t>010.000.5250.01</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</si>
  <si>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</si>
  <si>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010.000.5251.00</t>
  </si>
  <si>
    <t>Interferón (beta). Solución Inyectable Cada frasco ámpula con liofilizado o cada jeringa prellenada contiene: Interferón beta 1a 6 millones UI (30µg) Envase con un frasco ámpula con dispositivo médico y una jeringa con 1 ml de diluyente o una jeringa prellenada con 0.5 ml y aguja.</t>
  </si>
  <si>
    <t>010.000.5254.01</t>
  </si>
  <si>
    <t>Interferón (beta). Solución Inyectable Cada envase contiene: Interferón beta 1a 22 µg (6 millones UI).  Envase con cartucho prellenado de 1.5 ml (3 dosis de 22 µg/0.5 ml) para administrarse en dispositivo autoinyector.</t>
  </si>
  <si>
    <t>010.000.5255.00</t>
  </si>
  <si>
    <t>Trimetoprima y sulfametoxazol. Solución Inyectable Cada ampolleta contiene: Trimetoprima 160 mg Sulfametoxazol 800 mg Envase con 6 ampolletas con 3 ml.</t>
  </si>
  <si>
    <t>010.000.5256.00</t>
  </si>
  <si>
    <t>Cefalotina. Solución Inyectable. Cada frasco ámpula con polvo contiene: Cefalotina sódica equivalente a 1 g de cefalotina. Envase con un frasco ámpula y 5 ml de diluyente.</t>
  </si>
  <si>
    <t>010.000.5259.00</t>
  </si>
  <si>
    <t>Nevirapina. Suspensión Cada 100 mililitros contienen: Nevirapina hemihidratada equivalente a 1 g de nevirapina Envase con 240 ml con dosificador.</t>
  </si>
  <si>
    <t>010.000.5264.01</t>
  </si>
  <si>
    <t>Cefuroxima. Solución o Suspensión Inyectable. Cada frasco ámpula con polvo contiene: Cefuroxima sódica equivalente a 750 mg de cefuroxima. Envase con un frasco ámpula y envase con 5 ml de diluyente</t>
  </si>
  <si>
    <t>010.000.5268.00</t>
  </si>
  <si>
    <t>Ganciclovir. Solución Inyectable. Cada frasco ámpula con liofilizado contiene: Ganciclovir sódico equivalente a 500 mg de ganciclovir. Envase con un frasco ámpula y una ampolleta con 10 ml de diluyente.</t>
  </si>
  <si>
    <t>010.000.5273.00</t>
  </si>
  <si>
    <t>Zidovudina. Solución Oral Cada 100 ml contienen: Zidovudina 1 g Envase con 240 ml.</t>
  </si>
  <si>
    <t>010.000.5282.01</t>
  </si>
  <si>
    <t>Lamivudina. Tableta Cada Tableta contiene: Lamivudina 150 mg Envase con 60 Tabletas.</t>
  </si>
  <si>
    <t>010.000.5286.00</t>
  </si>
  <si>
    <t>Lopinavir-ritonavir. Tableta Cada Tableta contiene: Lopinavir 100 mg Ritonavir 25 mg Envase con 60 Tabletas.</t>
  </si>
  <si>
    <t>010.000.5288.00</t>
  </si>
  <si>
    <t>Lopinavir-ritonavir. Tableta Cada Tableta contiene: Lopinavir 200 mg Ritonavir 50 mg Envase con 120 Tabletas.</t>
  </si>
  <si>
    <t>010.000.5291.00</t>
  </si>
  <si>
    <t>Meropenem. Solución Inyectable Cada frasco ámpula con polvo contiene: Meropenem trihidratado equivalente a 500 mg de meropenem. Envase con 1 frasco ámpula.</t>
  </si>
  <si>
    <t>010.000.5292.00</t>
  </si>
  <si>
    <t>Meropenem. Solución Inyectable Cada frasco ámpula con polvo contiene: Meropenem trihidratado equivalente a 1 g de meropenem. Envase con 1 frasco ámpula.</t>
  </si>
  <si>
    <t>010.000.5302.00</t>
  </si>
  <si>
    <t>Nitrofurantoína. Suspensión Oral Cada 100 ml contienen: Nitrofurantoina 500 mg Envase con 120 ml (25 mg/ 5 ml).</t>
  </si>
  <si>
    <t>010.000.5304.00</t>
  </si>
  <si>
    <t>Alfa cetoanálogos de aminoácidos. Gragea Tableta Recubierta o Tableta. Cada Gragea tableta recubierta o tableta contiene: Alfa cetoanálogos de Aminoácidos 630 mg Envase con 100 grageas tabletas recubiertas o tabletas.</t>
  </si>
  <si>
    <t>010.000.5306.00</t>
  </si>
  <si>
    <t>Ácido micofenólico. Comprimido Cada Comprimido contiene: Micofenolato de mofetilo 500 mg Envase con 50 Comprimidos</t>
  </si>
  <si>
    <t>010.000.5307.00</t>
  </si>
  <si>
    <t>Plerixafor. Solución Inyectable Cada frasco ámpula contiene: Plerixafor 24 mg Envase con frasco ámpula con 24 mg/1.2 ml (20 mg/ml).</t>
  </si>
  <si>
    <t>010.000.5309.00</t>
  </si>
  <si>
    <t>Tamsulosina. Cápsula o Tableta de liberación prolongada. Cada cápsula o tableta de liberación prolongada contiene: Clorhidrato detamsulosina 0.4 mg. Envase con 10 cápsulas o tabletas de liberación prolongada.</t>
  </si>
  <si>
    <t>010.000.5314.00</t>
  </si>
  <si>
    <t>Caspofungina. Solución Inyectable. Cada frasco ámpula con polvo contiene: Acetato de caspofungina equivalente a 70 mg de caspofungina. Envase con frasco ámpula con polvo para 10.5 ml (7 mg/ml).</t>
  </si>
  <si>
    <t>010.000.5317.00</t>
  </si>
  <si>
    <t>Voriconazol. Tableta Cada Tableta contiene: Voriconazol 50 mg Envase con 14 Tabletas.</t>
  </si>
  <si>
    <t>010.000.5318.00</t>
  </si>
  <si>
    <t>Voriconazol. Tableta Cada Tableta contiene: Voriconazol 200 mg Envase con 14 Tabletas.</t>
  </si>
  <si>
    <t>010.000.5319.00</t>
  </si>
  <si>
    <t>Dutasterida. Cápsula Cada Cápsula contiene: Dutasterida 0.5 mg Envase con 30 Cápsulas.</t>
  </si>
  <si>
    <t>010.000.5319.01</t>
  </si>
  <si>
    <t>Dutasterida. Cápsula Cada Cápsula contiene: Dutasterida 0.5 mg Envase con 90 Cápsulas.</t>
  </si>
  <si>
    <t>010.000.5324.00</t>
  </si>
  <si>
    <t>Maraviroc. Tableta Cada Tableta contiene: Maraviroc 150 mg Envase con 60 Tabletas.</t>
  </si>
  <si>
    <t>010.000.5325.00</t>
  </si>
  <si>
    <t>Maraviroc. Tableta Cada Tableta contiene: Maraviroc 300 mg Envase con 60 Tabletas.</t>
  </si>
  <si>
    <t>010.000.5331.00</t>
  </si>
  <si>
    <t>Beractant. Suspensión Inyectable Cada ml contiene: Beractant (fosfolípidos de pulmón de origen bovino) 25 mg Envase con frasco ámpula de 8 ml con o sin cánula endotraqueal.</t>
  </si>
  <si>
    <t>010.000.5337.00</t>
  </si>
  <si>
    <t>Tobramicina. Solución Para Nebulizador Cada ampolleta contiene: Tobramicina 300 mg Envase con 14 sobres. Cada sobre con 4 ampolletas de 5 ml cada una.</t>
  </si>
  <si>
    <t>010.000.5339.01</t>
  </si>
  <si>
    <t>Eritropoyetina. Solución Inyectable Cada frasco ámpula con liofilizado o solución contiene: Eritropoyetina beta o Eritropoyetina alfa 50 000 UI. Envase con un frasco ámpula con 10 ml de solución.</t>
  </si>
  <si>
    <t>010.000.5354.00</t>
  </si>
  <si>
    <t>Nimodipino. Solución Inyectable Cada frasco ámpula contiene: Nimodipino 10 mg Envase con 1 frasco ámpula con 50 ml con o sin equipo perfusor de polietileno.</t>
  </si>
  <si>
    <t>010.000.5356.00</t>
  </si>
  <si>
    <t>Lamotrigina. Tableta Cada Tableta contiene: Lamotrigina 100 mg Envase con 28 Tabletas.</t>
  </si>
  <si>
    <t>010.000.5358.00</t>
  </si>
  <si>
    <t>Lamotrigina. Tableta Cada Tableta contiene: Lamotrigina 25 mg Envase con 28 Tabletas.</t>
  </si>
  <si>
    <t>010.000.5360.00</t>
  </si>
  <si>
    <t>Metoxi-polietilenglicol eritropoyetina beta. Solución Inyectable Cada jeringa prellenada contiene: Metoxi-polietilenglicol eritropoyetina beta 0.050 mg Envase con jeringa prellenada con 0.3 ml.</t>
  </si>
  <si>
    <t>010.000.5361.00</t>
  </si>
  <si>
    <t>Metoxi-polietilenglicol eritropoyetina beta. Solución Inyectable Cada jeringa prellenada contiene: Metoxi-polietilenglicol eritropoyetina beta 0.075 mg Envase con jeringa prellenada con 0.3 ml.</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</si>
  <si>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</si>
  <si>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</si>
  <si>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010.000.5385.02</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</si>
  <si>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</si>
  <si>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</si>
  <si>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</si>
  <si>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</si>
  <si>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</si>
  <si>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010.000.5393.00</t>
  </si>
  <si>
    <t>Aminoacidos enriquecidos con aminoacidos de cadena ramificada. Solución inyectable. Cada 100ml Contiene: L- Isoleucina Unidad mg Mínimo 700 Máximo 1380. L- Leucina Unidad mg Mínimo 1100 Máximo 1580. L- Lisina Unidad mg Mínimo 265 Máximo 690 L- Metionina Unidad mg Mínimo 110 Máximo 450 L- Fenilalanina Unidad mg Mínimo 80 Máximo 480 L- Treonina Unidad mg Mínimo 200 Máximo 450 L- Triptofano Unidad mg Mínimo 70 Máximo 130 L- Valina Unidad mg Mínimo 780 Máximo 1240 Histidina Unidad mg Mínimo 150 Máximo 280 Cisteína o cistina Unidad mg Mínimo 0 Máximo 55 Tirosina Unidad mg Mínimo 0 Máximo 33 L- Alanina Unidad mg Mínimo 395 Máximo 660 L- Arginina Unidad mg Mínimo 464 Máximo 1100 L- Prolina Unidad mg Mínimo 445 Máximo 950 L- Serina Unidad mg Mínimo 220 Máximo 575 Glicina ( ac. Aminoacético ) Unidad mg Mínimo 300 Máximo 700 *Pirosulfito de sodio Unidad mg Mínimo 0 Máximo 50 Agua inyectable Unidad ml Mínimo 0 Máximo 100 Aminoácidos de cadena ramificada Unidad % Mínimo 40 Máximo 55 * Pueden o no venir en la fórmula lo cual no modifica el efecto terapéutico deseado. Presentación 500 ml.</t>
  </si>
  <si>
    <t>010.000.5423.00</t>
  </si>
  <si>
    <t>Trastuzumab. Solución Inyectable Cada frasco ámpula con polvo contiene: Trastuzumab 440 mg Envase con un frasco ámpula con polvo y un frasco ámpula con 20 ml de diluyente.</t>
  </si>
  <si>
    <t>010.000.5426.00</t>
  </si>
  <si>
    <t>Flutamida. Tableta Cada Tableta contiene: Flutamida 250 mg Envase con 90 Tabletas.</t>
  </si>
  <si>
    <t>010.000.5428.00</t>
  </si>
  <si>
    <t>Ondansetrón. Solución Inyectable Cada ampolleta o frasco ampula contiene: Clorhidrato dihidratado de ondansetrón equivalente a 8 mg de ondansetrón Envase con 3 ampolletas o frascos ámpula con 4 ml.</t>
  </si>
  <si>
    <t>010.000.5432.00</t>
  </si>
  <si>
    <t>Filgrastim. Solución Inyectable Cada frasco ámpula o jeringa contiene: Filgrastim 300 µg Envase con 5 frascos ámpula o Jeringas.</t>
  </si>
  <si>
    <t>010.000.5435.00</t>
  </si>
  <si>
    <t>Paclitaxel. Solución Inyectable Cada frasco ámpula contiene: Paclitaxel 300 mg Envase con un frasco ámpula con 50 ml con o sin equipo para venoclisis libre de polivinilcloruro (PVC) y filtro con membrana no mayor de 0.22 µm.</t>
  </si>
  <si>
    <t>010.000.5436.00</t>
  </si>
  <si>
    <t>Tretinoína. Cápsula Cada Cápsula contiene: Tretinoina 10 mg Envase con 100 Cápsulas.</t>
  </si>
  <si>
    <t>010.000.5437.01</t>
  </si>
  <si>
    <t>Docetaxel. Solución inyectable. Cada frasco ámpula contiene: Docetaxel anhidro o trihidratado equivalente a 80 mg de docetaxel. Envase con frasco ámpula con 80 mg con 4 ml.</t>
  </si>
  <si>
    <t>010.000.5439.00</t>
  </si>
  <si>
    <t>Amifostina. Solución Inyectable. Cada frasco ámpula contiene: Amifostina (base anhidra) 500 mg Envase con un frasco ámpula.</t>
  </si>
  <si>
    <t>010.000.5458.00</t>
  </si>
  <si>
    <t>Oxaliplatino. Solución Inyectable Cada frasco ámpula contiene: oxaliplatino 50 mg Envase con un frasco ámpula con liofilizado o envase con un frasco ámpula con 10 ml.</t>
  </si>
  <si>
    <t>010.000.5459.00</t>
  </si>
  <si>
    <t>Oxaliplatino. Solución Inyectable Cada frasco ámpula contiene: oxaliplatino 100 mg Envase con un frasco ámpula con liofilizado o envase con un frasco ámpula con 20 ml.</t>
  </si>
  <si>
    <t>010.000.5461.00</t>
  </si>
  <si>
    <t>Capecitabina. Tableta. Cada tableta contiene: Capecitabina 500 mg Envase con 120 Tabletas.</t>
  </si>
  <si>
    <t>010.000.5463.00</t>
  </si>
  <si>
    <t>Temozolomida. Cápsula Cada Cápsula contiene: Temozolomida 100 mg Envase con 5 Cápsulas</t>
  </si>
  <si>
    <t>010.000.5463.02</t>
  </si>
  <si>
    <t>Temozolomida. Cápsula Cada Cápsula contiene: Temozolomida 100 mg Envase con 20 Cápsulas</t>
  </si>
  <si>
    <t>010.000.5465.00</t>
  </si>
  <si>
    <t>Temozolomida. Cápsula Cada Cápsula contiene: Temozolomida 20 mg Envase con 5 Cápsulas</t>
  </si>
  <si>
    <t>010.000.5465.02</t>
  </si>
  <si>
    <t>Temozolomida. Cápsula Cada Cápsula contiene: Temozolomida 20 mg Envase con 20 Cápsulas</t>
  </si>
  <si>
    <t>010.000.5466.00</t>
  </si>
  <si>
    <t>Cultivo bcg. Suspensión Cada frasco con liofilizado contiene: Mycobacterium bovis (BCG) cepa danesa 1331 30 mg Envase con 4 frascos ámpula.</t>
  </si>
  <si>
    <t>010.000.5468.00</t>
  </si>
  <si>
    <t>Ácido zoledrónico. Solución Inyectable Cada frasco ámpula con 5 ml contiene: Acido zoledrónico monohidratado equivalente a 4.0 mg de ácido zoledrónico Envase con un frasco ámpula.</t>
  </si>
  <si>
    <t>010.000.5470.00</t>
  </si>
  <si>
    <t>Gefitinib. Tableta Cada Tableta contiene: Gefitinib 250 mg Envase con 30 Tabletas.</t>
  </si>
  <si>
    <t>010.000.5471.00</t>
  </si>
  <si>
    <t>Valproato semisódico. Cápsula Cada Cápsula contiene: Valproato semisódico equivalente a 125 mg de ácido valpróico Envase con 60 Cápsulas.</t>
  </si>
  <si>
    <t>010.000.5472.00</t>
  </si>
  <si>
    <t>Bevacizumab. Solución Inyectable Cada frasco ámpula contiene: Bevacizumab 100 mg Envase con frasco ámpula con 4 ml.</t>
  </si>
  <si>
    <t>010.000.5473.00</t>
  </si>
  <si>
    <t>Bevacizumab. Solución Inyectable Cada frasco ámpula contiene: Bevacizumab 400 mg Envase con frasco ámpula con 16 ml.</t>
  </si>
  <si>
    <t>010.000.5474.00</t>
  </si>
  <si>
    <t>Erlotinib. Comprimido Cada Comprimido contiene: Clorhidrato de erlotinib equivalente a 150 mg de erlotinib Envase con 30 Comprimidos.</t>
  </si>
  <si>
    <t>010.000.5475.01</t>
  </si>
  <si>
    <t>Cetuximab. Solución Inyectable. Cada frasco ámpula contiene: Cetuximab 100 mg Envase con frasco ámpula con 20 ml (5 mg/ml).</t>
  </si>
  <si>
    <t>010.000.5481.00</t>
  </si>
  <si>
    <t>Paroxetina. Tableta Cada Tableta contiene: Clorhidrato de paroxetina equivalente a 20 mg de paroxetina. Envase con 10 Tabletas.</t>
  </si>
  <si>
    <t>010.000.5486.01</t>
  </si>
  <si>
    <t>Olanzapina. Tableta Cada Tableta contiene: olanzapina 10 mg Envase con 28 Tabletas.</t>
  </si>
  <si>
    <t>010.000.5501.00</t>
  </si>
  <si>
    <t>Diclofenaco. Solución inyectable. Cada ampolleta contiene: Diclofenaco sódico 75 mg Envase con 2 ampolletas con 3 ml.</t>
  </si>
  <si>
    <t>010.000.5505.00</t>
  </si>
  <si>
    <t>Celecoxib. Cápsula. Cada cápsula contiene: Celecoxib 100 mg Envase con 20 Cápsulas.</t>
  </si>
  <si>
    <t>010.000.5506.00</t>
  </si>
  <si>
    <t>Celecoxib. Cápsula. Cada cápsula contiene: Celecoxib 200 mg. Envase con 10 Cápsulas.</t>
  </si>
  <si>
    <t>010.000.5545.00</t>
  </si>
  <si>
    <t>Imiglucerasa. Solución Inyectable Cada frasco ámpula con polvo contiene: Imiglucerasa 400 U Envase con frasco ámpula con polvo liofilizado.</t>
  </si>
  <si>
    <t>010.000.5603.01</t>
  </si>
  <si>
    <t>Prasugrel. Tableta Cada Tableta contiene: Clorhidrato de prasugrel equivalente a 10 mg de prasugrel Envase con 28 Tabletas.</t>
  </si>
  <si>
    <t>010.000.5630.00</t>
  </si>
  <si>
    <t>Clopidogrel ácido acetilsalicílico. Tableta Cada tableta contiene: Bisulfato de clopidogrel equivalente a 75 mg de clopidogrel Acido acetilsalicílico 100 mg. Envase con 28 tabletas.</t>
  </si>
  <si>
    <t>010.000.5658.00</t>
  </si>
  <si>
    <t>Cabazitaxel. Solución Inyectable. Cada frasco ámpula contiene: Cabazitaxel acetona solvato 60 mg Envase con un frasco ámpula con 1.5 ml y un frasco ámpula con 4.5 ml de diluyente.</t>
  </si>
  <si>
    <t>010.000.5662.00</t>
  </si>
  <si>
    <t>Lacosamida. Tableta Cada Tableta contiene: Lacosamida 150 mg Envase con 28 Tabletas.</t>
  </si>
  <si>
    <t>010.000.5694.01</t>
  </si>
  <si>
    <t>Somatropina. Solución Inyectable Cada cartucho prellenado con solución contiene: Somatropina 12.00 mg equivalente a 36 UI Envase con un cartucho prellenado con 1.5 ml para administrarse en dispositivo autoinyector.</t>
  </si>
  <si>
    <t>010.000.5697.00</t>
  </si>
  <si>
    <t>Inmunoglobulina humana. Solución Inyectable Cada frasco ámpula contiene: Inmunoglobulina humana normal endovenosa 5.0 g Envase con un frasco ámpula con 50 ml.</t>
  </si>
  <si>
    <t>010.000.5698.00</t>
  </si>
  <si>
    <t>Inmunoglobulina humana. Solución Inyectable Cada frasco ámpula contiene: Inmunoglobulina humana normal endovenosa 10.0 g Envase con un frasco ámpula con 100 ml.</t>
  </si>
  <si>
    <t>010.000.5720.00</t>
  </si>
  <si>
    <t>Paracetamol solución inyectable cada frasco contiene: paracetamol 500 mg. Envase con un frasco con 50 ml.</t>
  </si>
  <si>
    <t>010.000.5720.01</t>
  </si>
  <si>
    <t>Paracetamol solución inyectable cada frasco contiene: paracetamol 500 mg. Envase con cuatro frascos con 50 ml.</t>
  </si>
  <si>
    <t>010.000.5721.02</t>
  </si>
  <si>
    <t>Paracetamol SOLUCIÓN INYECTABLE  Cada frasco contiene:  Paracetamol  1 g. Envase con diez frascos con 100 ml.</t>
  </si>
  <si>
    <t>010.000.5845.00</t>
  </si>
  <si>
    <t>Sildenafil. Tableta Cada Tableta contiene: Citrato de sildenafil equivalente a 20 mg de sildenafil Envase con 90 Tabletas</t>
  </si>
  <si>
    <t>010.000.5887.00</t>
  </si>
  <si>
    <t>Azacitidina suspensión inyectable cada frasco ámpula con liofilizado contiene: azacitidina 100 mg. Envase con un frasco ámpula con liofilizado.</t>
  </si>
  <si>
    <t>010.000.5931.00</t>
  </si>
  <si>
    <t>Enoxaparina sódica. Solución Inyectable Cada jeringa contiene: Enoxaparina sódica 80 mg Envase con 2 Jeringas. con dispositivo de seguridad de 0.8 ml.</t>
  </si>
  <si>
    <t>010.000.5931.01</t>
  </si>
  <si>
    <t>Enoxaparina sódica. Solución Inyectable Cada jeringa contiene: Enoxaparina sódica 80 mg Envase con 10 Jeringas de 0.8 mL.</t>
  </si>
  <si>
    <t>010.000.5941.00</t>
  </si>
  <si>
    <t>Ibuprofeno. Tableta O Cápsula: Cada Tableta o Cápsula contiene: Ibuprofeno 400 mg Envase con 10 Tabletas o Cápsulas</t>
  </si>
  <si>
    <t>010.000.5941.02</t>
  </si>
  <si>
    <t>Ibuprofeno. Tableta O Cápsula: Cada Tableta o Cápsula contiene: Ibuprofeno 400 mg Envase con 20 Cápsulas</t>
  </si>
  <si>
    <t>010.000.5941.03</t>
  </si>
  <si>
    <t>Ibuprofeno. Tableta O Cápsula: Cada Tableta o Cápsula contiene: Ibuprofeno 400 mg Envase con 30 Cápsulas</t>
  </si>
  <si>
    <t>010.000.5942.02</t>
  </si>
  <si>
    <t>Ibuprofeno. Tableta O Cápsula: Cada Tableta o Cápsula contiene: Ibuprofeno 600 mg Envase con 20 Cápsulas</t>
  </si>
  <si>
    <t>010.000.5943.00</t>
  </si>
  <si>
    <t>Ibuprofeno. Suspensión Oral Cada 100 ml contienen: Ibuprofeno 2 g Envase con 120 ml y medida dosificadora</t>
  </si>
  <si>
    <t>010.000.5944.00</t>
  </si>
  <si>
    <t>Ibuprofeno. Suspensión Oral Cada mililitro contiene: Ibuprofeno 40 mg Envase con 15 ml con gotero calibrado integrado o adjunto al envase que le sirve de tapa.</t>
  </si>
  <si>
    <t>010.000.6000.00</t>
  </si>
  <si>
    <t>Carbonato de calcio/ Vitamina D3. Tableta. Cada tableta contiene: Carbonato de calcio 1666.670 mg equivalente a 600 mg de calcio. Colecalciferol 6.2 mg equivalente a 400 UI de Vitamina D3. Envase con 30 tabletas.</t>
  </si>
  <si>
    <t>010.000.6023.00</t>
  </si>
  <si>
    <t>Fosaprepitant. Solución Inyectable. Cada frasco ámpula con liofilizado contiene: Fosaprepitant de dimeglumina equivalente a 150 mg de fosaprepitant. Envase con un frasco ámpula.</t>
  </si>
  <si>
    <t>010.000.6026.00</t>
  </si>
  <si>
    <t>Inmunoglobulina humana normal subcutánea. Solución inyectable. Cada frasco ámpula contiene: Inmunoglobulina humana normal 2 g. Envase con un frasco ámpula con 10 ml.</t>
  </si>
  <si>
    <t>010.000.6027.00</t>
  </si>
  <si>
    <t>Inmunoglobulina humana normal subcutánea. Solución inyectable. Cada frasco ámpula contiene: Inmunoglobulina humana normal 4 g. Envase con un frasco ámpula con 20 ml.</t>
  </si>
  <si>
    <t>010.000.6029.00</t>
  </si>
  <si>
    <t>Triptorelina. Suspensión inyectable. Cada frasco ámpula con liofilizado contiene: Pamoato de triptorelina equivalente a 3.75 mg de triptorelina. Envase con un frasco ámpula con liofilizado y ampolleta con 2 ml de diluyente y equipo para administración.</t>
  </si>
  <si>
    <t>010.000.6030.00</t>
  </si>
  <si>
    <t>Triptorelina. Suspensión inyectable. Cada frasco ámpula con liofilizado contiene: Pamoato de triptorelina equivalente a 11.25 mg de triptorelina. Envase con un frasco ámpula con liofilizado y ampolleta con 2 ml de diluyente y equipo para administración.</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</si>
  <si>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</si>
  <si>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</si>
  <si>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010.000.6033.00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</si>
  <si>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</si>
  <si>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010.000.6034.00</t>
  </si>
  <si>
    <t>Mifepristona. Tableta. Cada tableta contiene: Mifepristona 200 mg. Envase con una tableta.</t>
  </si>
  <si>
    <t>010.000.6036.00</t>
  </si>
  <si>
    <t>Acetato de glatiramer. Solcuión inyectable. Cada jeringa prellenada contiene: Acetato de glatiramer 40 mg. Envase con 12 jeringas prellenadas con 1 ml (40 mg/ml).</t>
  </si>
  <si>
    <t>010.000.6051.00</t>
  </si>
  <si>
    <t>Alprostadil. Solucion inyectable cada ampolleta contiene: Alprostadil 500 µg. envase con 5 ampolletas con 1 ml cada una (500 µg/ml).</t>
  </si>
  <si>
    <t>010.000.6055.00</t>
  </si>
  <si>
    <t>Inhibidor de la Esterasa c1 humano. Solucion inyectable cada frasco ámpula contiene: inhibidor de la esterasa c1 humano 500 ui envase con frasco ámpula con liofilizado y frasco ámpula con 10 ml de diluyente.</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</si>
  <si>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</si>
  <si>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</si>
  <si>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</si>
  <si>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</si>
  <si>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010.000.6083.00</t>
  </si>
  <si>
    <t>Citrato De Cafeína. Solución Inyectable Solución Oral Cada mililitro contiene: Citrato de cafeína 20 mg equivalente a 10 mg de cafeína. Envase con 10 frascos ámpula con3 ml (30 mg de cafeína/3 ml).</t>
  </si>
  <si>
    <t>010.000.6099.01</t>
  </si>
  <si>
    <t>Lactulosa. Jarabe. Cada 100 ml contienen: Lactulosa 66.70 g Envase con 240 ml y medidadosificadora (0.667 g/ml).</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</si>
  <si>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</si>
  <si>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</si>
  <si>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010.000.6115.00</t>
  </si>
  <si>
    <t>Selegilina. Tableta. Cada tableta contiene: Clorhidrato de selegilina 5 mg. Envase con 20 tabletas.</t>
  </si>
  <si>
    <t>010.000.6121.00</t>
  </si>
  <si>
    <t>Zidovudina. Solución Inyectable. Cada frasco ámpula contiene: Zidovudina 200 mg Envase con 5 frascos ámpula (200 mg/20 mL)</t>
  </si>
  <si>
    <t>010.000.6122.00</t>
  </si>
  <si>
    <t>Amfotericina B Liposomal. Solución Inyectable. Cada frasco ámpula con liofilizado contiene: Amfotericina B Liposomal 50 mg. Envase con 1 frasco ámpula con liofilizado un frasco ámpula con o sin 12 ml. de diluyente un filtro de 5 micras.</t>
  </si>
  <si>
    <t>010.000.6124.00</t>
  </si>
  <si>
    <t>Cisteamina. Cápsula Cada cápsula contiene: Bitartrato de cisteamina equivalente a 50 mg de cisteamina Envase con 100 cápsulas</t>
  </si>
  <si>
    <t>010.000.6125.00</t>
  </si>
  <si>
    <t>Cisteamina. Cápsula Cada cápsula contiene: Bitartrato de cisteamina equivalente a 150 mg de cisteamina Envase con 100 cápsulas</t>
  </si>
  <si>
    <t>010.000.6150.00</t>
  </si>
  <si>
    <t>Budesonida. Aerosol Para Inhalacion Bucal. Cada gramo contiene: Budesonida 4.285 mg Envase presurizado con 200 dosis de 200 µg cada una y dispositivo inhalador.</t>
  </si>
  <si>
    <t>010.000.6168.00</t>
  </si>
  <si>
    <t>Anestesia Sugammadex. Solución inyectable. Cada frasco ámpula contiene: Sugammadex sódico equivalente a 200 mg de sugammadex Envase con 10 frascos ámpula con 2 ml de solución cada uno (100 mg/ml).</t>
  </si>
  <si>
    <t>010.000.6169.00</t>
  </si>
  <si>
    <t>Endocrinología y Metabolismo Levotiroxina Sódica. Tableta. Cada tableta contiene: Levotiroxina sódica 25 µg Envase con 50 tabletas.</t>
  </si>
  <si>
    <t>010.000.6170.00</t>
  </si>
  <si>
    <t>Endocrinología y Metabolismo Levotiroxina Sódica. Tableta. Cada tableta contiene: Levotiroxina sódica 50 µg Envase con 50 tabletas.</t>
  </si>
  <si>
    <t>010.000.6205.00</t>
  </si>
  <si>
    <t>ALEMTUZUMAB. SOLUCIÓN INYECTABLE Intravenosa por infusión Cada frasco ámpula Contiene: Alemtuzumab 12 mg Envase con un frasco ámpula con 10 mg/ mL (12 mg/1.2mL).</t>
  </si>
  <si>
    <t>010.000.6214.00</t>
  </si>
  <si>
    <t>Ciclofosfamida. Solución Inyectable. Cada frasco ámpula con liofilizado contiene: Ciclofosfamida monohidratada equivalente a 1000 mg de ciclofosfamida. Envase con 1 frasco ámpula</t>
  </si>
  <si>
    <t>010.000.6220.00</t>
  </si>
  <si>
    <t>Fluorouracilo. Solución Inyectable. Cada ampolleta o frasco ámpula contiene: Fluorouracilo 500 mg. Envase con frasco ámpula y ampolleta con 10 mL de diluyente.</t>
  </si>
  <si>
    <t>010.000.6220.02</t>
  </si>
  <si>
    <t>Fluorouracilo. Solución Inyectable. Cada ampolleta o frasco ámpula contiene: Fluorouracilo 500 mg. Envase con 10 frascos ámpula.</t>
  </si>
  <si>
    <t>010.000.6220.03</t>
  </si>
  <si>
    <t>Fluorouracilo. Solución Inyectable. Cada ampolleta o frasco ámpula contiene: Fluorouracilo 500 mg. Envase con 5 frascos ámpula.</t>
  </si>
  <si>
    <t>010.000.6221.00</t>
  </si>
  <si>
    <t>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t>
  </si>
  <si>
    <t>010.000.6222.00</t>
  </si>
  <si>
    <t>ÁCIDO ACETILSALICÍLICO, TABLETAS Cada tableta contiene: Ácido acetilsalicílico 100 mg con o sin recubrimiento. Envase con 28 tabletas.</t>
  </si>
  <si>
    <t>010.000.6228.00</t>
  </si>
  <si>
    <t>RAMIPRIL. CÁPSULA O TABLETA Cada cápsula o tableta contiene: Ramipril 5.0 mg. Envase con 30 cápsulas o tabletas.</t>
  </si>
  <si>
    <t>010.000.6244.00</t>
  </si>
  <si>
    <t>OLMESARTÁN. TABLETA Cada tableta contiene: Olmesartán  Medoxomilo 20 mg. Envase con 28 tabletas.</t>
  </si>
  <si>
    <t>010.000.6245.00</t>
  </si>
  <si>
    <t>OLMESARTÁN. TABLETA Cada tableta contiene: Olmesartán  Medoxomilo 40 mg. Envase con 28 tabletas.</t>
  </si>
  <si>
    <t>010.000.6246.00</t>
  </si>
  <si>
    <t>OLMESARTÁN/ AMLODIPINO. TABLETA Cada tableta contiene: Olmesartan medoxomilo 20 mg. Besilato o de amlodipino equivalente a 5 mg de amlodipino Envase con 28 tabletas.</t>
  </si>
  <si>
    <t>010.000.6247.00</t>
  </si>
  <si>
    <t>OLMESARTÁN/ AMLODIPINO. TABLETA Cada tableta contiene: Olmesartan medoxomilo 40 mg. Besilato o de amlodipino equivalente a 5 mg de amlodipino Envase con 28 tabletas.</t>
  </si>
  <si>
    <t>010.000.6248.00</t>
  </si>
  <si>
    <t>OLMESARTÁN/ AMLODIPINO. TABLETA Cada tableta contiene: Olmesartan medoxomilo 40 mg. Besilato o de amlodipino equivalente a 10 mg de amlodipino Envase con 28 tabletas.</t>
  </si>
  <si>
    <t>010.000.6249.00</t>
  </si>
  <si>
    <t>OLMESARTÁN/ HIDROCLOROTIAZIDA. TABLETA Cada tableta contiene: Olmesartan medoxomilo 20 mg. Hidroclorotiazida 12.5 mg. Envase con 28 tabletas</t>
  </si>
  <si>
    <t>010.000.6250.00</t>
  </si>
  <si>
    <t>OLMESARTÁN/ HIDROCLOROTIAZIDA. TABLETA Cada tableta contiene: Olmesartan medoxomilo 40 mg. Hidroclorotiazida 12.5 mg. Envase con 28 tabletas</t>
  </si>
  <si>
    <t>010.000.6251.00</t>
  </si>
  <si>
    <t>OLMESARTÁN/ HIDROCLOROTIAZIDA. TABLETA Cada tableta contiene: Olmesartan medoxomilo 40 mg. Hidroclorotiazida 25 mg. Envase con 28 tabletas</t>
  </si>
  <si>
    <t>010.000.6255.00</t>
  </si>
  <si>
    <t>BISOPROLOL. TABLETA Cada tableta contiene: Bisoprolol fumarato 1.25 mg Caja con 30 tabletas</t>
  </si>
  <si>
    <t>010.000.6256.00</t>
  </si>
  <si>
    <t>BISOPROLOL. TABLETA Cada tableta contiene: Bisoprolol fumarato 2.5 mg Caja con 30 tabletas</t>
  </si>
  <si>
    <t>010.000.6257.00</t>
  </si>
  <si>
    <t>BISOPROLOL. TABLETA Cada tableta contiene: Bisoprolol fumarato 5 mg Caja con 30 tabletas</t>
  </si>
  <si>
    <t>010.000.6258.00</t>
  </si>
  <si>
    <t>BISOPROLOL. TABLETA Cada tableta contiene: Bisoprolol fumarato 10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</si>
  <si>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</si>
  <si>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</si>
  <si>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</si>
  <si>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</si>
  <si>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010.000.6261.00</t>
  </si>
  <si>
    <t>EPLERENONA. CÁPSULA O TABLETA Cada cápsula o tableta contiene: Eplerenona 25.0 mg. Envase con 30 cápsulas o tabletas.</t>
  </si>
  <si>
    <t>010.000.6265.00</t>
  </si>
  <si>
    <t>PRAZOSINA. CÁPSULA O COMPRIMIDO Cada cápsula o comprimido contiene: Clorhidrato de prazosina equivalente a 2 mg de prazosina. Envase con 30 cápsulas o comprimidos.</t>
  </si>
  <si>
    <t>010.000.6267.00</t>
  </si>
  <si>
    <t>HEPARINA. SOLUCIÓN INYECTABLE Cada frasco ámpula contiene: Heparina sódica Equivalente a 5000 UI. Envase con 50 frascos ámpula con 5 ml.</t>
  </si>
  <si>
    <t>010.000.6268.00</t>
  </si>
  <si>
    <t>IRBESARTÁN/ AMLODIPINO. TABLETA Cada tableta contiene: Irbesartán 150 mg. Besilato de amlodipino equivalente a 10 mg de amlodipino Envase con 28 tabletas.</t>
  </si>
  <si>
    <t>010.000.6269.00</t>
  </si>
  <si>
    <t>IRBESARTÁN/ AMLODIPINO. TABLETA Cada tableta contiene: Irbesartán 300 mg. Besilato de amlodipino equivalente a 10 mg de amlodipino Envase con 28 tabletas.</t>
  </si>
  <si>
    <t>010.000.6270.00</t>
  </si>
  <si>
    <t>IRBESARTÁN/HIDROCLOROTIAZIDA. TABLETA Cada tableta contiene: Irbesartán  300 mg. Hidroclorotiazida 25 mg. Envase con 28 tabletas.</t>
  </si>
  <si>
    <t>010.000.6271.00</t>
  </si>
  <si>
    <t>CARVEDILOL. TABLETA Cada tableta contiene: Carvedilol 25 mg. Envase con 28 tabletas.</t>
  </si>
  <si>
    <t>010.000.6273.00</t>
  </si>
  <si>
    <t>METFORMINA/ GLIBENCLAMIDA. TABLETA Cada tableta contiene: Clorhidrato de metformina 500 mg. Glibenclamida 2.5 mg Envase con 30 tabletas.</t>
  </si>
  <si>
    <t>010.000.6274.00</t>
  </si>
  <si>
    <t>METFORMINA/ GLIMEPIRIDA. TABLETA Cada tableta contiene: Clorhidrato de metformina 500 mg. Glimepirida 1 mg Envase con 32 tabletas.</t>
  </si>
  <si>
    <t>010.000.6275.00</t>
  </si>
  <si>
    <t>METFORMINA. TABLETA Cada tableta contiene: Clorhidrato de Metformina de liberación prolongada 500 mg Envase con 30 tabletas.</t>
  </si>
  <si>
    <t>010.000.6276.01</t>
  </si>
  <si>
    <t>FENOFIBRATO. CÁPSULA Cada cápsula contiene: Fenofibrato 160 mg Caja con 30 cápsulas</t>
  </si>
  <si>
    <t>010.000.6278.00</t>
  </si>
  <si>
    <t>CLARITROMICINA. SUSPENSIÓN El frasco con granulado contiene: claritromicina 2.50 g Envase con un frasco con 60 ml</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</si>
  <si>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</si>
  <si>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</si>
  <si>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</si>
  <si>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</si>
  <si>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</si>
  <si>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</si>
  <si>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</si>
  <si>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</si>
  <si>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010.000.6295.00</t>
  </si>
  <si>
    <t>PACLITAXEL. SOLUCIÓN INYECTABLE Cada frasco ámpula o vial contiene: Paclitaxel 30 mg (30 mg/5mL) Envase con 1 frasco ámpula o vial.</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</si>
  <si>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</si>
  <si>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</si>
  <si>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010.000.6307.00</t>
  </si>
  <si>
    <t>BUSULFÁN. SOLUCIÓN INYECTABLE Cada ml contiene: Busulfan 6.0 mg. Envase con frasco ámpula o vial de 60 mg/10 ml.</t>
  </si>
  <si>
    <t>010.000.6309.00</t>
  </si>
  <si>
    <t>Hidroxicloroquina. TABLETA Cada tableta contiene: Sulfato de hidroxicloroquina 200 mg. Caja de cartón con 20 tabletas en envase de burbuja.</t>
  </si>
  <si>
    <t>010.000.6333.00</t>
  </si>
  <si>
    <t>LISINOPRIL. CÁPSULA O TABLETA Cada cápsula o tableta contiene: Lisinopril 10 mg. Envase con 30 cápsulas o tabletas.</t>
  </si>
  <si>
    <t>010.000.6337.00</t>
  </si>
  <si>
    <t>GLIMEPIRIDA. TABLETAS Cada tableta contiene Glimepirida 2 mg Envase con 15 tabletas</t>
  </si>
  <si>
    <t>010.000.6337.01</t>
  </si>
  <si>
    <t>GLIMEPIRIDA. TABLETAS Cada tableta contiene Glimepirida 2 mg Envase con 30 tabletas</t>
  </si>
  <si>
    <t>010.000.6344.00</t>
  </si>
  <si>
    <t>CEFIXIMA. SUSPENSIÓN ORAL Cada 5 mL de suspensión contienen: Cefixima 100 mg Frasco con polvo para reconstituir 50 mL, con pipeta dosificadora.</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</si>
  <si>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</si>
  <si>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</si>
  <si>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010.000.6500.01</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</si>
  <si>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t>
  </si>
  <si>
    <t>010.000.6507.00</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</si>
  <si>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1000 ml, con tres compartimentos (200 ml para lípidos, 400 ml para aminoácidos con electrólitos, 400 ml para glucosa con calcio).</t>
  </si>
  <si>
    <t>010.000.6507.01</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</si>
  <si>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1500 ml con tres compartimentos (300 ml para lípidos; 600 ml para aminoácidos con electrolitos; 600 ml para glucosa con calcio).</t>
  </si>
  <si>
    <t>010.000.6507.02</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</si>
  <si>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2000 ml con tres compartimentos (400 ml para lípidos; 800 ml para aminoácidos con electrolitos; 800 ml para glucosa con calcio).</t>
  </si>
  <si>
    <t>010.000.7003.00</t>
  </si>
  <si>
    <t>DUPILUMAB. SOLUCIÓN INYECTABLE. Cada jeringa prellenada contiene: Dupilumab 300 mg.</t>
  </si>
  <si>
    <t>010.000.7003.01</t>
  </si>
  <si>
    <t>DUPILUMAB. SOLUCIÓN INYECTABLE. Cada jeringa prellenada contiene: Dupilumab 200 mg. Caja con 2 jeringas prellenadas con 200 mg/ 1.14mL con protector de aguja e instructivo anexo.</t>
  </si>
  <si>
    <t>010.000.7019.00</t>
  </si>
  <si>
    <t>RURIOCTOCOG ALFA PEGOL. SOLUCIÓN. Cada frasco ámpula con polvo liofilizado contiene: Rurioctocog alfa pegol 500 UI. Caja de cartón con un frasco ámpula con 500 UI de polvo liofilizado, un frasco ámpula con 2 mL de diluyente, un equipo para la reconstitución Baxject II Hi-Flow e instructivo anexo. Caja de cartón con accesorios: una aguja mariposa, una jeringa desechable de 10 mL y dos toallitas impregnadas con alcohol.</t>
  </si>
  <si>
    <t>010.000.7019.01</t>
  </si>
  <si>
    <t>RURIOCTOCOG ALFA PEGOL. SOLUCIÓN. Cada frasco ámpula con polvo liofilizado contiene: Rurioctocog alfa pegol 1000 UI. Caja de cartón con un frasco ámpula con 1000 UI de polvo liofilizado, un frasco ámpula con 2 mL de diluyente, un equipo para la reconstitución Baxject II Hi-Flow e instructivo anexo. Caja de cartón con accesorios: una aguja mariposa, una jeringa desechable de 10 mL y dos toallitas impregnadas con alcohol.</t>
  </si>
  <si>
    <t>030.000.0003.00</t>
  </si>
  <si>
    <t>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µg 100g Mín. 816.00 Máx 1995 100kcal Mín 204.00 Máx 380.00 100ml Mín 130.56 Máx 323 Vitamina D Unidad U.I. 100g Mín. 292.00 Máx 525 100kcal Mín 73.00 Máx 100.00 100ml Mín 46.72 Máx 85 Vitamina E ( Alfa Tocoferol) Unidad U.I. 100g Mín. 12.00 Máx 63 100kcal Mín 3.00 Máx 12.00 100ml Mín 1.92 Máx 10.2 Vitamina K Unidad µg 100g Mín. 32.80 Máx 131.25 100kcal Mín 8.20 Máx 25.00 100ml Mín 5.248 Máx 21.25 Vitamina C Unidad mg 100g Mín. 53.60 Máx 194.25 100kcal Mín 13.40 Máx 37.00 100ml Mín 8.576 Máx 31.45 Vitamina B1 (tiamina) Unidad µg 100g Mín. 240.00 Máx 1312.5 100kcal Mín 60.00 Máx 250.00 100ml Mín 38.4 Máx 212.5 Vitamina B2 (riboflavina) Unidad µg 100g Mín. 560.00 Máx 2625 100kcal Mín 140.00 Máx 500.00 100ml Mín 89.6 Máx 425 Niacina Unidad µg 100g Mín. 4000.00 Máx 7875 100kcal Mín 1000.00 Máx 1500.00 100ml Mín 640 Máx 1275 Vitamina B6 (piridoxina) Unidad µg 100g Mín. 300.00 Máx 918.75 100kcal Mín 75.00 Máx 175.00 100ml Mín 48 Máx 148.75 Acido fólico Unidad µg 100g Mín. 148.00 Máx 262.5 100kcal Mín 37.00 Máx 50.00 100ml Mín 23.68 Máx 42.5 Acido pantoténico Unidad µg 100g Mín. 1800.00 Máx 9975 100kcal Mín 450.00 Máx 1900.00 100ml Mín 288 Máx 1615 Vitamina B12 (cianocobalamina) Unidad µg 100g Mín. 0.80 Máx 7.875 100kcal Mín 0.20 Máx 1.50 100ml Mín 0.128 Máx 1.275 Biotina Unidad µg 100g Mín. 8.80 Máx 52.5 100kcal Mín 2.20 Máx 10.00 100ml Mín 1.408 Máx 8.5 Colina Unidad mg 100g Mín. 30.00 Máx 262.5 100kcal Mín 7.50 Máx 50.00 100ml Mín 4.8 Máx 42.5 Mioinositol Unidad mg 100g Mín. 16.00 Máx 210 100kcal Mín 4.00 Máx 40.00 100ml Mín 2.56 Máx 34 Magnesio Unidad mg 100g Mín. 28.00 Máx 78.75 100kcal Mín 7.00 Máx 15.00 100ml Mín 4.48 Máx 12.75 Hierro Unidad mg 100g Mín. 6.80 Máx 15.75 100kcal Mín 1.70 Máx 3.00 100ml Mín 1.088 Máx 2.55 Yodo Unidad µg 100g Mín. 24.00 Máx 236.25 100kcal Mín 6.00 Máx 45.00 100ml Mín 3.84 Máx 38.25 Cobre Unidad µg 100g Mín. 360.00 Máx 630 100kcal Mín 90.00 Máx 120.00 100ml Mín 57.6 Máx 102 Zinc Unidad mg 100g Mín. 4.40 Máx 7.875 100kcal Mín 1.10 Máx 1.50 100ml Mín 0.704 Máx 1.275 Manganeso Unidad µg 100g Mín. 28.00 Máx 131.25 100kcal Mín 7.00 Máx 25.00 100ml Mín 4.48 Máx 21.25 Selenio Unidad µg 100g Mín. 7.20 Máx 26.25 100kcal Mín 1.80 Máx 5.00 100ml Mín 1.152 Máx 4.25 Nucleótidos Unidad mg 100g Mín. 7.60 Máx 84 100kcal Mín 1.90 Máx 16.00 100ml Mín 1.216 Máx 13.6 Cromo Unidad µg 100g Mín. 6.00 Máx 52.5 100kcal Mín 1.50 Máx 10.00 100ml Mín 0.96 Máx 8.5 Molibdeno Unidad µg 100g Mín. 6.00 Máx 52.5 100kcal Mín 1.50 Máx 10.00 100ml Mín 0.96 Máx 8.5 Dilución 16% Envase con 450 a 454 g y medida de 4.40 a 5.37 g. * Aunque no existe un nivel superior de recomendación siempre deberá conservar la relación de ácido linoleico/ácido linolenico. **DHA: Acido Docosahexanoico. *** La lactosa y polímeros de glucosa deben ser los hidratos de carbono preferidos sólo podrán añadirse almidones naturalmente exentos de gluten precocidos y/o gelatinizados hasta un máximo de 30% del contenido total de hidratos de carbono y hasta un máximo de 2 g/100ml.</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</si>
  <si>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</si>
  <si>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</si>
  <si>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030.000.6128.01</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</si>
  <si>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t>
  </si>
  <si>
    <t>040.000.0132.01</t>
  </si>
  <si>
    <t>Nalbufina solución inyectable cada ampolleta contiene: clorhidrato de nalbufina 10 mg envase con 5 ampolletas de 1 ml.</t>
  </si>
  <si>
    <t>040.000.0202.00</t>
  </si>
  <si>
    <t>Diazepam. Solución Inyectable. Cada ampolleta contiene: Diazepam 10 mg Envase con 50 ampolletas de 2 ml.</t>
  </si>
  <si>
    <t>040.000.0221.00</t>
  </si>
  <si>
    <t>Tiopental sódico. Solución Inyectable Cada frasco ámpula con polvo contiene: Tiopental sódico 0.5 g Envase con frasco ámpula y diluyente con 20 ml.</t>
  </si>
  <si>
    <t>040.000.0226.00</t>
  </si>
  <si>
    <t>Ketamina. Solución Inyectable Cada frasco ámpula contiene: Clorhidrato de ketamina equivalente a 500 mg de ketamina Envase con un frasco ámpula de 10 ml.</t>
  </si>
  <si>
    <t>040.000.0242.00</t>
  </si>
  <si>
    <t>Fentanilo. Solución Inyectable Cada ampolleta o frasco ámpula contiene: Citrato de fentanilo equivalente a 0.5 mg de fentanilo. Envase con 6 ampolletas o frascos ámpula con 10 ml.</t>
  </si>
  <si>
    <t>040.000.0243.00</t>
  </si>
  <si>
    <t>Etomidato. Solución Inyectable Cada ampolleta contiene: Etomidato 20 mg Envase con 5 ampolletas con 10 ml.</t>
  </si>
  <si>
    <t>040.000.0248.00</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</si>
  <si>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</si>
  <si>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</si>
  <si>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</si>
  <si>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</si>
  <si>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</si>
  <si>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040.000.1544.00</t>
  </si>
  <si>
    <t>Ergometrina. Solución Inyectable Cada ampolleta contiene: Maleato de ergometrina 0.2 mg Envase con 50 ampolletas de 1 ml.</t>
  </si>
  <si>
    <t>040.000.2096.00</t>
  </si>
  <si>
    <t>Tramadol-paracetamol.  Tableta Cada Tableta contiene: Clorhidrato de Tramadol 37.5 mg Paracetamol 325.0 mg Envase con 20 Tabletas.</t>
  </si>
  <si>
    <t>040.000.2099.00</t>
  </si>
  <si>
    <t>Morfina solución inyectable cada ampolleta contiene: sulfato de morfina pentahidratada 2.5 mg envase con 5 ampolletas con 2.5 ml.</t>
  </si>
  <si>
    <t>040.000.2102.00</t>
  </si>
  <si>
    <t>Morfina solución inyectable cada ampolleta contiene: sulfato de morfina pentahidratada 50 mg envase con 1 ampolleta con 2.0 ml.</t>
  </si>
  <si>
    <t>040.000.2103.00</t>
  </si>
  <si>
    <t>Morfina solución inyectable cada ampolleta contiene: sulfato de morfina 10 mg envase con 5 ampolletas.</t>
  </si>
  <si>
    <t>040.000.2106.00</t>
  </si>
  <si>
    <t>Tramadol.  Solución Inyectable Cada ampolleta contiene: Clorhidrato de Tramadol 100 mg Envase con 5 ampolletas de 2 ml.</t>
  </si>
  <si>
    <t>040.000.2107.00</t>
  </si>
  <si>
    <t>Efedrina. Solución Inyectable Cada ampolleta contiene: Sulfato de efedrina 50 mg Envase con 100 ampolletas con 2 ml. (25 mg/ml)</t>
  </si>
  <si>
    <t>040.000.2108.00</t>
  </si>
  <si>
    <t>Midazolam. Solución Inyectable Cada ampolleta contiene: Clorhidrato de midazolam equivalente a 5 mg de midazolam o Midazolam 5 mg Envase con 5 ampolletas con 5 ml.</t>
  </si>
  <si>
    <t>040.000.2500.00</t>
  </si>
  <si>
    <t>Alprazolam. Tableta Cada Tableta contiene: alprazolam 0.25 mg Envase con 30 Tabletas.</t>
  </si>
  <si>
    <t>040.000.2601.00</t>
  </si>
  <si>
    <t>Fenobarbital. Tableta Cada Tableta contiene: Fenobarbital 100 mg Envase con 20 Tabletas.</t>
  </si>
  <si>
    <t>040.000.2608.00</t>
  </si>
  <si>
    <t>Carbamazepina. Tableta. Cada Tableta contiene: Carbamazepina 200 mg Envase con 20 Tabletas.</t>
  </si>
  <si>
    <t>040.000.2612.00</t>
  </si>
  <si>
    <t>Clonazepam. Tableta Cada Tableta contiene: Clonazepam 2 mg Envase con 30 Tabletas.</t>
  </si>
  <si>
    <t>040.000.2613.00</t>
  </si>
  <si>
    <t>Clonazepam. Solución. Cada ml contiene: Clonazepam 2.5 mg Envase con 10 ml y gotero integral.</t>
  </si>
  <si>
    <t>040.000.2651.00</t>
  </si>
  <si>
    <t>Trihexifenidilo. Tableta Cada Tableta contiene: Clorhidrato de trihexifenidilo 5 mg Envase con 50 Tabletas.</t>
  </si>
  <si>
    <t>040.000.2652.00</t>
  </si>
  <si>
    <t>Biperideno. Tableta Cada Tableta contiene: Clorhidrato de biperideno 2 mg Envase con 50 Tabletas.</t>
  </si>
  <si>
    <t>040.000.3215.00</t>
  </si>
  <si>
    <t>Diazepam. Tableta. Cada tableta contiene: Diazepam 10 mg Envase con 20 Tabletas.</t>
  </si>
  <si>
    <t>040.000.3251.00</t>
  </si>
  <si>
    <t>Haloperidol. Tableta Cada Tableta contiene: Haloperidol 5 mg Envase con 20 Tabletas.</t>
  </si>
  <si>
    <t>040.000.3253.00</t>
  </si>
  <si>
    <t>Haloperidol. Solución Inyectable Cada ampolleta contiene: Haloperidol 5 mg Envase con 6 ampolletas (5 mg/ml).</t>
  </si>
  <si>
    <t>040.000.3255.00</t>
  </si>
  <si>
    <t>Litio. Tableta. Cada tableta contiene: Carbonato de Litio 300 mg. Envase con 50 Tabletas.</t>
  </si>
  <si>
    <t>040.000.3258.00</t>
  </si>
  <si>
    <t>Risperidona. Tableta Cada Tableta contiene: Risperidona 2 mg Envase con 40 Tabletas.</t>
  </si>
  <si>
    <t>040.000.3259.01</t>
  </si>
  <si>
    <t>Clozapina. Comprimido. Cada comprimido contiene: Clozapina 100 mg Envase con 50 Comprimidos.</t>
  </si>
  <si>
    <t>040.000.3262.00</t>
  </si>
  <si>
    <t>Risperidona. Solución Oral Cada mililitro contiene: Risperidona 1 mg Envase con 60 ml y gotero dosificador.</t>
  </si>
  <si>
    <t>040.000.4026.00</t>
  </si>
  <si>
    <t>Buprenorfina solución inyectable cada ampolleta o frasco ámpula contiene: clorhidrato de buprenorfina equivalente a 0.3 mg de buprenorfina. Envase con 6 ampolletas o frascos ámpula con 1 ml.</t>
  </si>
  <si>
    <t>040.000.4027.00</t>
  </si>
  <si>
    <t>Fentanilo parche cada parche contiene: fentanilo 4.2 mg envase con 5 Parches..</t>
  </si>
  <si>
    <t>040.000.4029.00</t>
  </si>
  <si>
    <t>Morfina tableta cada tableta contiene: sulfato de morfina pentahidratado equivalente a 30 mg de sulfato de morfina envase con 20 tabletas.</t>
  </si>
  <si>
    <t>040.000.4054.00</t>
  </si>
  <si>
    <t>Flumazenil. Solución Inyectable Cada ampolleta contiene: Flumazenil 0.5 mg. Envase con una ampolleta con 5 ml (0.1 mg/ml).</t>
  </si>
  <si>
    <t>040.000.4057.00</t>
  </si>
  <si>
    <t>Midazolam. Solución Inyectable Cada ampolleta contiene: Clorhidrato de midazolam equivalente a 15 mg de midazolam o Midazolam 15 mg Envase con 5 ampolletas con 3 ml.</t>
  </si>
  <si>
    <t>040.000.4477.00</t>
  </si>
  <si>
    <t>Haloperidol. Solución Oral Cada ml contiene: Haloperidol 2 mg Envase con gotero integral con 15 ml.</t>
  </si>
  <si>
    <t>040.000.4481.00</t>
  </si>
  <si>
    <t>Haloperidol. Solución Inyectable Cada ampolleta contiene: decanoato de haloperidol equivalente a 50 mg de haloperidol Envase con 1 ampolleta con 1 ml</t>
  </si>
  <si>
    <t>040.000.4482.00</t>
  </si>
  <si>
    <t>Bromazepam. Comprimido Cada Comprimido contiene: Bromazepam 3 mg Envase con 30 Comprimidos.</t>
  </si>
  <si>
    <t>040.000.4484.00</t>
  </si>
  <si>
    <t>Sertralina. Cápsula o Tableta Cada Cápsula o Tableta contiene: Clorhidrato de sertralina equivalente a 50 mg de sertralina. Envase con 14 Cápsulas o Tabletas.</t>
  </si>
  <si>
    <t>040.000.4486.01</t>
  </si>
  <si>
    <t>Anfebutamona o Bupropion. Tableta o gragea de liberación prolongada. Cada tableta o gragea de liberación prolongada contiene: Anfebutamona o Bupropión 150 mg. Envase con 30 tabletas o grageas de liberación prolongada.</t>
  </si>
  <si>
    <t>040.000.5351.00</t>
  </si>
  <si>
    <t>Metilfenidato. Comprimido Cada Comprimido contiene: Clorhidrato de metilfenidato 10 mg Envase con 30 Comprimidos.</t>
  </si>
  <si>
    <t>040.000.5478.00</t>
  </si>
  <si>
    <t>Lorazepam. Tableta Cada Tableta contiene: Lorazepam 1 mg Envase con 40 Tabletas</t>
  </si>
  <si>
    <t>040.000.6140.01</t>
  </si>
  <si>
    <t>Tramadol TABLETA DE LIBERACIÓN PROLONGADA Cada tableta de liberación prolongada contiene: Clorhidrato de Tramadol 150 mg Envase con 30 tabletas de liberación prolongada.</t>
  </si>
  <si>
    <t>040.000.6141.00</t>
  </si>
  <si>
    <t>Tramadol TABLETA DE LIBERACIÓN PROLONGADA Cada tableta de liberación prolongada contiene: Clorhidrato de Tramadol 200 mg Envase con 10 tabletas de liberación prolongada.</t>
  </si>
  <si>
    <t>040.000.6141.01</t>
  </si>
  <si>
    <t>Tramadol TABLETA DE LIBERACIÓN PROLONGADA Cada tableta de liberación prolongada contiene: Clorhidrato de Tramadol 200 mg Envase con 30 tabletas de liberación prolongada.</t>
  </si>
  <si>
    <t>040.000.6175.00</t>
  </si>
  <si>
    <t>Oxicodona / Naloxona. Tableta De Liberación Prolongada. Cada tableta contiene: Clorhidrato de oxicodona 5 mg Clorhidrato de naloxona dihidratado equivalente a 2.5 mg de clorhidrato de naloxona anhidra Envase con 28 tabletas de liberación prolongada.</t>
  </si>
  <si>
    <t>040.000.6176.00</t>
  </si>
  <si>
    <t>Oxicodona / Naloxona. Tableta De Liberación Prolongada. Cada tableta contiene: Clorhidrato de oxicodona 10 mg Clorhidrato de naloxona dihidratado equivalente a 5 mg de clorhidrato de naloxona anhidra Envase con 28 tabletas de liberación prolongada.</t>
  </si>
  <si>
    <t>040.000.6177.00</t>
  </si>
  <si>
    <t>Oxicodona / Naloxona. Tableta De Liberación Prolongada. Cada tableta contiene: Clorhidrato de oxicodona 20 mg Clorhidrato de naloxona dihidratado equivalente a 10 mg de clorhidrato de naloxona anhidra Envase con 28 tabletas de liberación prolongada.</t>
  </si>
  <si>
    <t>040.000.6188.00</t>
  </si>
  <si>
    <t>Fentanilo. Tableta Bucal Efervescente. Cada tableta contiene Citrato de Fentanilo 0.157 mg equivalente a 0.100 mg Fentanilo Envase con 28 tabletas.</t>
  </si>
  <si>
    <t>040.000.6190.00</t>
  </si>
  <si>
    <t>Fentanilo. Tableta Bucal Efervescente. Bucal. Cada tableta contiene Citrato de Fentanilo 0.628 mg equivalente a 0.400 mg Fentanilo. Envase con 28 tabletas</t>
  </si>
  <si>
    <t>040.000.6299.00</t>
  </si>
  <si>
    <t>QUETIAPINA. TABLETA Cada tableta contiene: Fumarato de quetiapina Equivalente a 25 mg de quetiapina. Envase con 30 tabletas</t>
  </si>
  <si>
    <t>SEDENA</t>
  </si>
  <si>
    <t>SEMAR</t>
  </si>
  <si>
    <t>Frasco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</si>
</sst>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theme="1"/>
      <name val="Montserrat"/>
    </font>
    <font>
      <sz val="9"/>
      <color theme="1"/>
      <name val="Montserrat"/>
    </font>
    <font>
      <b/>
      <sz val="9"/>
      <color theme="0"/>
      <name val="Montserrat"/>
    </font>
    <font>
      <b/>
      <sz val="9"/>
      <name val="Montserrat"/>
    </font>
    <font>
      <b/>
      <sz val="11"/>
      <color theme="1"/>
      <name val="Montserrat"/>
    </font>
    <font>
      <b/>
      <sz val="8"/>
      <color theme="0"/>
      <name val="Montserrat"/>
    </font>
  </fonts>
  <fills count="4">
    <fill>
      <patternFill patternType="none"/>
    </fill>
    <fill>
      <patternFill patternType="gray125"/>
    </fill>
    <fill>
      <patternFill patternType="solid">
        <fgColor rgb="FFD4C19C"/>
        <bgColor theme="4" tint="0.79998168889431442"/>
      </patternFill>
    </fill>
    <fill>
      <patternFill patternType="solid">
        <fgColor rgb="FF13322B"/>
        <bgColor theme="4" tint="0.79995117038483843"/>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33">
    <xf numFmtId="0" fontId="0" fillId="0" borderId="0" xfId="0"/>
    <xf numFmtId="0" fontId="2" fillId="0" borderId="0" xfId="0" applyFont="1"/>
    <xf numFmtId="3" fontId="2" fillId="0" borderId="0" xfId="0" applyNumberFormat="1" applyFont="1"/>
    <xf numFmtId="0" fontId="2" fillId="0" borderId="0" xfId="0" applyFont="1" applyAlignment="1">
      <alignment horizontal="center" vertical="center"/>
    </xf>
    <xf numFmtId="0" fontId="2" fillId="0" borderId="0" xfId="0" applyFont="1" applyAlignment="1">
      <alignment horizontal="center"/>
    </xf>
    <xf numFmtId="3" fontId="1" fillId="0" borderId="0" xfId="0" applyNumberFormat="1" applyFont="1" applyAlignment="1">
      <alignment horizontal="center" vertical="center"/>
    </xf>
    <xf numFmtId="3" fontId="2" fillId="0" borderId="0" xfId="0" applyNumberFormat="1" applyFont="1" applyAlignment="1">
      <alignment horizontal="center"/>
    </xf>
    <xf numFmtId="3"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3" fontId="3" fillId="3" borderId="1" xfId="0" applyNumberFormat="1"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3" fontId="2" fillId="0" borderId="1" xfId="0" applyNumberFormat="1" applyFont="1" applyBorder="1" applyAlignment="1">
      <alignment horizontal="center"/>
    </xf>
    <xf numFmtId="0" fontId="2" fillId="0" borderId="1" xfId="0" applyFont="1" applyBorder="1" applyAlignment="1">
      <alignment horizontal="center" vertical="center"/>
    </xf>
    <xf numFmtId="0" fontId="2" fillId="0" borderId="1" xfId="0" applyFont="1" applyBorder="1"/>
    <xf numFmtId="3" fontId="2" fillId="0" borderId="1" xfId="0" applyNumberFormat="1" applyFont="1" applyBorder="1"/>
    <xf numFmtId="3" fontId="1" fillId="0" borderId="0" xfId="0" applyNumberFormat="1" applyFont="1" applyAlignment="1">
      <alignment horizontal="left" vertical="center"/>
    </xf>
    <xf numFmtId="3" fontId="5" fillId="0" borderId="0" xfId="0" applyNumberFormat="1" applyFont="1" applyAlignment="1">
      <alignment horizontal="left" vertical="center"/>
    </xf>
    <xf numFmtId="0" fontId="2" fillId="0" borderId="1" xfId="0" applyFont="1" applyBorder="1" applyAlignment="1">
      <alignment horizontal="center"/>
    </xf>
    <xf numFmtId="3" fontId="2" fillId="0" borderId="1" xfId="0" applyNumberFormat="1" applyFont="1" applyBorder="1" applyAlignment="1">
      <alignment horizontal="right"/>
    </xf>
    <xf numFmtId="3" fontId="2" fillId="0" borderId="0" xfId="0" applyNumberFormat="1" applyFont="1" applyAlignment="1">
      <alignment horizontal="right" vertical="center"/>
    </xf>
    <xf numFmtId="3" fontId="1" fillId="0" borderId="1" xfId="0" applyNumberFormat="1" applyFont="1" applyBorder="1" applyAlignment="1">
      <alignment horizontal="right" vertical="center"/>
    </xf>
    <xf numFmtId="0" fontId="2" fillId="0" borderId="0" xfId="0" applyFont="1" applyAlignment="1">
      <alignment horizontal="center" vertical="center" wrapText="1"/>
    </xf>
    <xf numFmtId="3" fontId="2" fillId="0" borderId="0" xfId="0" applyNumberFormat="1" applyFont="1" applyAlignment="1">
      <alignment horizontal="left"/>
    </xf>
    <xf numFmtId="0" fontId="2" fillId="0" borderId="0" xfId="0" applyFont="1" applyAlignment="1">
      <alignment horizontal="left"/>
    </xf>
    <xf numFmtId="0" fontId="2" fillId="0" borderId="1" xfId="0" applyFont="1" applyBorder="1" applyAlignment="1">
      <alignment horizontal="left" vertical="center"/>
    </xf>
    <xf numFmtId="3" fontId="1" fillId="0" borderId="1" xfId="0" applyNumberFormat="1" applyFont="1" applyBorder="1"/>
    <xf numFmtId="3" fontId="3" fillId="3" borderId="2" xfId="0" applyNumberFormat="1" applyFont="1" applyFill="1" applyBorder="1" applyAlignment="1">
      <alignment horizontal="center" vertical="center" wrapText="1"/>
    </xf>
    <xf numFmtId="3" fontId="3" fillId="3" borderId="3"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4" fontId="6" fillId="3" borderId="2" xfId="0" applyNumberFormat="1" applyFont="1" applyFill="1" applyBorder="1" applyAlignment="1">
      <alignment horizontal="center" vertical="center" wrapText="1"/>
    </xf>
    <xf numFmtId="4" fontId="6" fillId="3" borderId="3" xfId="0" applyNumberFormat="1" applyFont="1" applyFill="1" applyBorder="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332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22"/>
  <sheetViews>
    <sheetView showGridLines="0" tabSelected="1" zoomScaleNormal="100" workbookViewId="0">
      <pane xSplit="3" ySplit="4" topLeftCell="AA293" activePane="bottomRight" state="frozen"/>
      <selection pane="topRight" activeCell="D1" sqref="D1"/>
      <selection pane="bottomLeft" activeCell="A5" sqref="A5"/>
      <selection pane="bottomRight" activeCell="C302" sqref="C302"/>
    </sheetView>
  </sheetViews>
  <sheetFormatPr defaultColWidth="11.42578125" defaultRowHeight="13.5" x14ac:dyDescent="0.25"/>
  <cols>
    <col min="1" max="1" width="6.7109375" style="6" customWidth="1"/>
    <col min="2" max="2" width="17.5703125" style="3" bestFit="1" customWidth="1"/>
    <col min="3" max="3" width="108.140625" style="1" customWidth="1"/>
    <col min="4" max="4" width="9" style="3" bestFit="1" customWidth="1"/>
    <col min="5" max="28" width="12.7109375" style="2" customWidth="1"/>
    <col min="29" max="29" width="12.7109375" style="21" customWidth="1"/>
    <col min="30" max="30" width="13.42578125" style="21" customWidth="1"/>
    <col min="31" max="16384" width="11.42578125" style="1"/>
  </cols>
  <sheetData>
    <row r="1" spans="1:30" ht="18" x14ac:dyDescent="0.25">
      <c r="A1" s="18" t="s">
        <v>46</v>
      </c>
    </row>
    <row r="2" spans="1:30" s="3" customFormat="1" ht="18" customHeight="1" x14ac:dyDescent="0.25">
      <c r="A2" s="7"/>
      <c r="B2" s="8"/>
      <c r="C2" s="8"/>
      <c r="D2" s="8"/>
      <c r="E2" s="28" t="s">
        <v>5</v>
      </c>
      <c r="F2" s="29"/>
      <c r="G2" s="28" t="s">
        <v>1</v>
      </c>
      <c r="H2" s="29"/>
      <c r="I2" s="28" t="s">
        <v>4</v>
      </c>
      <c r="J2" s="29"/>
      <c r="K2" s="28" t="s">
        <v>0</v>
      </c>
      <c r="L2" s="29"/>
      <c r="M2" s="28" t="s">
        <v>1284</v>
      </c>
      <c r="N2" s="29"/>
      <c r="O2" s="28" t="s">
        <v>1285</v>
      </c>
      <c r="P2" s="29"/>
      <c r="Q2" s="28" t="s">
        <v>10</v>
      </c>
      <c r="R2" s="29"/>
      <c r="S2" s="28" t="s">
        <v>18</v>
      </c>
      <c r="T2" s="29"/>
      <c r="U2" s="28" t="s">
        <v>11</v>
      </c>
      <c r="V2" s="29"/>
      <c r="W2" s="28" t="s">
        <v>12</v>
      </c>
      <c r="X2" s="29"/>
      <c r="Y2" s="28" t="s">
        <v>13</v>
      </c>
      <c r="Z2" s="29"/>
      <c r="AA2" s="28" t="s">
        <v>14</v>
      </c>
      <c r="AB2" s="29"/>
      <c r="AC2" s="30" t="s">
        <v>3</v>
      </c>
      <c r="AD2" s="30"/>
    </row>
    <row r="3" spans="1:30" s="3" customFormat="1" ht="27" x14ac:dyDescent="0.25">
      <c r="A3" s="9" t="s">
        <v>15</v>
      </c>
      <c r="B3" s="10" t="s">
        <v>16</v>
      </c>
      <c r="C3" s="10" t="s">
        <v>17</v>
      </c>
      <c r="D3" s="10" t="s">
        <v>7</v>
      </c>
      <c r="E3" s="9" t="s">
        <v>8</v>
      </c>
      <c r="F3" s="9" t="s">
        <v>9</v>
      </c>
      <c r="G3" s="9" t="s">
        <v>8</v>
      </c>
      <c r="H3" s="9" t="s">
        <v>9</v>
      </c>
      <c r="I3" s="9" t="s">
        <v>8</v>
      </c>
      <c r="J3" s="9" t="s">
        <v>9</v>
      </c>
      <c r="K3" s="9" t="s">
        <v>8</v>
      </c>
      <c r="L3" s="9" t="s">
        <v>9</v>
      </c>
      <c r="M3" s="9" t="s">
        <v>8</v>
      </c>
      <c r="N3" s="9" t="s">
        <v>9</v>
      </c>
      <c r="O3" s="9" t="s">
        <v>8</v>
      </c>
      <c r="P3" s="9" t="s">
        <v>9</v>
      </c>
      <c r="Q3" s="9" t="s">
        <v>8</v>
      </c>
      <c r="R3" s="9" t="s">
        <v>9</v>
      </c>
      <c r="S3" s="9" t="s">
        <v>8</v>
      </c>
      <c r="T3" s="9" t="s">
        <v>9</v>
      </c>
      <c r="U3" s="9" t="s">
        <v>8</v>
      </c>
      <c r="V3" s="9" t="s">
        <v>9</v>
      </c>
      <c r="W3" s="9" t="s">
        <v>8</v>
      </c>
      <c r="X3" s="9" t="s">
        <v>9</v>
      </c>
      <c r="Y3" s="9" t="s">
        <v>8</v>
      </c>
      <c r="Z3" s="9" t="s">
        <v>9</v>
      </c>
      <c r="AA3" s="9" t="s">
        <v>8</v>
      </c>
      <c r="AB3" s="9" t="s">
        <v>9</v>
      </c>
      <c r="AC3" s="9" t="s">
        <v>8</v>
      </c>
      <c r="AD3" s="9" t="s">
        <v>9</v>
      </c>
    </row>
    <row r="4" spans="1:30" s="3" customFormat="1" x14ac:dyDescent="0.25">
      <c r="A4" s="11" t="s">
        <v>6</v>
      </c>
      <c r="B4" s="12" t="s">
        <v>2</v>
      </c>
      <c r="C4" s="11">
        <f>SUBTOTAL(3,C5:C622)</f>
        <v>618</v>
      </c>
      <c r="D4" s="11" t="s">
        <v>6</v>
      </c>
      <c r="E4" s="11">
        <f>SUBTOTAL(9,E5:E622)</f>
        <v>595214838</v>
      </c>
      <c r="F4" s="11">
        <f t="shared" ref="F4:AC4" si="0">SUBTOTAL(9,F5:F622)</f>
        <v>1488035994</v>
      </c>
      <c r="G4" s="11">
        <f t="shared" si="0"/>
        <v>114648092</v>
      </c>
      <c r="H4" s="11">
        <f t="shared" si="0"/>
        <v>286595206</v>
      </c>
      <c r="I4" s="11">
        <f t="shared" si="0"/>
        <v>98183098</v>
      </c>
      <c r="J4" s="11">
        <f t="shared" si="0"/>
        <v>245457362</v>
      </c>
      <c r="K4" s="11">
        <f t="shared" si="0"/>
        <v>12914613</v>
      </c>
      <c r="L4" s="11">
        <f t="shared" si="0"/>
        <v>32277330</v>
      </c>
      <c r="M4" s="11">
        <f t="shared" si="0"/>
        <v>3538040</v>
      </c>
      <c r="N4" s="11">
        <f t="shared" si="0"/>
        <v>8844806</v>
      </c>
      <c r="O4" s="11">
        <f t="shared" si="0"/>
        <v>930827</v>
      </c>
      <c r="P4" s="11">
        <f t="shared" si="0"/>
        <v>2326938</v>
      </c>
      <c r="Q4" s="11">
        <f t="shared" si="0"/>
        <v>4370590</v>
      </c>
      <c r="R4" s="11">
        <f t="shared" si="0"/>
        <v>10926388</v>
      </c>
      <c r="S4" s="11">
        <f t="shared" si="0"/>
        <v>613553</v>
      </c>
      <c r="T4" s="11">
        <f t="shared" si="0"/>
        <v>1533564</v>
      </c>
      <c r="U4" s="11">
        <f t="shared" si="0"/>
        <v>117632</v>
      </c>
      <c r="V4" s="11">
        <f t="shared" si="0"/>
        <v>294002</v>
      </c>
      <c r="W4" s="11">
        <f t="shared" si="0"/>
        <v>220428</v>
      </c>
      <c r="X4" s="11">
        <f t="shared" si="0"/>
        <v>550374</v>
      </c>
      <c r="Y4" s="11">
        <f t="shared" si="0"/>
        <v>1633856</v>
      </c>
      <c r="Z4" s="11">
        <f t="shared" si="0"/>
        <v>4084438</v>
      </c>
      <c r="AA4" s="11">
        <f t="shared" si="0"/>
        <v>222210</v>
      </c>
      <c r="AB4" s="11">
        <f t="shared" si="0"/>
        <v>555227</v>
      </c>
      <c r="AC4" s="11">
        <f t="shared" si="0"/>
        <v>832607777</v>
      </c>
      <c r="AD4" s="11">
        <f>SUBTOTAL(9,AD5:AD622)</f>
        <v>2081481629</v>
      </c>
    </row>
    <row r="5" spans="1:30" x14ac:dyDescent="0.25">
      <c r="A5" s="13">
        <v>1</v>
      </c>
      <c r="B5" s="14" t="s">
        <v>48</v>
      </c>
      <c r="C5" s="26" t="s">
        <v>49</v>
      </c>
      <c r="D5" s="14" t="s">
        <v>42</v>
      </c>
      <c r="E5" s="20">
        <v>767536</v>
      </c>
      <c r="F5" s="20">
        <v>1918836</v>
      </c>
      <c r="G5" s="20">
        <v>38405</v>
      </c>
      <c r="H5" s="20">
        <v>95991</v>
      </c>
      <c r="I5" s="20">
        <v>68640</v>
      </c>
      <c r="J5" s="20">
        <v>171600</v>
      </c>
      <c r="K5" s="20">
        <v>26320</v>
      </c>
      <c r="L5" s="20">
        <v>65792</v>
      </c>
      <c r="M5" s="20"/>
      <c r="N5" s="20"/>
      <c r="O5" s="20"/>
      <c r="P5" s="20"/>
      <c r="Q5" s="20"/>
      <c r="R5" s="20"/>
      <c r="S5" s="20">
        <v>352</v>
      </c>
      <c r="T5" s="20">
        <v>880</v>
      </c>
      <c r="U5" s="20"/>
      <c r="V5" s="20"/>
      <c r="W5" s="20"/>
      <c r="X5" s="20"/>
      <c r="Y5" s="20"/>
      <c r="Z5" s="20"/>
      <c r="AA5" s="20">
        <v>151</v>
      </c>
      <c r="AB5" s="20">
        <v>375</v>
      </c>
      <c r="AC5" s="22">
        <f>SUM(E5+G5+I5+K5+M5+O5+Q5+S5+U5+W5+Y5+AA5)</f>
        <v>901404</v>
      </c>
      <c r="AD5" s="22">
        <f t="shared" ref="AD5:AD11" si="1">SUM(F5+H5+J5+L5+N5+P5+R5+T5+V5+X5+Z5+AB5)</f>
        <v>2253474</v>
      </c>
    </row>
    <row r="6" spans="1:30" x14ac:dyDescent="0.25">
      <c r="A6" s="13">
        <v>7</v>
      </c>
      <c r="B6" s="14" t="s">
        <v>50</v>
      </c>
      <c r="C6" s="26" t="s">
        <v>51</v>
      </c>
      <c r="D6" s="14" t="s">
        <v>42</v>
      </c>
      <c r="E6" s="20">
        <v>8785832</v>
      </c>
      <c r="F6" s="20">
        <v>21964578</v>
      </c>
      <c r="G6" s="20">
        <v>1069424</v>
      </c>
      <c r="H6" s="20">
        <v>2673494</v>
      </c>
      <c r="I6" s="20">
        <v>1048166</v>
      </c>
      <c r="J6" s="20">
        <v>2620412</v>
      </c>
      <c r="K6" s="20">
        <v>5723</v>
      </c>
      <c r="L6" s="20">
        <v>14278</v>
      </c>
      <c r="M6" s="20">
        <v>75396</v>
      </c>
      <c r="N6" s="20">
        <v>188490</v>
      </c>
      <c r="O6" s="20">
        <v>7313</v>
      </c>
      <c r="P6" s="20">
        <v>18282</v>
      </c>
      <c r="Q6" s="20"/>
      <c r="R6" s="20"/>
      <c r="S6" s="20">
        <v>3668</v>
      </c>
      <c r="T6" s="20">
        <v>9170</v>
      </c>
      <c r="U6" s="20"/>
      <c r="V6" s="20"/>
      <c r="W6" s="20"/>
      <c r="X6" s="20"/>
      <c r="Y6" s="20"/>
      <c r="Z6" s="20"/>
      <c r="AA6" s="20">
        <v>20</v>
      </c>
      <c r="AB6" s="20">
        <v>50</v>
      </c>
      <c r="AC6" s="22">
        <f t="shared" ref="AC6:AC11" si="2">SUM(E6+G6+I6+K6+M6+O6+Q6+S6+U6+W6+Y6+AA6)</f>
        <v>10995542</v>
      </c>
      <c r="AD6" s="22">
        <f t="shared" si="1"/>
        <v>27488754</v>
      </c>
    </row>
    <row r="7" spans="1:30" x14ac:dyDescent="0.25">
      <c r="A7" s="13">
        <v>8</v>
      </c>
      <c r="B7" s="14" t="s">
        <v>52</v>
      </c>
      <c r="C7" s="26" t="s">
        <v>53</v>
      </c>
      <c r="D7" s="14" t="s">
        <v>42</v>
      </c>
      <c r="E7" s="20">
        <v>46713497</v>
      </c>
      <c r="F7" s="20">
        <v>116783741</v>
      </c>
      <c r="G7" s="20">
        <v>4752943</v>
      </c>
      <c r="H7" s="20">
        <v>11882285</v>
      </c>
      <c r="I7" s="20">
        <v>6137600</v>
      </c>
      <c r="J7" s="20">
        <v>15344000</v>
      </c>
      <c r="K7" s="20">
        <v>139711</v>
      </c>
      <c r="L7" s="20">
        <v>349241</v>
      </c>
      <c r="M7" s="20"/>
      <c r="N7" s="20"/>
      <c r="O7" s="20">
        <v>58828</v>
      </c>
      <c r="P7" s="20">
        <v>147070</v>
      </c>
      <c r="Q7" s="20">
        <v>233256</v>
      </c>
      <c r="R7" s="20">
        <v>583140</v>
      </c>
      <c r="S7" s="20">
        <v>28304</v>
      </c>
      <c r="T7" s="20">
        <v>70760</v>
      </c>
      <c r="U7" s="20">
        <v>15660</v>
      </c>
      <c r="V7" s="20">
        <v>39150</v>
      </c>
      <c r="W7" s="20"/>
      <c r="X7" s="20"/>
      <c r="Y7" s="20"/>
      <c r="Z7" s="20"/>
      <c r="AA7" s="20">
        <v>1440</v>
      </c>
      <c r="AB7" s="20">
        <v>3600</v>
      </c>
      <c r="AC7" s="22">
        <f t="shared" si="2"/>
        <v>58081239</v>
      </c>
      <c r="AD7" s="22">
        <f t="shared" si="1"/>
        <v>145202987</v>
      </c>
    </row>
    <row r="8" spans="1:30" x14ac:dyDescent="0.25">
      <c r="A8" s="13">
        <v>9</v>
      </c>
      <c r="B8" s="14" t="s">
        <v>54</v>
      </c>
      <c r="C8" s="26" t="s">
        <v>55</v>
      </c>
      <c r="D8" s="14" t="s">
        <v>42</v>
      </c>
      <c r="E8" s="20">
        <v>200910</v>
      </c>
      <c r="F8" s="20">
        <v>502274</v>
      </c>
      <c r="G8" s="20">
        <v>140498</v>
      </c>
      <c r="H8" s="20">
        <v>351211</v>
      </c>
      <c r="I8" s="20">
        <v>4752</v>
      </c>
      <c r="J8" s="20">
        <v>11880</v>
      </c>
      <c r="K8" s="20">
        <v>2251</v>
      </c>
      <c r="L8" s="20">
        <v>5618</v>
      </c>
      <c r="M8" s="20"/>
      <c r="N8" s="20"/>
      <c r="O8" s="20"/>
      <c r="P8" s="20"/>
      <c r="Q8" s="20"/>
      <c r="R8" s="20"/>
      <c r="S8" s="20"/>
      <c r="T8" s="20"/>
      <c r="U8" s="20"/>
      <c r="V8" s="20"/>
      <c r="W8" s="20"/>
      <c r="X8" s="20"/>
      <c r="Y8" s="20"/>
      <c r="Z8" s="20"/>
      <c r="AA8" s="20"/>
      <c r="AB8" s="20"/>
      <c r="AC8" s="22">
        <f t="shared" si="2"/>
        <v>348411</v>
      </c>
      <c r="AD8" s="22">
        <f t="shared" si="1"/>
        <v>870983</v>
      </c>
    </row>
    <row r="9" spans="1:30" x14ac:dyDescent="0.25">
      <c r="A9" s="13">
        <v>10</v>
      </c>
      <c r="B9" s="14" t="s">
        <v>56</v>
      </c>
      <c r="C9" s="26" t="s">
        <v>57</v>
      </c>
      <c r="D9" s="14" t="s">
        <v>42</v>
      </c>
      <c r="E9" s="20">
        <v>2464656</v>
      </c>
      <c r="F9" s="20">
        <v>6161640</v>
      </c>
      <c r="G9" s="20">
        <v>574838</v>
      </c>
      <c r="H9" s="20">
        <v>1436992</v>
      </c>
      <c r="I9" s="20">
        <v>254000</v>
      </c>
      <c r="J9" s="20">
        <v>635000</v>
      </c>
      <c r="K9" s="20">
        <v>48010</v>
      </c>
      <c r="L9" s="20">
        <v>120004</v>
      </c>
      <c r="M9" s="20">
        <v>99998</v>
      </c>
      <c r="N9" s="20">
        <v>249992</v>
      </c>
      <c r="O9" s="20">
        <v>11696</v>
      </c>
      <c r="P9" s="20">
        <v>29238</v>
      </c>
      <c r="Q9" s="20"/>
      <c r="R9" s="20"/>
      <c r="S9" s="20">
        <v>6180</v>
      </c>
      <c r="T9" s="20">
        <v>15450</v>
      </c>
      <c r="U9" s="20"/>
      <c r="V9" s="20"/>
      <c r="W9" s="20"/>
      <c r="X9" s="20"/>
      <c r="Y9" s="20"/>
      <c r="Z9" s="20"/>
      <c r="AA9" s="20">
        <v>31</v>
      </c>
      <c r="AB9" s="20">
        <v>77</v>
      </c>
      <c r="AC9" s="22">
        <f t="shared" si="2"/>
        <v>3459409</v>
      </c>
      <c r="AD9" s="22">
        <f t="shared" si="1"/>
        <v>8648393</v>
      </c>
    </row>
    <row r="10" spans="1:30" x14ac:dyDescent="0.25">
      <c r="A10" s="13">
        <v>11</v>
      </c>
      <c r="B10" s="14" t="s">
        <v>58</v>
      </c>
      <c r="C10" s="26" t="s">
        <v>59</v>
      </c>
      <c r="D10" s="14" t="s">
        <v>42</v>
      </c>
      <c r="E10" s="20">
        <v>22696</v>
      </c>
      <c r="F10" s="20">
        <v>56736</v>
      </c>
      <c r="G10" s="20">
        <v>11623</v>
      </c>
      <c r="H10" s="20">
        <v>28923</v>
      </c>
      <c r="I10" s="20">
        <v>1584</v>
      </c>
      <c r="J10" s="20">
        <v>3960</v>
      </c>
      <c r="K10" s="20">
        <v>1338</v>
      </c>
      <c r="L10" s="20">
        <v>3305</v>
      </c>
      <c r="M10" s="20"/>
      <c r="N10" s="20"/>
      <c r="O10" s="20"/>
      <c r="P10" s="20"/>
      <c r="Q10" s="20"/>
      <c r="R10" s="20"/>
      <c r="S10" s="20">
        <v>8</v>
      </c>
      <c r="T10" s="20">
        <v>20</v>
      </c>
      <c r="U10" s="20"/>
      <c r="V10" s="20"/>
      <c r="W10" s="20"/>
      <c r="X10" s="20"/>
      <c r="Y10" s="20"/>
      <c r="Z10" s="20"/>
      <c r="AA10" s="20">
        <v>9</v>
      </c>
      <c r="AB10" s="20">
        <v>21</v>
      </c>
      <c r="AC10" s="22">
        <f t="shared" si="2"/>
        <v>37258</v>
      </c>
      <c r="AD10" s="22">
        <f t="shared" si="1"/>
        <v>92965</v>
      </c>
    </row>
    <row r="11" spans="1:30" x14ac:dyDescent="0.25">
      <c r="A11" s="13">
        <v>12</v>
      </c>
      <c r="B11" s="14" t="s">
        <v>60</v>
      </c>
      <c r="C11" s="26" t="s">
        <v>61</v>
      </c>
      <c r="D11" s="14" t="s">
        <v>42</v>
      </c>
      <c r="E11" s="20">
        <v>71</v>
      </c>
      <c r="F11" s="20">
        <v>176</v>
      </c>
      <c r="G11" s="20">
        <v>1019</v>
      </c>
      <c r="H11" s="20">
        <v>2529</v>
      </c>
      <c r="I11" s="20"/>
      <c r="J11" s="20"/>
      <c r="K11" s="20">
        <v>2315</v>
      </c>
      <c r="L11" s="20">
        <v>5779</v>
      </c>
      <c r="M11" s="20">
        <v>18</v>
      </c>
      <c r="N11" s="20">
        <v>42</v>
      </c>
      <c r="O11" s="20"/>
      <c r="P11" s="20"/>
      <c r="Q11" s="20"/>
      <c r="R11" s="20"/>
      <c r="S11" s="20"/>
      <c r="T11" s="20"/>
      <c r="U11" s="20"/>
      <c r="V11" s="20"/>
      <c r="W11" s="20"/>
      <c r="X11" s="20"/>
      <c r="Y11" s="20"/>
      <c r="Z11" s="20"/>
      <c r="AA11" s="20"/>
      <c r="AB11" s="20"/>
      <c r="AC11" s="22">
        <f t="shared" si="2"/>
        <v>3423</v>
      </c>
      <c r="AD11" s="22">
        <f t="shared" si="1"/>
        <v>8526</v>
      </c>
    </row>
    <row r="12" spans="1:30" x14ac:dyDescent="0.25">
      <c r="A12" s="13">
        <v>13</v>
      </c>
      <c r="B12" s="14" t="s">
        <v>62</v>
      </c>
      <c r="C12" s="26" t="s">
        <v>63</v>
      </c>
      <c r="D12" s="14" t="s">
        <v>42</v>
      </c>
      <c r="E12" s="20">
        <v>7940</v>
      </c>
      <c r="F12" s="20">
        <v>19848</v>
      </c>
      <c r="G12" s="20">
        <v>60898</v>
      </c>
      <c r="H12" s="20">
        <v>152225</v>
      </c>
      <c r="I12" s="20"/>
      <c r="J12" s="20"/>
      <c r="K12" s="20">
        <v>43476</v>
      </c>
      <c r="L12" s="20">
        <v>108682</v>
      </c>
      <c r="M12" s="20"/>
      <c r="N12" s="20"/>
      <c r="O12" s="20"/>
      <c r="P12" s="20"/>
      <c r="Q12" s="20"/>
      <c r="R12" s="20"/>
      <c r="S12" s="20">
        <v>10</v>
      </c>
      <c r="T12" s="20">
        <v>22</v>
      </c>
      <c r="U12" s="20"/>
      <c r="V12" s="20"/>
      <c r="W12" s="20"/>
      <c r="X12" s="20"/>
      <c r="Y12" s="20"/>
      <c r="Z12" s="20"/>
      <c r="AA12" s="20"/>
      <c r="AB12" s="20"/>
      <c r="AC12" s="22">
        <f t="shared" ref="AC12:AC75" si="3">SUM(E12+G12+I12+K12+M12+O12+Q12+S12+U12+W12+Y12+AA12)</f>
        <v>112324</v>
      </c>
      <c r="AD12" s="22">
        <f t="shared" ref="AD12:AD75" si="4">SUM(F12+H12+J12+L12+N12+P12+R12+T12+V12+X12+Z12+AB12)</f>
        <v>280777</v>
      </c>
    </row>
    <row r="13" spans="1:30" x14ac:dyDescent="0.25">
      <c r="A13" s="13">
        <v>14</v>
      </c>
      <c r="B13" s="14" t="s">
        <v>64</v>
      </c>
      <c r="C13" s="26" t="s">
        <v>65</v>
      </c>
      <c r="D13" s="14" t="s">
        <v>42</v>
      </c>
      <c r="E13" s="20">
        <v>797</v>
      </c>
      <c r="F13" s="20">
        <v>1992</v>
      </c>
      <c r="G13" s="20">
        <v>26378</v>
      </c>
      <c r="H13" s="20">
        <v>65934</v>
      </c>
      <c r="I13" s="20"/>
      <c r="J13" s="20"/>
      <c r="K13" s="20">
        <v>6933</v>
      </c>
      <c r="L13" s="20">
        <v>17328</v>
      </c>
      <c r="M13" s="20"/>
      <c r="N13" s="20"/>
      <c r="O13" s="20"/>
      <c r="P13" s="20"/>
      <c r="Q13" s="20"/>
      <c r="R13" s="20"/>
      <c r="S13" s="20"/>
      <c r="T13" s="20"/>
      <c r="U13" s="20"/>
      <c r="V13" s="20"/>
      <c r="W13" s="20"/>
      <c r="X13" s="20"/>
      <c r="Y13" s="20"/>
      <c r="Z13" s="20"/>
      <c r="AA13" s="20"/>
      <c r="AB13" s="20"/>
      <c r="AC13" s="22">
        <f t="shared" si="3"/>
        <v>34108</v>
      </c>
      <c r="AD13" s="22">
        <f t="shared" si="4"/>
        <v>85254</v>
      </c>
    </row>
    <row r="14" spans="1:30" x14ac:dyDescent="0.25">
      <c r="A14" s="13">
        <v>15</v>
      </c>
      <c r="B14" s="14" t="s">
        <v>66</v>
      </c>
      <c r="C14" s="26" t="s">
        <v>67</v>
      </c>
      <c r="D14" s="14" t="s">
        <v>42</v>
      </c>
      <c r="E14" s="20">
        <v>480945</v>
      </c>
      <c r="F14" s="20">
        <v>1202362</v>
      </c>
      <c r="G14" s="20">
        <v>232491</v>
      </c>
      <c r="H14" s="20">
        <v>581117</v>
      </c>
      <c r="I14" s="20"/>
      <c r="J14" s="20"/>
      <c r="K14" s="20">
        <v>38971</v>
      </c>
      <c r="L14" s="20">
        <v>97407</v>
      </c>
      <c r="M14" s="20"/>
      <c r="N14" s="20"/>
      <c r="O14" s="20"/>
      <c r="P14" s="20"/>
      <c r="Q14" s="20"/>
      <c r="R14" s="20"/>
      <c r="S14" s="20">
        <v>8</v>
      </c>
      <c r="T14" s="20">
        <v>20</v>
      </c>
      <c r="U14" s="20"/>
      <c r="V14" s="20"/>
      <c r="W14" s="20"/>
      <c r="X14" s="20"/>
      <c r="Y14" s="20"/>
      <c r="Z14" s="20"/>
      <c r="AA14" s="20">
        <v>96</v>
      </c>
      <c r="AB14" s="20">
        <v>240</v>
      </c>
      <c r="AC14" s="22">
        <f t="shared" si="3"/>
        <v>752511</v>
      </c>
      <c r="AD14" s="22">
        <f t="shared" si="4"/>
        <v>1881146</v>
      </c>
    </row>
    <row r="15" spans="1:30" x14ac:dyDescent="0.25">
      <c r="A15" s="13">
        <v>16</v>
      </c>
      <c r="B15" s="14" t="s">
        <v>68</v>
      </c>
      <c r="C15" s="26" t="s">
        <v>69</v>
      </c>
      <c r="D15" s="14" t="s">
        <v>42</v>
      </c>
      <c r="E15" s="20">
        <v>107566</v>
      </c>
      <c r="F15" s="20">
        <v>268913</v>
      </c>
      <c r="G15" s="20">
        <v>60922</v>
      </c>
      <c r="H15" s="20">
        <v>152267</v>
      </c>
      <c r="I15" s="20"/>
      <c r="J15" s="20"/>
      <c r="K15" s="20">
        <v>14550</v>
      </c>
      <c r="L15" s="20">
        <v>36365</v>
      </c>
      <c r="M15" s="20">
        <v>1490</v>
      </c>
      <c r="N15" s="20">
        <v>3722</v>
      </c>
      <c r="O15" s="20"/>
      <c r="P15" s="20"/>
      <c r="Q15" s="20"/>
      <c r="R15" s="20"/>
      <c r="S15" s="20">
        <v>1</v>
      </c>
      <c r="T15" s="20">
        <v>2</v>
      </c>
      <c r="U15" s="20"/>
      <c r="V15" s="20"/>
      <c r="W15" s="20"/>
      <c r="X15" s="20"/>
      <c r="Y15" s="20"/>
      <c r="Z15" s="20"/>
      <c r="AA15" s="20"/>
      <c r="AB15" s="20"/>
      <c r="AC15" s="22">
        <f t="shared" si="3"/>
        <v>184529</v>
      </c>
      <c r="AD15" s="22">
        <f t="shared" si="4"/>
        <v>461269</v>
      </c>
    </row>
    <row r="16" spans="1:30" x14ac:dyDescent="0.25">
      <c r="A16" s="13">
        <v>17</v>
      </c>
      <c r="B16" s="14" t="s">
        <v>70</v>
      </c>
      <c r="C16" s="26" t="s">
        <v>71</v>
      </c>
      <c r="D16" s="14" t="s">
        <v>42</v>
      </c>
      <c r="E16" s="20"/>
      <c r="F16" s="20"/>
      <c r="G16" s="20">
        <v>1140</v>
      </c>
      <c r="H16" s="20">
        <v>2839</v>
      </c>
      <c r="I16" s="20"/>
      <c r="J16" s="20"/>
      <c r="K16" s="20">
        <v>3235</v>
      </c>
      <c r="L16" s="20">
        <v>8079</v>
      </c>
      <c r="M16" s="20"/>
      <c r="N16" s="20"/>
      <c r="O16" s="20"/>
      <c r="P16" s="20"/>
      <c r="Q16" s="20"/>
      <c r="R16" s="20"/>
      <c r="S16" s="20"/>
      <c r="T16" s="20"/>
      <c r="U16" s="20"/>
      <c r="V16" s="20"/>
      <c r="W16" s="20"/>
      <c r="X16" s="20"/>
      <c r="Y16" s="20"/>
      <c r="Z16" s="20"/>
      <c r="AA16" s="20"/>
      <c r="AB16" s="20"/>
      <c r="AC16" s="22">
        <f t="shared" si="3"/>
        <v>4375</v>
      </c>
      <c r="AD16" s="22">
        <f t="shared" si="4"/>
        <v>10918</v>
      </c>
    </row>
    <row r="17" spans="1:30" x14ac:dyDescent="0.25">
      <c r="A17" s="13">
        <v>18</v>
      </c>
      <c r="B17" s="14" t="s">
        <v>72</v>
      </c>
      <c r="C17" s="26" t="s">
        <v>73</v>
      </c>
      <c r="D17" s="14" t="s">
        <v>42</v>
      </c>
      <c r="E17" s="20">
        <v>73</v>
      </c>
      <c r="F17" s="20">
        <v>179</v>
      </c>
      <c r="G17" s="20">
        <v>5612</v>
      </c>
      <c r="H17" s="20">
        <v>13959</v>
      </c>
      <c r="I17" s="20"/>
      <c r="J17" s="20"/>
      <c r="K17" s="20">
        <v>5937</v>
      </c>
      <c r="L17" s="20">
        <v>14813</v>
      </c>
      <c r="M17" s="20"/>
      <c r="N17" s="20"/>
      <c r="O17" s="20"/>
      <c r="P17" s="20"/>
      <c r="Q17" s="20"/>
      <c r="R17" s="20"/>
      <c r="S17" s="20">
        <v>2</v>
      </c>
      <c r="T17" s="20">
        <v>4</v>
      </c>
      <c r="U17" s="20"/>
      <c r="V17" s="20"/>
      <c r="W17" s="20"/>
      <c r="X17" s="20"/>
      <c r="Y17" s="20"/>
      <c r="Z17" s="20"/>
      <c r="AA17" s="20">
        <v>120</v>
      </c>
      <c r="AB17" s="20">
        <v>300</v>
      </c>
      <c r="AC17" s="22">
        <f t="shared" si="3"/>
        <v>11744</v>
      </c>
      <c r="AD17" s="22">
        <f t="shared" si="4"/>
        <v>29255</v>
      </c>
    </row>
    <row r="18" spans="1:30" x14ac:dyDescent="0.25">
      <c r="A18" s="13">
        <v>19</v>
      </c>
      <c r="B18" s="14" t="s">
        <v>74</v>
      </c>
      <c r="C18" s="26" t="s">
        <v>75</v>
      </c>
      <c r="D18" s="14" t="s">
        <v>42</v>
      </c>
      <c r="E18" s="20">
        <v>10560</v>
      </c>
      <c r="F18" s="20">
        <v>26399</v>
      </c>
      <c r="G18" s="20">
        <v>26803</v>
      </c>
      <c r="H18" s="20">
        <v>66875</v>
      </c>
      <c r="I18" s="20"/>
      <c r="J18" s="20"/>
      <c r="K18" s="20">
        <v>3524</v>
      </c>
      <c r="L18" s="20">
        <v>8780</v>
      </c>
      <c r="M18" s="20"/>
      <c r="N18" s="20"/>
      <c r="O18" s="20"/>
      <c r="P18" s="20"/>
      <c r="Q18" s="20"/>
      <c r="R18" s="20"/>
      <c r="S18" s="20">
        <v>4</v>
      </c>
      <c r="T18" s="20">
        <v>6</v>
      </c>
      <c r="U18" s="20"/>
      <c r="V18" s="20"/>
      <c r="W18" s="20"/>
      <c r="X18" s="20"/>
      <c r="Y18" s="20"/>
      <c r="Z18" s="20"/>
      <c r="AA18" s="20">
        <v>1</v>
      </c>
      <c r="AB18" s="20">
        <v>1</v>
      </c>
      <c r="AC18" s="22">
        <f t="shared" si="3"/>
        <v>40892</v>
      </c>
      <c r="AD18" s="22">
        <f t="shared" si="4"/>
        <v>102061</v>
      </c>
    </row>
    <row r="19" spans="1:30" x14ac:dyDescent="0.25">
      <c r="A19" s="13">
        <v>21</v>
      </c>
      <c r="B19" s="14" t="s">
        <v>76</v>
      </c>
      <c r="C19" s="26" t="s">
        <v>77</v>
      </c>
      <c r="D19" s="14" t="s">
        <v>42</v>
      </c>
      <c r="E19" s="20">
        <v>65420</v>
      </c>
      <c r="F19" s="20">
        <v>163546</v>
      </c>
      <c r="G19" s="20">
        <v>19782</v>
      </c>
      <c r="H19" s="20">
        <v>49362</v>
      </c>
      <c r="I19" s="20">
        <v>6028</v>
      </c>
      <c r="J19" s="20">
        <v>15070</v>
      </c>
      <c r="K19" s="20">
        <v>3094</v>
      </c>
      <c r="L19" s="20">
        <v>7700</v>
      </c>
      <c r="M19" s="20"/>
      <c r="N19" s="20"/>
      <c r="O19" s="20"/>
      <c r="P19" s="20"/>
      <c r="Q19" s="20"/>
      <c r="R19" s="20"/>
      <c r="S19" s="20">
        <v>42</v>
      </c>
      <c r="T19" s="20">
        <v>104</v>
      </c>
      <c r="U19" s="20"/>
      <c r="V19" s="20"/>
      <c r="W19" s="20"/>
      <c r="X19" s="20"/>
      <c r="Y19" s="20"/>
      <c r="Z19" s="20"/>
      <c r="AA19" s="20"/>
      <c r="AB19" s="20"/>
      <c r="AC19" s="22">
        <f t="shared" si="3"/>
        <v>94366</v>
      </c>
      <c r="AD19" s="22">
        <f t="shared" si="4"/>
        <v>235782</v>
      </c>
    </row>
    <row r="20" spans="1:30" x14ac:dyDescent="0.25">
      <c r="A20" s="13">
        <v>22</v>
      </c>
      <c r="B20" s="14" t="s">
        <v>78</v>
      </c>
      <c r="C20" s="26" t="s">
        <v>79</v>
      </c>
      <c r="D20" s="14" t="s">
        <v>42</v>
      </c>
      <c r="E20" s="20">
        <v>125812</v>
      </c>
      <c r="F20" s="20">
        <v>314530</v>
      </c>
      <c r="G20" s="20">
        <v>54859</v>
      </c>
      <c r="H20" s="20">
        <v>137065</v>
      </c>
      <c r="I20" s="20">
        <v>9316</v>
      </c>
      <c r="J20" s="20">
        <v>23290</v>
      </c>
      <c r="K20" s="20">
        <v>14642</v>
      </c>
      <c r="L20" s="20">
        <v>36574</v>
      </c>
      <c r="M20" s="20">
        <v>2736</v>
      </c>
      <c r="N20" s="20">
        <v>6840</v>
      </c>
      <c r="O20" s="20"/>
      <c r="P20" s="20"/>
      <c r="Q20" s="20">
        <v>2755</v>
      </c>
      <c r="R20" s="20">
        <v>6886</v>
      </c>
      <c r="S20" s="20">
        <v>56</v>
      </c>
      <c r="T20" s="20">
        <v>136</v>
      </c>
      <c r="U20" s="20"/>
      <c r="V20" s="20"/>
      <c r="W20" s="20"/>
      <c r="X20" s="20"/>
      <c r="Y20" s="20"/>
      <c r="Z20" s="20"/>
      <c r="AA20" s="20">
        <v>12</v>
      </c>
      <c r="AB20" s="20">
        <v>28</v>
      </c>
      <c r="AC20" s="22">
        <f t="shared" si="3"/>
        <v>210188</v>
      </c>
      <c r="AD20" s="22">
        <f t="shared" si="4"/>
        <v>525349</v>
      </c>
    </row>
    <row r="21" spans="1:30" x14ac:dyDescent="0.25">
      <c r="A21" s="13">
        <v>23</v>
      </c>
      <c r="B21" s="14" t="s">
        <v>80</v>
      </c>
      <c r="C21" s="26" t="s">
        <v>81</v>
      </c>
      <c r="D21" s="14" t="s">
        <v>42</v>
      </c>
      <c r="E21" s="20">
        <v>49662</v>
      </c>
      <c r="F21" s="20">
        <v>124152</v>
      </c>
      <c r="G21" s="20">
        <v>22253</v>
      </c>
      <c r="H21" s="20">
        <v>55551</v>
      </c>
      <c r="I21" s="20">
        <v>2083</v>
      </c>
      <c r="J21" s="20">
        <v>5206</v>
      </c>
      <c r="K21" s="20">
        <v>4714</v>
      </c>
      <c r="L21" s="20">
        <v>11750</v>
      </c>
      <c r="M21" s="20">
        <v>2128</v>
      </c>
      <c r="N21" s="20">
        <v>5318</v>
      </c>
      <c r="O21" s="20"/>
      <c r="P21" s="20"/>
      <c r="Q21" s="20">
        <v>2513</v>
      </c>
      <c r="R21" s="20">
        <v>6280</v>
      </c>
      <c r="S21" s="20">
        <v>40</v>
      </c>
      <c r="T21" s="20">
        <v>99</v>
      </c>
      <c r="U21" s="20"/>
      <c r="V21" s="20"/>
      <c r="W21" s="20"/>
      <c r="X21" s="20"/>
      <c r="Y21" s="20"/>
      <c r="Z21" s="20"/>
      <c r="AA21" s="20">
        <v>18</v>
      </c>
      <c r="AB21" s="20">
        <v>44</v>
      </c>
      <c r="AC21" s="22">
        <f t="shared" si="3"/>
        <v>83411</v>
      </c>
      <c r="AD21" s="22">
        <f t="shared" si="4"/>
        <v>208400</v>
      </c>
    </row>
    <row r="22" spans="1:30" x14ac:dyDescent="0.25">
      <c r="A22" s="13">
        <v>24</v>
      </c>
      <c r="B22" s="14" t="s">
        <v>82</v>
      </c>
      <c r="C22" s="26" t="s">
        <v>83</v>
      </c>
      <c r="D22" s="14" t="s">
        <v>42</v>
      </c>
      <c r="E22" s="20">
        <v>41392</v>
      </c>
      <c r="F22" s="20">
        <v>103478</v>
      </c>
      <c r="G22" s="20">
        <v>34584</v>
      </c>
      <c r="H22" s="20">
        <v>86417</v>
      </c>
      <c r="I22" s="20">
        <v>3749</v>
      </c>
      <c r="J22" s="20">
        <v>9371</v>
      </c>
      <c r="K22" s="20">
        <v>4703</v>
      </c>
      <c r="L22" s="20">
        <v>11747</v>
      </c>
      <c r="M22" s="20"/>
      <c r="N22" s="20"/>
      <c r="O22" s="20"/>
      <c r="P22" s="20"/>
      <c r="Q22" s="20">
        <v>2570</v>
      </c>
      <c r="R22" s="20">
        <v>6422</v>
      </c>
      <c r="S22" s="20">
        <v>344</v>
      </c>
      <c r="T22" s="20">
        <v>858</v>
      </c>
      <c r="U22" s="20"/>
      <c r="V22" s="20"/>
      <c r="W22" s="20"/>
      <c r="X22" s="20"/>
      <c r="Y22" s="20"/>
      <c r="Z22" s="20"/>
      <c r="AA22" s="20">
        <v>10</v>
      </c>
      <c r="AB22" s="20">
        <v>22</v>
      </c>
      <c r="AC22" s="22">
        <f t="shared" si="3"/>
        <v>87352</v>
      </c>
      <c r="AD22" s="22">
        <f t="shared" si="4"/>
        <v>218315</v>
      </c>
    </row>
    <row r="23" spans="1:30" x14ac:dyDescent="0.25">
      <c r="A23" s="13">
        <v>25</v>
      </c>
      <c r="B23" s="14" t="s">
        <v>84</v>
      </c>
      <c r="C23" s="26" t="s">
        <v>85</v>
      </c>
      <c r="D23" s="14" t="s">
        <v>42</v>
      </c>
      <c r="E23" s="20">
        <v>63050</v>
      </c>
      <c r="F23" s="20">
        <v>157624</v>
      </c>
      <c r="G23" s="20">
        <v>23369</v>
      </c>
      <c r="H23" s="20">
        <v>58334</v>
      </c>
      <c r="I23" s="20">
        <v>1898</v>
      </c>
      <c r="J23" s="20">
        <v>4743</v>
      </c>
      <c r="K23" s="20">
        <v>14253</v>
      </c>
      <c r="L23" s="20">
        <v>35611</v>
      </c>
      <c r="M23" s="20">
        <v>6358</v>
      </c>
      <c r="N23" s="20">
        <v>15892</v>
      </c>
      <c r="O23" s="20"/>
      <c r="P23" s="20"/>
      <c r="Q23" s="20">
        <v>1528</v>
      </c>
      <c r="R23" s="20">
        <v>3818</v>
      </c>
      <c r="S23" s="20">
        <v>10</v>
      </c>
      <c r="T23" s="20">
        <v>22</v>
      </c>
      <c r="U23" s="20"/>
      <c r="V23" s="20"/>
      <c r="W23" s="20"/>
      <c r="X23" s="20"/>
      <c r="Y23" s="20"/>
      <c r="Z23" s="20"/>
      <c r="AA23" s="20"/>
      <c r="AB23" s="20"/>
      <c r="AC23" s="22">
        <f t="shared" si="3"/>
        <v>110466</v>
      </c>
      <c r="AD23" s="22">
        <f t="shared" si="4"/>
        <v>276044</v>
      </c>
    </row>
    <row r="24" spans="1:30" x14ac:dyDescent="0.25">
      <c r="A24" s="13">
        <v>26</v>
      </c>
      <c r="B24" s="14" t="s">
        <v>86</v>
      </c>
      <c r="C24" s="26" t="s">
        <v>87</v>
      </c>
      <c r="D24" s="14" t="s">
        <v>42</v>
      </c>
      <c r="E24" s="20">
        <v>1349714</v>
      </c>
      <c r="F24" s="20">
        <v>3374282</v>
      </c>
      <c r="G24" s="20">
        <v>634141</v>
      </c>
      <c r="H24" s="20">
        <v>1585305</v>
      </c>
      <c r="I24" s="20">
        <v>96368</v>
      </c>
      <c r="J24" s="20">
        <v>240919</v>
      </c>
      <c r="K24" s="20">
        <v>8461</v>
      </c>
      <c r="L24" s="20">
        <v>21126</v>
      </c>
      <c r="M24" s="20">
        <v>69312</v>
      </c>
      <c r="N24" s="20">
        <v>173280</v>
      </c>
      <c r="O24" s="20"/>
      <c r="P24" s="20"/>
      <c r="Q24" s="20">
        <v>83400</v>
      </c>
      <c r="R24" s="20">
        <v>208498</v>
      </c>
      <c r="S24" s="20">
        <v>7936</v>
      </c>
      <c r="T24" s="20">
        <v>19840</v>
      </c>
      <c r="U24" s="20">
        <v>1296</v>
      </c>
      <c r="V24" s="20">
        <v>3240</v>
      </c>
      <c r="W24" s="20"/>
      <c r="X24" s="20"/>
      <c r="Y24" s="20"/>
      <c r="Z24" s="20"/>
      <c r="AA24" s="20">
        <v>28</v>
      </c>
      <c r="AB24" s="20">
        <v>70</v>
      </c>
      <c r="AC24" s="22">
        <f t="shared" si="3"/>
        <v>2250656</v>
      </c>
      <c r="AD24" s="22">
        <f t="shared" si="4"/>
        <v>5626560</v>
      </c>
    </row>
    <row r="25" spans="1:30" x14ac:dyDescent="0.25">
      <c r="A25" s="13">
        <v>27</v>
      </c>
      <c r="B25" s="14" t="s">
        <v>88</v>
      </c>
      <c r="C25" s="26" t="s">
        <v>89</v>
      </c>
      <c r="D25" s="14" t="s">
        <v>42</v>
      </c>
      <c r="E25" s="20">
        <v>330098</v>
      </c>
      <c r="F25" s="20">
        <v>825243</v>
      </c>
      <c r="G25" s="20">
        <v>67263</v>
      </c>
      <c r="H25" s="20">
        <v>168074</v>
      </c>
      <c r="I25" s="20">
        <v>57157</v>
      </c>
      <c r="J25" s="20">
        <v>142891</v>
      </c>
      <c r="K25" s="20">
        <v>27443</v>
      </c>
      <c r="L25" s="20">
        <v>68588</v>
      </c>
      <c r="M25" s="20"/>
      <c r="N25" s="20"/>
      <c r="O25" s="20"/>
      <c r="P25" s="20"/>
      <c r="Q25" s="20"/>
      <c r="R25" s="20"/>
      <c r="S25" s="20">
        <v>30</v>
      </c>
      <c r="T25" s="20">
        <v>74</v>
      </c>
      <c r="U25" s="20"/>
      <c r="V25" s="20"/>
      <c r="W25" s="20"/>
      <c r="X25" s="20"/>
      <c r="Y25" s="20"/>
      <c r="Z25" s="20"/>
      <c r="AA25" s="20">
        <v>3</v>
      </c>
      <c r="AB25" s="20">
        <v>5</v>
      </c>
      <c r="AC25" s="22">
        <f t="shared" si="3"/>
        <v>481994</v>
      </c>
      <c r="AD25" s="22">
        <f t="shared" si="4"/>
        <v>1204875</v>
      </c>
    </row>
    <row r="26" spans="1:30" x14ac:dyDescent="0.25">
      <c r="A26" s="13">
        <v>28</v>
      </c>
      <c r="B26" s="14" t="s">
        <v>90</v>
      </c>
      <c r="C26" s="26" t="s">
        <v>91</v>
      </c>
      <c r="D26" s="14" t="s">
        <v>42</v>
      </c>
      <c r="E26" s="20">
        <v>26571</v>
      </c>
      <c r="F26" s="20">
        <v>66425</v>
      </c>
      <c r="G26" s="20">
        <v>29423</v>
      </c>
      <c r="H26" s="20">
        <v>73343</v>
      </c>
      <c r="I26" s="20">
        <v>600</v>
      </c>
      <c r="J26" s="20">
        <v>1500</v>
      </c>
      <c r="K26" s="20">
        <v>2008</v>
      </c>
      <c r="L26" s="20">
        <v>4994</v>
      </c>
      <c r="M26" s="20"/>
      <c r="N26" s="20"/>
      <c r="O26" s="20"/>
      <c r="P26" s="20"/>
      <c r="Q26" s="20"/>
      <c r="R26" s="20"/>
      <c r="S26" s="20">
        <v>22</v>
      </c>
      <c r="T26" s="20">
        <v>54</v>
      </c>
      <c r="U26" s="20"/>
      <c r="V26" s="20"/>
      <c r="W26" s="20"/>
      <c r="X26" s="20"/>
      <c r="Y26" s="20"/>
      <c r="Z26" s="20"/>
      <c r="AA26" s="20">
        <v>6</v>
      </c>
      <c r="AB26" s="20">
        <v>8</v>
      </c>
      <c r="AC26" s="22">
        <f t="shared" si="3"/>
        <v>58630</v>
      </c>
      <c r="AD26" s="22">
        <f t="shared" si="4"/>
        <v>146324</v>
      </c>
    </row>
    <row r="27" spans="1:30" x14ac:dyDescent="0.25">
      <c r="A27" s="13">
        <v>30</v>
      </c>
      <c r="B27" s="14" t="s">
        <v>92</v>
      </c>
      <c r="C27" s="26" t="s">
        <v>93</v>
      </c>
      <c r="D27" s="14" t="s">
        <v>42</v>
      </c>
      <c r="E27" s="20">
        <v>195276</v>
      </c>
      <c r="F27" s="20">
        <v>488188</v>
      </c>
      <c r="G27" s="20">
        <v>102074</v>
      </c>
      <c r="H27" s="20">
        <v>255139</v>
      </c>
      <c r="I27" s="20">
        <v>14624</v>
      </c>
      <c r="J27" s="20">
        <v>36559</v>
      </c>
      <c r="K27" s="20">
        <v>22868</v>
      </c>
      <c r="L27" s="20">
        <v>57146</v>
      </c>
      <c r="M27" s="20">
        <v>5122</v>
      </c>
      <c r="N27" s="20">
        <v>12804</v>
      </c>
      <c r="O27" s="20"/>
      <c r="P27" s="20"/>
      <c r="Q27" s="20">
        <v>20639</v>
      </c>
      <c r="R27" s="20">
        <v>51596</v>
      </c>
      <c r="S27" s="20">
        <v>148</v>
      </c>
      <c r="T27" s="20">
        <v>367</v>
      </c>
      <c r="U27" s="20"/>
      <c r="V27" s="20"/>
      <c r="W27" s="20"/>
      <c r="X27" s="20"/>
      <c r="Y27" s="20"/>
      <c r="Z27" s="20"/>
      <c r="AA27" s="20">
        <v>3</v>
      </c>
      <c r="AB27" s="20">
        <v>5</v>
      </c>
      <c r="AC27" s="22">
        <f t="shared" si="3"/>
        <v>360754</v>
      </c>
      <c r="AD27" s="22">
        <f t="shared" si="4"/>
        <v>901804</v>
      </c>
    </row>
    <row r="28" spans="1:30" x14ac:dyDescent="0.25">
      <c r="A28" s="13">
        <v>31</v>
      </c>
      <c r="B28" s="14" t="s">
        <v>94</v>
      </c>
      <c r="C28" s="26" t="s">
        <v>95</v>
      </c>
      <c r="D28" s="14" t="s">
        <v>42</v>
      </c>
      <c r="E28" s="20">
        <v>134410</v>
      </c>
      <c r="F28" s="20">
        <v>336022</v>
      </c>
      <c r="G28" s="20">
        <v>10796</v>
      </c>
      <c r="H28" s="20">
        <v>26960</v>
      </c>
      <c r="I28" s="20">
        <v>28015</v>
      </c>
      <c r="J28" s="20">
        <v>70034</v>
      </c>
      <c r="K28" s="20">
        <v>6251</v>
      </c>
      <c r="L28" s="20">
        <v>15615</v>
      </c>
      <c r="M28" s="20"/>
      <c r="N28" s="20"/>
      <c r="O28" s="20"/>
      <c r="P28" s="20"/>
      <c r="Q28" s="20"/>
      <c r="R28" s="20"/>
      <c r="S28" s="20">
        <v>278</v>
      </c>
      <c r="T28" s="20">
        <v>695</v>
      </c>
      <c r="U28" s="20"/>
      <c r="V28" s="20"/>
      <c r="W28" s="20"/>
      <c r="X28" s="20"/>
      <c r="Y28" s="20"/>
      <c r="Z28" s="20"/>
      <c r="AA28" s="20">
        <v>2</v>
      </c>
      <c r="AB28" s="20">
        <v>2</v>
      </c>
      <c r="AC28" s="22">
        <f t="shared" si="3"/>
        <v>179752</v>
      </c>
      <c r="AD28" s="22">
        <f t="shared" si="4"/>
        <v>449328</v>
      </c>
    </row>
    <row r="29" spans="1:30" x14ac:dyDescent="0.25">
      <c r="A29" s="13">
        <v>32</v>
      </c>
      <c r="B29" s="14" t="s">
        <v>96</v>
      </c>
      <c r="C29" s="26" t="s">
        <v>97</v>
      </c>
      <c r="D29" s="14" t="s">
        <v>42</v>
      </c>
      <c r="E29" s="20">
        <v>1894550</v>
      </c>
      <c r="F29" s="20">
        <v>4736374</v>
      </c>
      <c r="G29" s="20">
        <v>256059</v>
      </c>
      <c r="H29" s="20">
        <v>640078</v>
      </c>
      <c r="I29" s="20">
        <v>285120</v>
      </c>
      <c r="J29" s="20">
        <v>712800</v>
      </c>
      <c r="K29" s="20">
        <v>110243</v>
      </c>
      <c r="L29" s="20">
        <v>275549</v>
      </c>
      <c r="M29" s="20">
        <v>9616</v>
      </c>
      <c r="N29" s="20">
        <v>24040</v>
      </c>
      <c r="O29" s="20"/>
      <c r="P29" s="20"/>
      <c r="Q29" s="20">
        <v>11194</v>
      </c>
      <c r="R29" s="20">
        <v>27984</v>
      </c>
      <c r="S29" s="20">
        <v>765</v>
      </c>
      <c r="T29" s="20">
        <v>1912</v>
      </c>
      <c r="U29" s="20">
        <v>36</v>
      </c>
      <c r="V29" s="20">
        <v>90</v>
      </c>
      <c r="W29" s="20"/>
      <c r="X29" s="20"/>
      <c r="Y29" s="20"/>
      <c r="Z29" s="20"/>
      <c r="AA29" s="20">
        <v>30</v>
      </c>
      <c r="AB29" s="20">
        <v>74</v>
      </c>
      <c r="AC29" s="22">
        <f t="shared" si="3"/>
        <v>2567613</v>
      </c>
      <c r="AD29" s="22">
        <f t="shared" si="4"/>
        <v>6418901</v>
      </c>
    </row>
    <row r="30" spans="1:30" x14ac:dyDescent="0.25">
      <c r="A30" s="13">
        <v>33</v>
      </c>
      <c r="B30" s="14" t="s">
        <v>98</v>
      </c>
      <c r="C30" s="26" t="s">
        <v>99</v>
      </c>
      <c r="D30" s="14" t="s">
        <v>42</v>
      </c>
      <c r="E30" s="20">
        <v>70540</v>
      </c>
      <c r="F30" s="20">
        <v>176348</v>
      </c>
      <c r="G30" s="20">
        <v>39895</v>
      </c>
      <c r="H30" s="20">
        <v>99469</v>
      </c>
      <c r="I30" s="20">
        <v>5809</v>
      </c>
      <c r="J30" s="20">
        <v>14522</v>
      </c>
      <c r="K30" s="20">
        <v>5122</v>
      </c>
      <c r="L30" s="20">
        <v>12750</v>
      </c>
      <c r="M30" s="20"/>
      <c r="N30" s="20"/>
      <c r="O30" s="20"/>
      <c r="P30" s="20"/>
      <c r="Q30" s="20">
        <v>6716</v>
      </c>
      <c r="R30" s="20">
        <v>16788</v>
      </c>
      <c r="S30" s="20">
        <v>50</v>
      </c>
      <c r="T30" s="20">
        <v>123</v>
      </c>
      <c r="U30" s="20"/>
      <c r="V30" s="20"/>
      <c r="W30" s="20"/>
      <c r="X30" s="20"/>
      <c r="Y30" s="20"/>
      <c r="Z30" s="20"/>
      <c r="AA30" s="20">
        <v>3</v>
      </c>
      <c r="AB30" s="20">
        <v>5</v>
      </c>
      <c r="AC30" s="22">
        <f t="shared" si="3"/>
        <v>128135</v>
      </c>
      <c r="AD30" s="22">
        <f t="shared" si="4"/>
        <v>320005</v>
      </c>
    </row>
    <row r="31" spans="1:30" x14ac:dyDescent="0.25">
      <c r="A31" s="13">
        <v>34</v>
      </c>
      <c r="B31" s="14" t="s">
        <v>100</v>
      </c>
      <c r="C31" s="26" t="s">
        <v>101</v>
      </c>
      <c r="D31" s="14" t="s">
        <v>42</v>
      </c>
      <c r="E31" s="20">
        <v>25282</v>
      </c>
      <c r="F31" s="20">
        <v>63202</v>
      </c>
      <c r="G31" s="20">
        <v>12342</v>
      </c>
      <c r="H31" s="20">
        <v>30773</v>
      </c>
      <c r="I31" s="20">
        <v>2472</v>
      </c>
      <c r="J31" s="20">
        <v>6178</v>
      </c>
      <c r="K31" s="20">
        <v>10245</v>
      </c>
      <c r="L31" s="20">
        <v>25577</v>
      </c>
      <c r="M31" s="20">
        <v>310</v>
      </c>
      <c r="N31" s="20">
        <v>772</v>
      </c>
      <c r="O31" s="20"/>
      <c r="P31" s="20"/>
      <c r="Q31" s="20"/>
      <c r="R31" s="20"/>
      <c r="S31" s="20">
        <v>67</v>
      </c>
      <c r="T31" s="20">
        <v>166</v>
      </c>
      <c r="U31" s="20"/>
      <c r="V31" s="20"/>
      <c r="W31" s="20"/>
      <c r="X31" s="20"/>
      <c r="Y31" s="20"/>
      <c r="Z31" s="20"/>
      <c r="AA31" s="20">
        <v>4</v>
      </c>
      <c r="AB31" s="20">
        <v>6</v>
      </c>
      <c r="AC31" s="22">
        <f t="shared" si="3"/>
        <v>50722</v>
      </c>
      <c r="AD31" s="22">
        <f t="shared" si="4"/>
        <v>126674</v>
      </c>
    </row>
    <row r="32" spans="1:30" x14ac:dyDescent="0.25">
      <c r="A32" s="13">
        <v>35</v>
      </c>
      <c r="B32" s="14" t="s">
        <v>102</v>
      </c>
      <c r="C32" s="26" t="s">
        <v>103</v>
      </c>
      <c r="D32" s="14" t="s">
        <v>42</v>
      </c>
      <c r="E32" s="20">
        <v>430644</v>
      </c>
      <c r="F32" s="20">
        <v>1076608</v>
      </c>
      <c r="G32" s="20">
        <v>71655</v>
      </c>
      <c r="H32" s="20">
        <v>179073</v>
      </c>
      <c r="I32" s="20">
        <v>93995</v>
      </c>
      <c r="J32" s="20">
        <v>234987</v>
      </c>
      <c r="K32" s="20">
        <v>7956</v>
      </c>
      <c r="L32" s="20">
        <v>19843</v>
      </c>
      <c r="M32" s="20"/>
      <c r="N32" s="20"/>
      <c r="O32" s="20"/>
      <c r="P32" s="20"/>
      <c r="Q32" s="20"/>
      <c r="R32" s="20"/>
      <c r="S32" s="20">
        <v>122</v>
      </c>
      <c r="T32" s="20">
        <v>302</v>
      </c>
      <c r="U32" s="20"/>
      <c r="V32" s="20"/>
      <c r="W32" s="20"/>
      <c r="X32" s="20"/>
      <c r="Y32" s="20"/>
      <c r="Z32" s="20"/>
      <c r="AA32" s="20"/>
      <c r="AB32" s="20"/>
      <c r="AC32" s="22">
        <f t="shared" si="3"/>
        <v>604372</v>
      </c>
      <c r="AD32" s="22">
        <f t="shared" si="4"/>
        <v>1510813</v>
      </c>
    </row>
    <row r="33" spans="1:30" x14ac:dyDescent="0.25">
      <c r="A33" s="13">
        <v>36</v>
      </c>
      <c r="B33" s="14" t="s">
        <v>104</v>
      </c>
      <c r="C33" s="26" t="s">
        <v>105</v>
      </c>
      <c r="D33" s="14" t="s">
        <v>42</v>
      </c>
      <c r="E33" s="20">
        <v>18009</v>
      </c>
      <c r="F33" s="20">
        <v>45022</v>
      </c>
      <c r="G33" s="20">
        <v>9570</v>
      </c>
      <c r="H33" s="20">
        <v>23873</v>
      </c>
      <c r="I33" s="20">
        <v>2063</v>
      </c>
      <c r="J33" s="20">
        <v>5156</v>
      </c>
      <c r="K33" s="20">
        <v>1320</v>
      </c>
      <c r="L33" s="20">
        <v>3279</v>
      </c>
      <c r="M33" s="20"/>
      <c r="N33" s="20"/>
      <c r="O33" s="20"/>
      <c r="P33" s="20"/>
      <c r="Q33" s="20"/>
      <c r="R33" s="20"/>
      <c r="S33" s="20">
        <v>22</v>
      </c>
      <c r="T33" s="20">
        <v>53</v>
      </c>
      <c r="U33" s="20"/>
      <c r="V33" s="20"/>
      <c r="W33" s="20"/>
      <c r="X33" s="20"/>
      <c r="Y33" s="20"/>
      <c r="Z33" s="20"/>
      <c r="AA33" s="20"/>
      <c r="AB33" s="20"/>
      <c r="AC33" s="22">
        <f t="shared" si="3"/>
        <v>30984</v>
      </c>
      <c r="AD33" s="22">
        <f t="shared" si="4"/>
        <v>77383</v>
      </c>
    </row>
    <row r="34" spans="1:30" x14ac:dyDescent="0.25">
      <c r="A34" s="13">
        <v>38</v>
      </c>
      <c r="B34" s="14" t="s">
        <v>106</v>
      </c>
      <c r="C34" s="26" t="s">
        <v>107</v>
      </c>
      <c r="D34" s="14" t="s">
        <v>42</v>
      </c>
      <c r="E34" s="20">
        <v>1442570</v>
      </c>
      <c r="F34" s="20">
        <v>3606422</v>
      </c>
      <c r="G34" s="20">
        <v>287687</v>
      </c>
      <c r="H34" s="20">
        <v>719169</v>
      </c>
      <c r="I34" s="20">
        <v>202760</v>
      </c>
      <c r="J34" s="20">
        <v>506900</v>
      </c>
      <c r="K34" s="20">
        <v>20286</v>
      </c>
      <c r="L34" s="20">
        <v>50686</v>
      </c>
      <c r="M34" s="20">
        <v>24980</v>
      </c>
      <c r="N34" s="20">
        <v>62446</v>
      </c>
      <c r="O34" s="20"/>
      <c r="P34" s="20"/>
      <c r="Q34" s="20">
        <v>4508</v>
      </c>
      <c r="R34" s="20">
        <v>11270</v>
      </c>
      <c r="S34" s="20">
        <v>3183</v>
      </c>
      <c r="T34" s="20">
        <v>7956</v>
      </c>
      <c r="U34" s="20"/>
      <c r="V34" s="20"/>
      <c r="W34" s="20"/>
      <c r="X34" s="20"/>
      <c r="Y34" s="20"/>
      <c r="Z34" s="20"/>
      <c r="AA34" s="20">
        <v>1060</v>
      </c>
      <c r="AB34" s="20">
        <v>2646</v>
      </c>
      <c r="AC34" s="22">
        <f t="shared" si="3"/>
        <v>1987034</v>
      </c>
      <c r="AD34" s="22">
        <f t="shared" si="4"/>
        <v>4967495</v>
      </c>
    </row>
    <row r="35" spans="1:30" x14ac:dyDescent="0.25">
      <c r="A35" s="13">
        <v>39</v>
      </c>
      <c r="B35" s="14" t="s">
        <v>108</v>
      </c>
      <c r="C35" s="26" t="s">
        <v>109</v>
      </c>
      <c r="D35" s="14" t="s">
        <v>42</v>
      </c>
      <c r="E35" s="20">
        <v>799114</v>
      </c>
      <c r="F35" s="20">
        <v>1997782</v>
      </c>
      <c r="G35" s="20">
        <v>45563</v>
      </c>
      <c r="H35" s="20">
        <v>113870</v>
      </c>
      <c r="I35" s="20">
        <v>200568</v>
      </c>
      <c r="J35" s="20">
        <v>501420</v>
      </c>
      <c r="K35" s="20">
        <v>6954</v>
      </c>
      <c r="L35" s="20">
        <v>17350</v>
      </c>
      <c r="M35" s="20">
        <v>5962</v>
      </c>
      <c r="N35" s="20">
        <v>14904</v>
      </c>
      <c r="O35" s="20"/>
      <c r="P35" s="20"/>
      <c r="Q35" s="20"/>
      <c r="R35" s="20"/>
      <c r="S35" s="20">
        <v>76</v>
      </c>
      <c r="T35" s="20">
        <v>190</v>
      </c>
      <c r="U35" s="20"/>
      <c r="V35" s="20"/>
      <c r="W35" s="20"/>
      <c r="X35" s="20"/>
      <c r="Y35" s="20"/>
      <c r="Z35" s="20"/>
      <c r="AA35" s="20"/>
      <c r="AB35" s="20"/>
      <c r="AC35" s="22">
        <f t="shared" si="3"/>
        <v>1058237</v>
      </c>
      <c r="AD35" s="22">
        <f t="shared" si="4"/>
        <v>2645516</v>
      </c>
    </row>
    <row r="36" spans="1:30" x14ac:dyDescent="0.25">
      <c r="A36" s="13">
        <v>41</v>
      </c>
      <c r="B36" s="14" t="s">
        <v>110</v>
      </c>
      <c r="C36" s="26" t="s">
        <v>111</v>
      </c>
      <c r="D36" s="14" t="s">
        <v>42</v>
      </c>
      <c r="E36" s="20">
        <v>336246</v>
      </c>
      <c r="F36" s="20">
        <v>840614</v>
      </c>
      <c r="G36" s="20">
        <v>134381</v>
      </c>
      <c r="H36" s="20">
        <v>335912</v>
      </c>
      <c r="I36" s="20">
        <v>4426</v>
      </c>
      <c r="J36" s="20">
        <v>11062</v>
      </c>
      <c r="K36" s="20">
        <v>1464</v>
      </c>
      <c r="L36" s="20">
        <v>3643</v>
      </c>
      <c r="M36" s="20"/>
      <c r="N36" s="20"/>
      <c r="O36" s="20"/>
      <c r="P36" s="20"/>
      <c r="Q36" s="20"/>
      <c r="R36" s="20"/>
      <c r="S36" s="20">
        <v>4</v>
      </c>
      <c r="T36" s="20">
        <v>10</v>
      </c>
      <c r="U36" s="20"/>
      <c r="V36" s="20"/>
      <c r="W36" s="20"/>
      <c r="X36" s="20"/>
      <c r="Y36" s="20"/>
      <c r="Z36" s="20"/>
      <c r="AA36" s="20"/>
      <c r="AB36" s="20"/>
      <c r="AC36" s="22">
        <f t="shared" si="3"/>
        <v>476521</v>
      </c>
      <c r="AD36" s="22">
        <f t="shared" si="4"/>
        <v>1191241</v>
      </c>
    </row>
    <row r="37" spans="1:30" x14ac:dyDescent="0.25">
      <c r="A37" s="13">
        <v>42</v>
      </c>
      <c r="B37" s="14" t="s">
        <v>112</v>
      </c>
      <c r="C37" s="26" t="s">
        <v>113</v>
      </c>
      <c r="D37" s="14" t="s">
        <v>42</v>
      </c>
      <c r="E37" s="20">
        <v>5292</v>
      </c>
      <c r="F37" s="20">
        <v>13228</v>
      </c>
      <c r="G37" s="20">
        <v>893</v>
      </c>
      <c r="H37" s="20">
        <v>2209</v>
      </c>
      <c r="I37" s="20"/>
      <c r="J37" s="20"/>
      <c r="K37" s="20">
        <v>361</v>
      </c>
      <c r="L37" s="20">
        <v>893</v>
      </c>
      <c r="M37" s="20"/>
      <c r="N37" s="20"/>
      <c r="O37" s="20"/>
      <c r="P37" s="20"/>
      <c r="Q37" s="20"/>
      <c r="R37" s="20"/>
      <c r="S37" s="20"/>
      <c r="T37" s="20"/>
      <c r="U37" s="20"/>
      <c r="V37" s="20"/>
      <c r="W37" s="20"/>
      <c r="X37" s="20"/>
      <c r="Y37" s="20"/>
      <c r="Z37" s="20"/>
      <c r="AA37" s="20"/>
      <c r="AB37" s="20"/>
      <c r="AC37" s="22">
        <f t="shared" si="3"/>
        <v>6546</v>
      </c>
      <c r="AD37" s="22">
        <f t="shared" si="4"/>
        <v>16330</v>
      </c>
    </row>
    <row r="38" spans="1:30" x14ac:dyDescent="0.25">
      <c r="A38" s="13">
        <v>43</v>
      </c>
      <c r="B38" s="14" t="s">
        <v>114</v>
      </c>
      <c r="C38" s="26" t="s">
        <v>115</v>
      </c>
      <c r="D38" s="14" t="s">
        <v>42</v>
      </c>
      <c r="E38" s="20">
        <v>13616312</v>
      </c>
      <c r="F38" s="20">
        <v>34040780</v>
      </c>
      <c r="G38" s="20">
        <v>1147961</v>
      </c>
      <c r="H38" s="20">
        <v>2869841</v>
      </c>
      <c r="I38" s="20">
        <v>1752802</v>
      </c>
      <c r="J38" s="20">
        <v>4382005</v>
      </c>
      <c r="K38" s="20">
        <v>30471</v>
      </c>
      <c r="L38" s="20">
        <v>76140</v>
      </c>
      <c r="M38" s="20">
        <v>68350</v>
      </c>
      <c r="N38" s="20">
        <v>170874</v>
      </c>
      <c r="O38" s="20">
        <v>7148</v>
      </c>
      <c r="P38" s="20">
        <v>17868</v>
      </c>
      <c r="Q38" s="20">
        <v>7516</v>
      </c>
      <c r="R38" s="20">
        <v>18788</v>
      </c>
      <c r="S38" s="20">
        <v>5850</v>
      </c>
      <c r="T38" s="20">
        <v>14625</v>
      </c>
      <c r="U38" s="20">
        <v>648</v>
      </c>
      <c r="V38" s="20">
        <v>1620</v>
      </c>
      <c r="W38" s="20"/>
      <c r="X38" s="20"/>
      <c r="Y38" s="20"/>
      <c r="Z38" s="20"/>
      <c r="AA38" s="20">
        <v>49</v>
      </c>
      <c r="AB38" s="20">
        <v>119</v>
      </c>
      <c r="AC38" s="22">
        <f t="shared" si="3"/>
        <v>16637107</v>
      </c>
      <c r="AD38" s="22">
        <f t="shared" si="4"/>
        <v>41592660</v>
      </c>
    </row>
    <row r="39" spans="1:30" x14ac:dyDescent="0.25">
      <c r="A39" s="13">
        <v>44</v>
      </c>
      <c r="B39" s="14" t="s">
        <v>116</v>
      </c>
      <c r="C39" s="26" t="s">
        <v>117</v>
      </c>
      <c r="D39" s="14" t="s">
        <v>42</v>
      </c>
      <c r="E39" s="20">
        <v>1796754</v>
      </c>
      <c r="F39" s="20">
        <v>4491883</v>
      </c>
      <c r="G39" s="20">
        <v>199293</v>
      </c>
      <c r="H39" s="20">
        <v>498199</v>
      </c>
      <c r="I39" s="20">
        <v>204908</v>
      </c>
      <c r="J39" s="20">
        <v>512270</v>
      </c>
      <c r="K39" s="20">
        <v>18147</v>
      </c>
      <c r="L39" s="20">
        <v>45337</v>
      </c>
      <c r="M39" s="20">
        <v>6032</v>
      </c>
      <c r="N39" s="20">
        <v>15078</v>
      </c>
      <c r="O39" s="20"/>
      <c r="P39" s="20"/>
      <c r="Q39" s="20"/>
      <c r="R39" s="20"/>
      <c r="S39" s="20">
        <v>1275</v>
      </c>
      <c r="T39" s="20">
        <v>3186</v>
      </c>
      <c r="U39" s="20"/>
      <c r="V39" s="20"/>
      <c r="W39" s="20"/>
      <c r="X39" s="20"/>
      <c r="Y39" s="20"/>
      <c r="Z39" s="20"/>
      <c r="AA39" s="20"/>
      <c r="AB39" s="20"/>
      <c r="AC39" s="22">
        <f t="shared" si="3"/>
        <v>2226409</v>
      </c>
      <c r="AD39" s="22">
        <f t="shared" si="4"/>
        <v>5565953</v>
      </c>
    </row>
    <row r="40" spans="1:30" x14ac:dyDescent="0.25">
      <c r="A40" s="13">
        <v>45</v>
      </c>
      <c r="B40" s="14" t="s">
        <v>118</v>
      </c>
      <c r="C40" s="26" t="s">
        <v>119</v>
      </c>
      <c r="D40" s="14" t="s">
        <v>42</v>
      </c>
      <c r="E40" s="20">
        <v>4328916</v>
      </c>
      <c r="F40" s="20">
        <v>10822290</v>
      </c>
      <c r="G40" s="20">
        <v>984712</v>
      </c>
      <c r="H40" s="20">
        <v>2461745</v>
      </c>
      <c r="I40" s="20">
        <v>285502</v>
      </c>
      <c r="J40" s="20">
        <v>713754</v>
      </c>
      <c r="K40" s="20">
        <v>23922</v>
      </c>
      <c r="L40" s="20">
        <v>59757</v>
      </c>
      <c r="M40" s="20">
        <v>59364</v>
      </c>
      <c r="N40" s="20">
        <v>148408</v>
      </c>
      <c r="O40" s="20"/>
      <c r="P40" s="20"/>
      <c r="Q40" s="20">
        <v>24740</v>
      </c>
      <c r="R40" s="20">
        <v>61850</v>
      </c>
      <c r="S40" s="20">
        <v>10433</v>
      </c>
      <c r="T40" s="20">
        <v>26082</v>
      </c>
      <c r="U40" s="20"/>
      <c r="V40" s="20"/>
      <c r="W40" s="20"/>
      <c r="X40" s="20"/>
      <c r="Y40" s="20"/>
      <c r="Z40" s="20"/>
      <c r="AA40" s="20">
        <v>93</v>
      </c>
      <c r="AB40" s="20">
        <v>229</v>
      </c>
      <c r="AC40" s="22">
        <f t="shared" si="3"/>
        <v>5717682</v>
      </c>
      <c r="AD40" s="22">
        <f t="shared" si="4"/>
        <v>14294115</v>
      </c>
    </row>
    <row r="41" spans="1:30" x14ac:dyDescent="0.25">
      <c r="A41" s="13">
        <v>46</v>
      </c>
      <c r="B41" s="14" t="s">
        <v>120</v>
      </c>
      <c r="C41" s="26" t="s">
        <v>121</v>
      </c>
      <c r="D41" s="14" t="s">
        <v>42</v>
      </c>
      <c r="E41" s="20">
        <v>2942904</v>
      </c>
      <c r="F41" s="20">
        <v>7357257</v>
      </c>
      <c r="G41" s="20">
        <v>168551</v>
      </c>
      <c r="H41" s="20">
        <v>421316</v>
      </c>
      <c r="I41" s="20">
        <v>312360</v>
      </c>
      <c r="J41" s="20">
        <v>780900</v>
      </c>
      <c r="K41" s="20">
        <v>1831</v>
      </c>
      <c r="L41" s="20">
        <v>4543</v>
      </c>
      <c r="M41" s="20">
        <v>12236</v>
      </c>
      <c r="N41" s="20">
        <v>30588</v>
      </c>
      <c r="O41" s="20"/>
      <c r="P41" s="20"/>
      <c r="Q41" s="20"/>
      <c r="R41" s="20"/>
      <c r="S41" s="20">
        <v>654</v>
      </c>
      <c r="T41" s="20">
        <v>1633</v>
      </c>
      <c r="U41" s="20">
        <v>648</v>
      </c>
      <c r="V41" s="20">
        <v>1620</v>
      </c>
      <c r="W41" s="20"/>
      <c r="X41" s="20"/>
      <c r="Y41" s="20"/>
      <c r="Z41" s="20"/>
      <c r="AA41" s="20">
        <v>12</v>
      </c>
      <c r="AB41" s="20">
        <v>30</v>
      </c>
      <c r="AC41" s="22">
        <f t="shared" si="3"/>
        <v>3439196</v>
      </c>
      <c r="AD41" s="22">
        <f t="shared" si="4"/>
        <v>8597887</v>
      </c>
    </row>
    <row r="42" spans="1:30" x14ac:dyDescent="0.25">
      <c r="A42" s="13">
        <v>47</v>
      </c>
      <c r="B42" s="14" t="s">
        <v>122</v>
      </c>
      <c r="C42" s="26" t="s">
        <v>123</v>
      </c>
      <c r="D42" s="14" t="s">
        <v>42</v>
      </c>
      <c r="E42" s="20">
        <v>1163235</v>
      </c>
      <c r="F42" s="20">
        <v>2908086</v>
      </c>
      <c r="G42" s="20">
        <v>204334</v>
      </c>
      <c r="H42" s="20">
        <v>510790</v>
      </c>
      <c r="I42" s="20">
        <v>4922</v>
      </c>
      <c r="J42" s="20">
        <v>12302</v>
      </c>
      <c r="K42" s="20">
        <v>8097</v>
      </c>
      <c r="L42" s="20">
        <v>20217</v>
      </c>
      <c r="M42" s="20"/>
      <c r="N42" s="20"/>
      <c r="O42" s="20"/>
      <c r="P42" s="20"/>
      <c r="Q42" s="20">
        <v>6402</v>
      </c>
      <c r="R42" s="20">
        <v>16002</v>
      </c>
      <c r="S42" s="20">
        <v>720</v>
      </c>
      <c r="T42" s="20">
        <v>1800</v>
      </c>
      <c r="U42" s="20"/>
      <c r="V42" s="20"/>
      <c r="W42" s="20"/>
      <c r="X42" s="20"/>
      <c r="Y42" s="20"/>
      <c r="Z42" s="20"/>
      <c r="AA42" s="20">
        <v>25</v>
      </c>
      <c r="AB42" s="20">
        <v>57</v>
      </c>
      <c r="AC42" s="22">
        <f t="shared" si="3"/>
        <v>1387735</v>
      </c>
      <c r="AD42" s="22">
        <f t="shared" si="4"/>
        <v>3469254</v>
      </c>
    </row>
    <row r="43" spans="1:30" x14ac:dyDescent="0.25">
      <c r="A43" s="13">
        <v>48</v>
      </c>
      <c r="B43" s="14" t="s">
        <v>124</v>
      </c>
      <c r="C43" s="26" t="s">
        <v>125</v>
      </c>
      <c r="D43" s="14" t="s">
        <v>42</v>
      </c>
      <c r="E43" s="20">
        <v>3170073</v>
      </c>
      <c r="F43" s="20">
        <v>7925181</v>
      </c>
      <c r="G43" s="20">
        <v>707154</v>
      </c>
      <c r="H43" s="20">
        <v>1767838</v>
      </c>
      <c r="I43" s="20">
        <v>613432</v>
      </c>
      <c r="J43" s="20">
        <v>1533578</v>
      </c>
      <c r="K43" s="20">
        <v>44421</v>
      </c>
      <c r="L43" s="20">
        <v>111021</v>
      </c>
      <c r="M43" s="20"/>
      <c r="N43" s="20"/>
      <c r="O43" s="20">
        <v>4473</v>
      </c>
      <c r="P43" s="20">
        <v>11180</v>
      </c>
      <c r="Q43" s="20"/>
      <c r="R43" s="20"/>
      <c r="S43" s="20">
        <v>3053</v>
      </c>
      <c r="T43" s="20">
        <v>7630</v>
      </c>
      <c r="U43" s="20"/>
      <c r="V43" s="20"/>
      <c r="W43" s="20"/>
      <c r="X43" s="20"/>
      <c r="Y43" s="20"/>
      <c r="Z43" s="20"/>
      <c r="AA43" s="20">
        <v>12</v>
      </c>
      <c r="AB43" s="20">
        <v>26</v>
      </c>
      <c r="AC43" s="22">
        <f t="shared" si="3"/>
        <v>4542618</v>
      </c>
      <c r="AD43" s="22">
        <f t="shared" si="4"/>
        <v>11356454</v>
      </c>
    </row>
    <row r="44" spans="1:30" x14ac:dyDescent="0.25">
      <c r="A44" s="13">
        <v>49</v>
      </c>
      <c r="B44" s="14" t="s">
        <v>126</v>
      </c>
      <c r="C44" s="26" t="s">
        <v>127</v>
      </c>
      <c r="D44" s="14" t="s">
        <v>42</v>
      </c>
      <c r="E44" s="20">
        <v>27448</v>
      </c>
      <c r="F44" s="20">
        <v>68618</v>
      </c>
      <c r="G44" s="20">
        <v>31781</v>
      </c>
      <c r="H44" s="20">
        <v>79155</v>
      </c>
      <c r="I44" s="20">
        <v>1901</v>
      </c>
      <c r="J44" s="20">
        <v>4752</v>
      </c>
      <c r="K44" s="20">
        <v>3807</v>
      </c>
      <c r="L44" s="20">
        <v>9474</v>
      </c>
      <c r="M44" s="20">
        <v>2564</v>
      </c>
      <c r="N44" s="20">
        <v>6408</v>
      </c>
      <c r="O44" s="20"/>
      <c r="P44" s="20"/>
      <c r="Q44" s="20"/>
      <c r="R44" s="20"/>
      <c r="S44" s="20">
        <v>8</v>
      </c>
      <c r="T44" s="20">
        <v>20</v>
      </c>
      <c r="U44" s="20"/>
      <c r="V44" s="20"/>
      <c r="W44" s="20"/>
      <c r="X44" s="20"/>
      <c r="Y44" s="20"/>
      <c r="Z44" s="20"/>
      <c r="AA44" s="20">
        <v>5</v>
      </c>
      <c r="AB44" s="20">
        <v>7</v>
      </c>
      <c r="AC44" s="22">
        <f t="shared" si="3"/>
        <v>67514</v>
      </c>
      <c r="AD44" s="22">
        <f t="shared" si="4"/>
        <v>168434</v>
      </c>
    </row>
    <row r="45" spans="1:30" x14ac:dyDescent="0.25">
      <c r="A45" s="13">
        <v>50</v>
      </c>
      <c r="B45" s="14" t="s">
        <v>128</v>
      </c>
      <c r="C45" s="26" t="s">
        <v>129</v>
      </c>
      <c r="D45" s="14" t="s">
        <v>42</v>
      </c>
      <c r="E45" s="20">
        <v>22318</v>
      </c>
      <c r="F45" s="20">
        <v>55795</v>
      </c>
      <c r="G45" s="20">
        <v>57552</v>
      </c>
      <c r="H45" s="20">
        <v>143638</v>
      </c>
      <c r="I45" s="20">
        <v>3216</v>
      </c>
      <c r="J45" s="20">
        <v>8040</v>
      </c>
      <c r="K45" s="20">
        <v>2952</v>
      </c>
      <c r="L45" s="20">
        <v>7338</v>
      </c>
      <c r="M45" s="20">
        <v>1608</v>
      </c>
      <c r="N45" s="20">
        <v>4018</v>
      </c>
      <c r="O45" s="20"/>
      <c r="P45" s="20"/>
      <c r="Q45" s="20"/>
      <c r="R45" s="20"/>
      <c r="S45" s="20">
        <v>26</v>
      </c>
      <c r="T45" s="20">
        <v>62</v>
      </c>
      <c r="U45" s="20"/>
      <c r="V45" s="20"/>
      <c r="W45" s="20"/>
      <c r="X45" s="20"/>
      <c r="Y45" s="20"/>
      <c r="Z45" s="20"/>
      <c r="AA45" s="20">
        <v>18</v>
      </c>
      <c r="AB45" s="20">
        <v>42</v>
      </c>
      <c r="AC45" s="22">
        <f t="shared" si="3"/>
        <v>87690</v>
      </c>
      <c r="AD45" s="22">
        <f t="shared" si="4"/>
        <v>218933</v>
      </c>
    </row>
    <row r="46" spans="1:30" x14ac:dyDescent="0.25">
      <c r="A46" s="13">
        <v>51</v>
      </c>
      <c r="B46" s="14" t="s">
        <v>130</v>
      </c>
      <c r="C46" s="26" t="s">
        <v>131</v>
      </c>
      <c r="D46" s="14" t="s">
        <v>42</v>
      </c>
      <c r="E46" s="20">
        <v>84562</v>
      </c>
      <c r="F46" s="20">
        <v>211403</v>
      </c>
      <c r="G46" s="20">
        <v>98874</v>
      </c>
      <c r="H46" s="20">
        <v>246950</v>
      </c>
      <c r="I46" s="20">
        <v>6294</v>
      </c>
      <c r="J46" s="20">
        <v>15735</v>
      </c>
      <c r="K46" s="20">
        <v>5817</v>
      </c>
      <c r="L46" s="20">
        <v>14495</v>
      </c>
      <c r="M46" s="20"/>
      <c r="N46" s="20"/>
      <c r="O46" s="20"/>
      <c r="P46" s="20"/>
      <c r="Q46" s="20"/>
      <c r="R46" s="20"/>
      <c r="S46" s="20">
        <v>23</v>
      </c>
      <c r="T46" s="20">
        <v>55</v>
      </c>
      <c r="U46" s="20"/>
      <c r="V46" s="20"/>
      <c r="W46" s="20"/>
      <c r="X46" s="20"/>
      <c r="Y46" s="20"/>
      <c r="Z46" s="20"/>
      <c r="AA46" s="20">
        <v>14</v>
      </c>
      <c r="AB46" s="20">
        <v>32</v>
      </c>
      <c r="AC46" s="22">
        <f t="shared" si="3"/>
        <v>195584</v>
      </c>
      <c r="AD46" s="22">
        <f t="shared" si="4"/>
        <v>488670</v>
      </c>
    </row>
    <row r="47" spans="1:30" x14ac:dyDescent="0.25">
      <c r="A47" s="13">
        <v>52</v>
      </c>
      <c r="B47" s="14" t="s">
        <v>132</v>
      </c>
      <c r="C47" s="26" t="s">
        <v>133</v>
      </c>
      <c r="D47" s="14" t="s">
        <v>42</v>
      </c>
      <c r="E47" s="20">
        <v>44394</v>
      </c>
      <c r="F47" s="20">
        <v>110982</v>
      </c>
      <c r="G47" s="20">
        <v>16043</v>
      </c>
      <c r="H47" s="20">
        <v>39815</v>
      </c>
      <c r="I47" s="20">
        <v>7956</v>
      </c>
      <c r="J47" s="20">
        <v>19890</v>
      </c>
      <c r="K47" s="20">
        <v>5295</v>
      </c>
      <c r="L47" s="20">
        <v>13198</v>
      </c>
      <c r="M47" s="20">
        <v>124</v>
      </c>
      <c r="N47" s="20">
        <v>310</v>
      </c>
      <c r="O47" s="20"/>
      <c r="P47" s="20"/>
      <c r="Q47" s="20"/>
      <c r="R47" s="20"/>
      <c r="S47" s="20">
        <v>4</v>
      </c>
      <c r="T47" s="20">
        <v>8</v>
      </c>
      <c r="U47" s="20"/>
      <c r="V47" s="20"/>
      <c r="W47" s="20"/>
      <c r="X47" s="20"/>
      <c r="Y47" s="20"/>
      <c r="Z47" s="20"/>
      <c r="AA47" s="20"/>
      <c r="AB47" s="20"/>
      <c r="AC47" s="22">
        <f t="shared" si="3"/>
        <v>73816</v>
      </c>
      <c r="AD47" s="22">
        <f t="shared" si="4"/>
        <v>184203</v>
      </c>
    </row>
    <row r="48" spans="1:30" x14ac:dyDescent="0.25">
      <c r="A48" s="13">
        <v>53</v>
      </c>
      <c r="B48" s="14" t="s">
        <v>134</v>
      </c>
      <c r="C48" s="26" t="s">
        <v>135</v>
      </c>
      <c r="D48" s="14" t="s">
        <v>42</v>
      </c>
      <c r="E48" s="20">
        <v>35580</v>
      </c>
      <c r="F48" s="20">
        <v>88946</v>
      </c>
      <c r="G48" s="20">
        <v>7793</v>
      </c>
      <c r="H48" s="20">
        <v>19386</v>
      </c>
      <c r="I48" s="20">
        <v>2368</v>
      </c>
      <c r="J48" s="20">
        <v>5920</v>
      </c>
      <c r="K48" s="20">
        <v>1492</v>
      </c>
      <c r="L48" s="20">
        <v>3707</v>
      </c>
      <c r="M48" s="20"/>
      <c r="N48" s="20"/>
      <c r="O48" s="20"/>
      <c r="P48" s="20"/>
      <c r="Q48" s="20"/>
      <c r="R48" s="20"/>
      <c r="S48" s="20">
        <v>1</v>
      </c>
      <c r="T48" s="20">
        <v>2</v>
      </c>
      <c r="U48" s="20"/>
      <c r="V48" s="20"/>
      <c r="W48" s="20"/>
      <c r="X48" s="20"/>
      <c r="Y48" s="20"/>
      <c r="Z48" s="20"/>
      <c r="AA48" s="20"/>
      <c r="AB48" s="20"/>
      <c r="AC48" s="22">
        <f t="shared" si="3"/>
        <v>47234</v>
      </c>
      <c r="AD48" s="22">
        <f t="shared" si="4"/>
        <v>117961</v>
      </c>
    </row>
    <row r="49" spans="1:30" x14ac:dyDescent="0.25">
      <c r="A49" s="13">
        <v>54</v>
      </c>
      <c r="B49" s="14" t="s">
        <v>136</v>
      </c>
      <c r="C49" s="26" t="s">
        <v>137</v>
      </c>
      <c r="D49" s="14" t="s">
        <v>42</v>
      </c>
      <c r="E49" s="20">
        <v>114448</v>
      </c>
      <c r="F49" s="20">
        <v>286118</v>
      </c>
      <c r="G49" s="20">
        <v>3199</v>
      </c>
      <c r="H49" s="20">
        <v>7964</v>
      </c>
      <c r="I49" s="20">
        <v>7044</v>
      </c>
      <c r="J49" s="20">
        <v>17608</v>
      </c>
      <c r="K49" s="20">
        <v>922</v>
      </c>
      <c r="L49" s="20">
        <v>2278</v>
      </c>
      <c r="M49" s="20">
        <v>3666</v>
      </c>
      <c r="N49" s="20">
        <v>9164</v>
      </c>
      <c r="O49" s="20"/>
      <c r="P49" s="20"/>
      <c r="Q49" s="20"/>
      <c r="R49" s="20"/>
      <c r="S49" s="20">
        <v>4</v>
      </c>
      <c r="T49" s="20">
        <v>8</v>
      </c>
      <c r="U49" s="20"/>
      <c r="V49" s="20"/>
      <c r="W49" s="20"/>
      <c r="X49" s="20"/>
      <c r="Y49" s="20"/>
      <c r="Z49" s="20"/>
      <c r="AA49" s="20"/>
      <c r="AB49" s="20"/>
      <c r="AC49" s="22">
        <f t="shared" si="3"/>
        <v>129283</v>
      </c>
      <c r="AD49" s="22">
        <f t="shared" si="4"/>
        <v>323140</v>
      </c>
    </row>
    <row r="50" spans="1:30" x14ac:dyDescent="0.25">
      <c r="A50" s="13">
        <v>55</v>
      </c>
      <c r="B50" s="14" t="s">
        <v>138</v>
      </c>
      <c r="C50" s="26" t="s">
        <v>139</v>
      </c>
      <c r="D50" s="14" t="s">
        <v>42</v>
      </c>
      <c r="E50" s="20">
        <v>174528</v>
      </c>
      <c r="F50" s="20">
        <v>436316</v>
      </c>
      <c r="G50" s="20">
        <v>6277</v>
      </c>
      <c r="H50" s="20">
        <v>15659</v>
      </c>
      <c r="I50" s="20">
        <v>21719</v>
      </c>
      <c r="J50" s="20">
        <v>54294</v>
      </c>
      <c r="K50" s="20">
        <v>8244</v>
      </c>
      <c r="L50" s="20">
        <v>20569</v>
      </c>
      <c r="M50" s="20">
        <v>4144</v>
      </c>
      <c r="N50" s="20">
        <v>10360</v>
      </c>
      <c r="O50" s="20"/>
      <c r="P50" s="20"/>
      <c r="Q50" s="20"/>
      <c r="R50" s="20"/>
      <c r="S50" s="20">
        <v>8</v>
      </c>
      <c r="T50" s="20">
        <v>19</v>
      </c>
      <c r="U50" s="20"/>
      <c r="V50" s="20"/>
      <c r="W50" s="20"/>
      <c r="X50" s="20"/>
      <c r="Y50" s="20"/>
      <c r="Z50" s="20"/>
      <c r="AA50" s="20">
        <v>11</v>
      </c>
      <c r="AB50" s="20">
        <v>25</v>
      </c>
      <c r="AC50" s="22">
        <f t="shared" si="3"/>
        <v>214931</v>
      </c>
      <c r="AD50" s="22">
        <f t="shared" si="4"/>
        <v>537242</v>
      </c>
    </row>
    <row r="51" spans="1:30" x14ac:dyDescent="0.25">
      <c r="A51" s="13">
        <v>56</v>
      </c>
      <c r="B51" s="14" t="s">
        <v>140</v>
      </c>
      <c r="C51" s="26" t="s">
        <v>141</v>
      </c>
      <c r="D51" s="14" t="s">
        <v>42</v>
      </c>
      <c r="E51" s="20">
        <v>27378</v>
      </c>
      <c r="F51" s="20">
        <v>68444</v>
      </c>
      <c r="G51" s="20">
        <v>2029</v>
      </c>
      <c r="H51" s="20">
        <v>5044</v>
      </c>
      <c r="I51" s="20">
        <v>5809</v>
      </c>
      <c r="J51" s="20">
        <v>14522</v>
      </c>
      <c r="K51" s="20">
        <v>7365</v>
      </c>
      <c r="L51" s="20">
        <v>18392</v>
      </c>
      <c r="M51" s="20">
        <v>2404</v>
      </c>
      <c r="N51" s="20">
        <v>6010</v>
      </c>
      <c r="O51" s="20"/>
      <c r="P51" s="20"/>
      <c r="Q51" s="20"/>
      <c r="R51" s="20"/>
      <c r="S51" s="20">
        <v>4</v>
      </c>
      <c r="T51" s="20">
        <v>6</v>
      </c>
      <c r="U51" s="20"/>
      <c r="V51" s="20"/>
      <c r="W51" s="20"/>
      <c r="X51" s="20"/>
      <c r="Y51" s="20"/>
      <c r="Z51" s="20"/>
      <c r="AA51" s="20"/>
      <c r="AB51" s="20"/>
      <c r="AC51" s="22">
        <f t="shared" si="3"/>
        <v>44989</v>
      </c>
      <c r="AD51" s="22">
        <f t="shared" si="4"/>
        <v>112418</v>
      </c>
    </row>
    <row r="52" spans="1:30" x14ac:dyDescent="0.25">
      <c r="A52" s="13">
        <v>57</v>
      </c>
      <c r="B52" s="14" t="s">
        <v>142</v>
      </c>
      <c r="C52" s="26" t="s">
        <v>143</v>
      </c>
      <c r="D52" s="14" t="s">
        <v>42</v>
      </c>
      <c r="E52" s="20">
        <v>141216</v>
      </c>
      <c r="F52" s="20">
        <v>353038</v>
      </c>
      <c r="G52" s="20">
        <v>49040</v>
      </c>
      <c r="H52" s="20">
        <v>122578</v>
      </c>
      <c r="I52" s="20"/>
      <c r="J52" s="20"/>
      <c r="K52" s="20">
        <v>5411</v>
      </c>
      <c r="L52" s="20">
        <v>13509</v>
      </c>
      <c r="M52" s="20">
        <v>3494</v>
      </c>
      <c r="N52" s="20">
        <v>8732</v>
      </c>
      <c r="O52" s="20"/>
      <c r="P52" s="20"/>
      <c r="Q52" s="20"/>
      <c r="R52" s="20"/>
      <c r="S52" s="20">
        <v>27</v>
      </c>
      <c r="T52" s="20">
        <v>64</v>
      </c>
      <c r="U52" s="20"/>
      <c r="V52" s="20"/>
      <c r="W52" s="20"/>
      <c r="X52" s="20"/>
      <c r="Y52" s="20"/>
      <c r="Z52" s="20"/>
      <c r="AA52" s="20"/>
      <c r="AB52" s="20"/>
      <c r="AC52" s="22">
        <f t="shared" si="3"/>
        <v>199188</v>
      </c>
      <c r="AD52" s="22">
        <f t="shared" si="4"/>
        <v>497921</v>
      </c>
    </row>
    <row r="53" spans="1:30" x14ac:dyDescent="0.25">
      <c r="A53" s="13">
        <v>58</v>
      </c>
      <c r="B53" s="14" t="s">
        <v>144</v>
      </c>
      <c r="C53" s="26" t="s">
        <v>145</v>
      </c>
      <c r="D53" s="14" t="s">
        <v>42</v>
      </c>
      <c r="E53" s="20">
        <v>3794</v>
      </c>
      <c r="F53" s="20">
        <v>9483</v>
      </c>
      <c r="G53" s="20">
        <v>4021</v>
      </c>
      <c r="H53" s="20">
        <v>10023</v>
      </c>
      <c r="I53" s="20"/>
      <c r="J53" s="20"/>
      <c r="K53" s="20">
        <v>194</v>
      </c>
      <c r="L53" s="20">
        <v>479</v>
      </c>
      <c r="M53" s="20"/>
      <c r="N53" s="20"/>
      <c r="O53" s="20"/>
      <c r="P53" s="20"/>
      <c r="Q53" s="20"/>
      <c r="R53" s="20"/>
      <c r="S53" s="20">
        <v>44</v>
      </c>
      <c r="T53" s="20">
        <v>107</v>
      </c>
      <c r="U53" s="20"/>
      <c r="V53" s="20"/>
      <c r="W53" s="20"/>
      <c r="X53" s="20"/>
      <c r="Y53" s="20"/>
      <c r="Z53" s="20"/>
      <c r="AA53" s="20"/>
      <c r="AB53" s="20"/>
      <c r="AC53" s="22">
        <f t="shared" si="3"/>
        <v>8053</v>
      </c>
      <c r="AD53" s="22">
        <f t="shared" si="4"/>
        <v>20092</v>
      </c>
    </row>
    <row r="54" spans="1:30" x14ac:dyDescent="0.25">
      <c r="A54" s="13">
        <v>59</v>
      </c>
      <c r="B54" s="14" t="s">
        <v>146</v>
      </c>
      <c r="C54" s="26" t="s">
        <v>147</v>
      </c>
      <c r="D54" s="14" t="s">
        <v>42</v>
      </c>
      <c r="E54" s="20">
        <v>240</v>
      </c>
      <c r="F54" s="20">
        <v>600</v>
      </c>
      <c r="G54" s="20">
        <v>29013</v>
      </c>
      <c r="H54" s="20">
        <v>72512</v>
      </c>
      <c r="I54" s="20"/>
      <c r="J54" s="20"/>
      <c r="K54" s="20">
        <v>2344</v>
      </c>
      <c r="L54" s="20">
        <v>5840</v>
      </c>
      <c r="M54" s="20"/>
      <c r="N54" s="20"/>
      <c r="O54" s="20"/>
      <c r="P54" s="20"/>
      <c r="Q54" s="20"/>
      <c r="R54" s="20"/>
      <c r="S54" s="20">
        <v>125</v>
      </c>
      <c r="T54" s="20">
        <v>312</v>
      </c>
      <c r="U54" s="20"/>
      <c r="V54" s="20"/>
      <c r="W54" s="20"/>
      <c r="X54" s="20"/>
      <c r="Y54" s="20"/>
      <c r="Z54" s="20"/>
      <c r="AA54" s="20">
        <v>8</v>
      </c>
      <c r="AB54" s="20">
        <v>20</v>
      </c>
      <c r="AC54" s="22">
        <f t="shared" si="3"/>
        <v>31730</v>
      </c>
      <c r="AD54" s="22">
        <f t="shared" si="4"/>
        <v>79284</v>
      </c>
    </row>
    <row r="55" spans="1:30" x14ac:dyDescent="0.25">
      <c r="A55" s="13">
        <v>60</v>
      </c>
      <c r="B55" s="14" t="s">
        <v>148</v>
      </c>
      <c r="C55" s="26" t="s">
        <v>149</v>
      </c>
      <c r="D55" s="14" t="s">
        <v>42</v>
      </c>
      <c r="E55" s="20">
        <v>8618</v>
      </c>
      <c r="F55" s="20">
        <v>21544</v>
      </c>
      <c r="G55" s="20">
        <v>10235</v>
      </c>
      <c r="H55" s="20">
        <v>25560</v>
      </c>
      <c r="I55" s="20"/>
      <c r="J55" s="20"/>
      <c r="K55" s="20">
        <v>1104</v>
      </c>
      <c r="L55" s="20">
        <v>2750</v>
      </c>
      <c r="M55" s="20"/>
      <c r="N55" s="20"/>
      <c r="O55" s="20"/>
      <c r="P55" s="20"/>
      <c r="Q55" s="20">
        <v>6000</v>
      </c>
      <c r="R55" s="20">
        <v>15000</v>
      </c>
      <c r="S55" s="20">
        <v>458</v>
      </c>
      <c r="T55" s="20">
        <v>1145</v>
      </c>
      <c r="U55" s="20"/>
      <c r="V55" s="20"/>
      <c r="W55" s="20"/>
      <c r="X55" s="20"/>
      <c r="Y55" s="20"/>
      <c r="Z55" s="20"/>
      <c r="AA55" s="20"/>
      <c r="AB55" s="20"/>
      <c r="AC55" s="22">
        <f t="shared" si="3"/>
        <v>26415</v>
      </c>
      <c r="AD55" s="22">
        <f t="shared" si="4"/>
        <v>65999</v>
      </c>
    </row>
    <row r="56" spans="1:30" x14ac:dyDescent="0.25">
      <c r="A56" s="13">
        <v>61</v>
      </c>
      <c r="B56" s="14" t="s">
        <v>150</v>
      </c>
      <c r="C56" s="26" t="s">
        <v>151</v>
      </c>
      <c r="D56" s="14" t="s">
        <v>42</v>
      </c>
      <c r="E56" s="20">
        <v>5098</v>
      </c>
      <c r="F56" s="20">
        <v>12745</v>
      </c>
      <c r="G56" s="20">
        <v>79130</v>
      </c>
      <c r="H56" s="20">
        <v>197791</v>
      </c>
      <c r="I56" s="20"/>
      <c r="J56" s="20"/>
      <c r="K56" s="20">
        <v>464</v>
      </c>
      <c r="L56" s="20">
        <v>1146</v>
      </c>
      <c r="M56" s="20"/>
      <c r="N56" s="20"/>
      <c r="O56" s="20"/>
      <c r="P56" s="20"/>
      <c r="Q56" s="20">
        <v>13532</v>
      </c>
      <c r="R56" s="20">
        <v>33828</v>
      </c>
      <c r="S56" s="20">
        <v>890</v>
      </c>
      <c r="T56" s="20">
        <v>2225</v>
      </c>
      <c r="U56" s="20"/>
      <c r="V56" s="20"/>
      <c r="W56" s="20"/>
      <c r="X56" s="20"/>
      <c r="Y56" s="20"/>
      <c r="Z56" s="20"/>
      <c r="AA56" s="20">
        <v>160</v>
      </c>
      <c r="AB56" s="20">
        <v>400</v>
      </c>
      <c r="AC56" s="22">
        <f t="shared" si="3"/>
        <v>99274</v>
      </c>
      <c r="AD56" s="22">
        <f t="shared" si="4"/>
        <v>248135</v>
      </c>
    </row>
    <row r="57" spans="1:30" x14ac:dyDescent="0.25">
      <c r="A57" s="13">
        <v>62</v>
      </c>
      <c r="B57" s="14" t="s">
        <v>152</v>
      </c>
      <c r="C57" s="26" t="s">
        <v>153</v>
      </c>
      <c r="D57" s="14" t="s">
        <v>42</v>
      </c>
      <c r="E57" s="20">
        <v>81128</v>
      </c>
      <c r="F57" s="20">
        <v>202818</v>
      </c>
      <c r="G57" s="20">
        <v>48739</v>
      </c>
      <c r="H57" s="20">
        <v>121803</v>
      </c>
      <c r="I57" s="20">
        <v>4106</v>
      </c>
      <c r="J57" s="20">
        <v>10262</v>
      </c>
      <c r="K57" s="20">
        <v>1164</v>
      </c>
      <c r="L57" s="20">
        <v>2909</v>
      </c>
      <c r="M57" s="20"/>
      <c r="N57" s="20"/>
      <c r="O57" s="20"/>
      <c r="P57" s="20"/>
      <c r="Q57" s="20"/>
      <c r="R57" s="20"/>
      <c r="S57" s="20">
        <v>204</v>
      </c>
      <c r="T57" s="20">
        <v>509</v>
      </c>
      <c r="U57" s="20"/>
      <c r="V57" s="20"/>
      <c r="W57" s="20"/>
      <c r="X57" s="20"/>
      <c r="Y57" s="20"/>
      <c r="Z57" s="20"/>
      <c r="AA57" s="20"/>
      <c r="AB57" s="20"/>
      <c r="AC57" s="22">
        <f t="shared" si="3"/>
        <v>135341</v>
      </c>
      <c r="AD57" s="22">
        <f t="shared" si="4"/>
        <v>338301</v>
      </c>
    </row>
    <row r="58" spans="1:30" x14ac:dyDescent="0.25">
      <c r="A58" s="13">
        <v>63</v>
      </c>
      <c r="B58" s="14" t="s">
        <v>154</v>
      </c>
      <c r="C58" s="26" t="s">
        <v>155</v>
      </c>
      <c r="D58" s="14" t="s">
        <v>42</v>
      </c>
      <c r="E58" s="20">
        <v>13363</v>
      </c>
      <c r="F58" s="20">
        <v>33404</v>
      </c>
      <c r="G58" s="20">
        <v>1072</v>
      </c>
      <c r="H58" s="20">
        <v>2656</v>
      </c>
      <c r="I58" s="20">
        <v>5134</v>
      </c>
      <c r="J58" s="20">
        <v>12833</v>
      </c>
      <c r="K58" s="20">
        <v>358</v>
      </c>
      <c r="L58" s="20">
        <v>886</v>
      </c>
      <c r="M58" s="20"/>
      <c r="N58" s="20"/>
      <c r="O58" s="20"/>
      <c r="P58" s="20"/>
      <c r="Q58" s="20"/>
      <c r="R58" s="20"/>
      <c r="S58" s="20">
        <v>96</v>
      </c>
      <c r="T58" s="20">
        <v>238</v>
      </c>
      <c r="U58" s="20"/>
      <c r="V58" s="20"/>
      <c r="W58" s="20"/>
      <c r="X58" s="20"/>
      <c r="Y58" s="20"/>
      <c r="Z58" s="20"/>
      <c r="AA58" s="20"/>
      <c r="AB58" s="20"/>
      <c r="AC58" s="22">
        <f t="shared" si="3"/>
        <v>20023</v>
      </c>
      <c r="AD58" s="22">
        <f t="shared" si="4"/>
        <v>50017</v>
      </c>
    </row>
    <row r="59" spans="1:30" x14ac:dyDescent="0.25">
      <c r="A59" s="13">
        <v>64</v>
      </c>
      <c r="B59" s="14" t="s">
        <v>156</v>
      </c>
      <c r="C59" s="26" t="s">
        <v>157</v>
      </c>
      <c r="D59" s="14" t="s">
        <v>42</v>
      </c>
      <c r="E59" s="20">
        <v>137</v>
      </c>
      <c r="F59" s="20">
        <v>340</v>
      </c>
      <c r="G59" s="20">
        <v>1047</v>
      </c>
      <c r="H59" s="20">
        <v>2609</v>
      </c>
      <c r="I59" s="20">
        <v>50416</v>
      </c>
      <c r="J59" s="20">
        <v>126040</v>
      </c>
      <c r="K59" s="20">
        <v>851</v>
      </c>
      <c r="L59" s="20">
        <v>2110</v>
      </c>
      <c r="M59" s="20"/>
      <c r="N59" s="20"/>
      <c r="O59" s="20"/>
      <c r="P59" s="20"/>
      <c r="Q59" s="20"/>
      <c r="R59" s="20"/>
      <c r="S59" s="20">
        <v>20</v>
      </c>
      <c r="T59" s="20">
        <v>50</v>
      </c>
      <c r="U59" s="20"/>
      <c r="V59" s="20"/>
      <c r="W59" s="20"/>
      <c r="X59" s="20"/>
      <c r="Y59" s="20"/>
      <c r="Z59" s="20"/>
      <c r="AA59" s="20">
        <v>2</v>
      </c>
      <c r="AB59" s="20">
        <v>2</v>
      </c>
      <c r="AC59" s="22">
        <f t="shared" si="3"/>
        <v>52473</v>
      </c>
      <c r="AD59" s="22">
        <f t="shared" si="4"/>
        <v>131151</v>
      </c>
    </row>
    <row r="60" spans="1:30" x14ac:dyDescent="0.25">
      <c r="A60" s="13">
        <v>65</v>
      </c>
      <c r="B60" s="14" t="s">
        <v>158</v>
      </c>
      <c r="C60" s="26" t="s">
        <v>159</v>
      </c>
      <c r="D60" s="14" t="s">
        <v>42</v>
      </c>
      <c r="E60" s="20">
        <v>1312104</v>
      </c>
      <c r="F60" s="20">
        <v>3280258</v>
      </c>
      <c r="G60" s="20">
        <v>765731</v>
      </c>
      <c r="H60" s="20">
        <v>1914265</v>
      </c>
      <c r="I60" s="20">
        <v>626912</v>
      </c>
      <c r="J60" s="20">
        <v>1567280</v>
      </c>
      <c r="K60" s="20">
        <v>31508</v>
      </c>
      <c r="L60" s="20">
        <v>78732</v>
      </c>
      <c r="M60" s="20">
        <v>36490</v>
      </c>
      <c r="N60" s="20">
        <v>91222</v>
      </c>
      <c r="O60" s="20">
        <v>11119</v>
      </c>
      <c r="P60" s="20">
        <v>27797</v>
      </c>
      <c r="Q60" s="20"/>
      <c r="R60" s="20"/>
      <c r="S60" s="20">
        <v>2726</v>
      </c>
      <c r="T60" s="20">
        <v>6815</v>
      </c>
      <c r="U60" s="20"/>
      <c r="V60" s="20"/>
      <c r="W60" s="20"/>
      <c r="X60" s="20"/>
      <c r="Y60" s="20"/>
      <c r="Z60" s="20"/>
      <c r="AA60" s="20">
        <v>62</v>
      </c>
      <c r="AB60" s="20">
        <v>152</v>
      </c>
      <c r="AC60" s="22">
        <f t="shared" si="3"/>
        <v>2786652</v>
      </c>
      <c r="AD60" s="22">
        <f t="shared" si="4"/>
        <v>6966521</v>
      </c>
    </row>
    <row r="61" spans="1:30" x14ac:dyDescent="0.25">
      <c r="A61" s="13">
        <v>66</v>
      </c>
      <c r="B61" s="14" t="s">
        <v>160</v>
      </c>
      <c r="C61" s="26" t="s">
        <v>161</v>
      </c>
      <c r="D61" s="14" t="s">
        <v>42</v>
      </c>
      <c r="E61" s="20">
        <v>1436490</v>
      </c>
      <c r="F61" s="20">
        <v>3591222</v>
      </c>
      <c r="G61" s="20">
        <v>182392</v>
      </c>
      <c r="H61" s="20">
        <v>455923</v>
      </c>
      <c r="I61" s="20">
        <v>372640</v>
      </c>
      <c r="J61" s="20">
        <v>931600</v>
      </c>
      <c r="K61" s="20">
        <v>43641</v>
      </c>
      <c r="L61" s="20">
        <v>109052</v>
      </c>
      <c r="M61" s="20">
        <v>22138</v>
      </c>
      <c r="N61" s="20">
        <v>55344</v>
      </c>
      <c r="O61" s="20"/>
      <c r="P61" s="20"/>
      <c r="Q61" s="20"/>
      <c r="R61" s="20"/>
      <c r="S61" s="20">
        <v>330</v>
      </c>
      <c r="T61" s="20">
        <v>823</v>
      </c>
      <c r="U61" s="20"/>
      <c r="V61" s="20"/>
      <c r="W61" s="20"/>
      <c r="X61" s="20"/>
      <c r="Y61" s="20"/>
      <c r="Z61" s="20"/>
      <c r="AA61" s="20">
        <v>168</v>
      </c>
      <c r="AB61" s="20">
        <v>420</v>
      </c>
      <c r="AC61" s="22">
        <f t="shared" si="3"/>
        <v>2057799</v>
      </c>
      <c r="AD61" s="22">
        <f t="shared" si="4"/>
        <v>5144384</v>
      </c>
    </row>
    <row r="62" spans="1:30" x14ac:dyDescent="0.25">
      <c r="A62" s="13">
        <v>67</v>
      </c>
      <c r="B62" s="14" t="s">
        <v>162</v>
      </c>
      <c r="C62" s="26" t="s">
        <v>163</v>
      </c>
      <c r="D62" s="14" t="s">
        <v>42</v>
      </c>
      <c r="E62" s="20">
        <v>496250</v>
      </c>
      <c r="F62" s="20">
        <v>1240622</v>
      </c>
      <c r="G62" s="20">
        <v>71470</v>
      </c>
      <c r="H62" s="20">
        <v>178640</v>
      </c>
      <c r="I62" s="20">
        <v>73920</v>
      </c>
      <c r="J62" s="20">
        <v>184800</v>
      </c>
      <c r="K62" s="20">
        <v>15937</v>
      </c>
      <c r="L62" s="20">
        <v>39814</v>
      </c>
      <c r="M62" s="20">
        <v>6018</v>
      </c>
      <c r="N62" s="20">
        <v>15042</v>
      </c>
      <c r="O62" s="20"/>
      <c r="P62" s="20"/>
      <c r="Q62" s="20"/>
      <c r="R62" s="20"/>
      <c r="S62" s="20">
        <v>541</v>
      </c>
      <c r="T62" s="20">
        <v>1351</v>
      </c>
      <c r="U62" s="20"/>
      <c r="V62" s="20"/>
      <c r="W62" s="20"/>
      <c r="X62" s="20"/>
      <c r="Y62" s="20"/>
      <c r="Z62" s="20"/>
      <c r="AA62" s="20">
        <v>16</v>
      </c>
      <c r="AB62" s="20">
        <v>37</v>
      </c>
      <c r="AC62" s="22">
        <f t="shared" si="3"/>
        <v>664152</v>
      </c>
      <c r="AD62" s="22">
        <f t="shared" si="4"/>
        <v>1660306</v>
      </c>
    </row>
    <row r="63" spans="1:30" x14ac:dyDescent="0.25">
      <c r="A63" s="13">
        <v>68</v>
      </c>
      <c r="B63" s="14" t="s">
        <v>164</v>
      </c>
      <c r="C63" s="26" t="s">
        <v>165</v>
      </c>
      <c r="D63" s="14" t="s">
        <v>42</v>
      </c>
      <c r="E63" s="20">
        <v>6722016</v>
      </c>
      <c r="F63" s="20">
        <v>16805038</v>
      </c>
      <c r="G63" s="20">
        <v>1521602</v>
      </c>
      <c r="H63" s="20">
        <v>3803975</v>
      </c>
      <c r="I63" s="20">
        <v>612000</v>
      </c>
      <c r="J63" s="20">
        <v>1530000</v>
      </c>
      <c r="K63" s="20">
        <v>2016</v>
      </c>
      <c r="L63" s="20">
        <v>5023</v>
      </c>
      <c r="M63" s="20">
        <v>90432</v>
      </c>
      <c r="N63" s="20">
        <v>226078</v>
      </c>
      <c r="O63" s="20">
        <v>8484</v>
      </c>
      <c r="P63" s="20">
        <v>21208</v>
      </c>
      <c r="Q63" s="20"/>
      <c r="R63" s="20"/>
      <c r="S63" s="20">
        <v>1920</v>
      </c>
      <c r="T63" s="20">
        <v>4798</v>
      </c>
      <c r="U63" s="20">
        <v>2592</v>
      </c>
      <c r="V63" s="20">
        <v>6480</v>
      </c>
      <c r="W63" s="20"/>
      <c r="X63" s="20"/>
      <c r="Y63" s="20"/>
      <c r="Z63" s="20"/>
      <c r="AA63" s="20"/>
      <c r="AB63" s="20"/>
      <c r="AC63" s="22">
        <f t="shared" si="3"/>
        <v>8961062</v>
      </c>
      <c r="AD63" s="22">
        <f t="shared" si="4"/>
        <v>22402600</v>
      </c>
    </row>
    <row r="64" spans="1:30" x14ac:dyDescent="0.25">
      <c r="A64" s="13">
        <v>69</v>
      </c>
      <c r="B64" s="14" t="s">
        <v>166</v>
      </c>
      <c r="C64" s="26" t="s">
        <v>167</v>
      </c>
      <c r="D64" s="14" t="s">
        <v>42</v>
      </c>
      <c r="E64" s="20"/>
      <c r="F64" s="20"/>
      <c r="G64" s="20">
        <v>35742</v>
      </c>
      <c r="H64" s="20">
        <v>89331</v>
      </c>
      <c r="I64" s="20"/>
      <c r="J64" s="20"/>
      <c r="K64" s="20">
        <v>9374</v>
      </c>
      <c r="L64" s="20">
        <v>23421</v>
      </c>
      <c r="M64" s="20"/>
      <c r="N64" s="20"/>
      <c r="O64" s="20"/>
      <c r="P64" s="20"/>
      <c r="Q64" s="20"/>
      <c r="R64" s="20"/>
      <c r="S64" s="20"/>
      <c r="T64" s="20"/>
      <c r="U64" s="20"/>
      <c r="V64" s="20"/>
      <c r="W64" s="20"/>
      <c r="X64" s="20"/>
      <c r="Y64" s="20"/>
      <c r="Z64" s="20"/>
      <c r="AA64" s="20">
        <v>2</v>
      </c>
      <c r="AB64" s="20">
        <v>2</v>
      </c>
      <c r="AC64" s="22">
        <f t="shared" si="3"/>
        <v>45118</v>
      </c>
      <c r="AD64" s="22">
        <f t="shared" si="4"/>
        <v>112754</v>
      </c>
    </row>
    <row r="65" spans="1:30" x14ac:dyDescent="0.25">
      <c r="A65" s="13">
        <v>70</v>
      </c>
      <c r="B65" s="14" t="s">
        <v>168</v>
      </c>
      <c r="C65" s="26" t="s">
        <v>169</v>
      </c>
      <c r="D65" s="14" t="s">
        <v>42</v>
      </c>
      <c r="E65" s="20">
        <v>5803740</v>
      </c>
      <c r="F65" s="20">
        <v>14509346</v>
      </c>
      <c r="G65" s="20">
        <v>664030</v>
      </c>
      <c r="H65" s="20">
        <v>1660024</v>
      </c>
      <c r="I65" s="20">
        <v>528000</v>
      </c>
      <c r="J65" s="20">
        <v>1320000</v>
      </c>
      <c r="K65" s="20">
        <v>14452</v>
      </c>
      <c r="L65" s="20">
        <v>36114</v>
      </c>
      <c r="M65" s="20"/>
      <c r="N65" s="20"/>
      <c r="O65" s="20"/>
      <c r="P65" s="20"/>
      <c r="Q65" s="20"/>
      <c r="R65" s="20"/>
      <c r="S65" s="20">
        <v>1283</v>
      </c>
      <c r="T65" s="20">
        <v>3207</v>
      </c>
      <c r="U65" s="20"/>
      <c r="V65" s="20"/>
      <c r="W65" s="20"/>
      <c r="X65" s="20"/>
      <c r="Y65" s="20"/>
      <c r="Z65" s="20"/>
      <c r="AA65" s="20">
        <v>26</v>
      </c>
      <c r="AB65" s="20">
        <v>62</v>
      </c>
      <c r="AC65" s="22">
        <f t="shared" si="3"/>
        <v>7011531</v>
      </c>
      <c r="AD65" s="22">
        <f t="shared" si="4"/>
        <v>17528753</v>
      </c>
    </row>
    <row r="66" spans="1:30" x14ac:dyDescent="0.25">
      <c r="A66" s="13">
        <v>71</v>
      </c>
      <c r="B66" s="14" t="s">
        <v>170</v>
      </c>
      <c r="C66" s="26" t="s">
        <v>171</v>
      </c>
      <c r="D66" s="14" t="s">
        <v>42</v>
      </c>
      <c r="E66" s="20"/>
      <c r="F66" s="20"/>
      <c r="G66" s="20">
        <v>33326</v>
      </c>
      <c r="H66" s="20">
        <v>83130</v>
      </c>
      <c r="I66" s="20"/>
      <c r="J66" s="20"/>
      <c r="K66" s="20">
        <v>5105</v>
      </c>
      <c r="L66" s="20">
        <v>12745</v>
      </c>
      <c r="M66" s="20"/>
      <c r="N66" s="20"/>
      <c r="O66" s="20"/>
      <c r="P66" s="20"/>
      <c r="Q66" s="20"/>
      <c r="R66" s="20"/>
      <c r="S66" s="20">
        <v>50</v>
      </c>
      <c r="T66" s="20">
        <v>125</v>
      </c>
      <c r="U66" s="20"/>
      <c r="V66" s="20"/>
      <c r="W66" s="20"/>
      <c r="X66" s="20"/>
      <c r="Y66" s="20"/>
      <c r="Z66" s="20"/>
      <c r="AA66" s="20">
        <v>2</v>
      </c>
      <c r="AB66" s="20">
        <v>2</v>
      </c>
      <c r="AC66" s="22">
        <f t="shared" si="3"/>
        <v>38483</v>
      </c>
      <c r="AD66" s="22">
        <f t="shared" si="4"/>
        <v>96002</v>
      </c>
    </row>
    <row r="67" spans="1:30" x14ac:dyDescent="0.25">
      <c r="A67" s="13">
        <v>72</v>
      </c>
      <c r="B67" s="14" t="s">
        <v>172</v>
      </c>
      <c r="C67" s="26" t="s">
        <v>173</v>
      </c>
      <c r="D67" s="14" t="s">
        <v>42</v>
      </c>
      <c r="E67" s="20">
        <v>883418</v>
      </c>
      <c r="F67" s="20">
        <v>2208542</v>
      </c>
      <c r="G67" s="20">
        <v>207153</v>
      </c>
      <c r="H67" s="20">
        <v>517824</v>
      </c>
      <c r="I67" s="20">
        <v>52800</v>
      </c>
      <c r="J67" s="20">
        <v>132000</v>
      </c>
      <c r="K67" s="20">
        <v>12784</v>
      </c>
      <c r="L67" s="20">
        <v>31931</v>
      </c>
      <c r="M67" s="20"/>
      <c r="N67" s="20"/>
      <c r="O67" s="20"/>
      <c r="P67" s="20"/>
      <c r="Q67" s="20"/>
      <c r="R67" s="20"/>
      <c r="S67" s="20">
        <v>158</v>
      </c>
      <c r="T67" s="20">
        <v>393</v>
      </c>
      <c r="U67" s="20"/>
      <c r="V67" s="20"/>
      <c r="W67" s="20"/>
      <c r="X67" s="20"/>
      <c r="Y67" s="20"/>
      <c r="Z67" s="20"/>
      <c r="AA67" s="20">
        <v>10</v>
      </c>
      <c r="AB67" s="20">
        <v>25</v>
      </c>
      <c r="AC67" s="22">
        <f t="shared" si="3"/>
        <v>1156323</v>
      </c>
      <c r="AD67" s="22">
        <f t="shared" si="4"/>
        <v>2890715</v>
      </c>
    </row>
    <row r="68" spans="1:30" x14ac:dyDescent="0.25">
      <c r="A68" s="13">
        <v>73</v>
      </c>
      <c r="B68" s="14" t="s">
        <v>174</v>
      </c>
      <c r="C68" s="26" t="s">
        <v>175</v>
      </c>
      <c r="D68" s="14" t="s">
        <v>42</v>
      </c>
      <c r="E68" s="20">
        <v>26826</v>
      </c>
      <c r="F68" s="20">
        <v>67064</v>
      </c>
      <c r="G68" s="20">
        <v>5997</v>
      </c>
      <c r="H68" s="20">
        <v>14975</v>
      </c>
      <c r="I68" s="20">
        <v>7124</v>
      </c>
      <c r="J68" s="20">
        <v>17810</v>
      </c>
      <c r="K68" s="20">
        <v>1979</v>
      </c>
      <c r="L68" s="20">
        <v>4936</v>
      </c>
      <c r="M68" s="20"/>
      <c r="N68" s="20"/>
      <c r="O68" s="20"/>
      <c r="P68" s="20"/>
      <c r="Q68" s="20"/>
      <c r="R68" s="20"/>
      <c r="S68" s="20"/>
      <c r="T68" s="20"/>
      <c r="U68" s="20"/>
      <c r="V68" s="20"/>
      <c r="W68" s="20"/>
      <c r="X68" s="20"/>
      <c r="Y68" s="20"/>
      <c r="Z68" s="20"/>
      <c r="AA68" s="20">
        <v>10</v>
      </c>
      <c r="AB68" s="20">
        <v>24</v>
      </c>
      <c r="AC68" s="22">
        <f t="shared" si="3"/>
        <v>41936</v>
      </c>
      <c r="AD68" s="22">
        <f t="shared" si="4"/>
        <v>104809</v>
      </c>
    </row>
    <row r="69" spans="1:30" x14ac:dyDescent="0.25">
      <c r="A69" s="13">
        <v>74</v>
      </c>
      <c r="B69" s="14" t="s">
        <v>176</v>
      </c>
      <c r="C69" s="26" t="s">
        <v>177</v>
      </c>
      <c r="D69" s="14" t="s">
        <v>42</v>
      </c>
      <c r="E69" s="20">
        <v>6024</v>
      </c>
      <c r="F69" s="20">
        <v>15058</v>
      </c>
      <c r="G69" s="20">
        <v>249</v>
      </c>
      <c r="H69" s="20">
        <v>605</v>
      </c>
      <c r="I69" s="20">
        <v>1535</v>
      </c>
      <c r="J69" s="20">
        <v>3836</v>
      </c>
      <c r="K69" s="20">
        <v>832</v>
      </c>
      <c r="L69" s="20">
        <v>2078</v>
      </c>
      <c r="M69" s="20"/>
      <c r="N69" s="20"/>
      <c r="O69" s="20"/>
      <c r="P69" s="20"/>
      <c r="Q69" s="20"/>
      <c r="R69" s="20"/>
      <c r="S69" s="20"/>
      <c r="T69" s="20"/>
      <c r="U69" s="20"/>
      <c r="V69" s="20"/>
      <c r="W69" s="20"/>
      <c r="X69" s="20"/>
      <c r="Y69" s="20"/>
      <c r="Z69" s="20"/>
      <c r="AA69" s="20"/>
      <c r="AB69" s="20"/>
      <c r="AC69" s="22">
        <f t="shared" si="3"/>
        <v>8640</v>
      </c>
      <c r="AD69" s="22">
        <f t="shared" si="4"/>
        <v>21577</v>
      </c>
    </row>
    <row r="70" spans="1:30" x14ac:dyDescent="0.25">
      <c r="A70" s="13">
        <v>76</v>
      </c>
      <c r="B70" s="14" t="s">
        <v>178</v>
      </c>
      <c r="C70" s="26" t="s">
        <v>179</v>
      </c>
      <c r="D70" s="14" t="s">
        <v>42</v>
      </c>
      <c r="E70" s="20">
        <v>2346494</v>
      </c>
      <c r="F70" s="20">
        <v>5866234</v>
      </c>
      <c r="G70" s="20">
        <v>116156</v>
      </c>
      <c r="H70" s="20">
        <v>290333</v>
      </c>
      <c r="I70" s="20">
        <v>324681</v>
      </c>
      <c r="J70" s="20">
        <v>811700</v>
      </c>
      <c r="K70" s="20">
        <v>18317</v>
      </c>
      <c r="L70" s="20">
        <v>45765</v>
      </c>
      <c r="M70" s="20">
        <v>19896</v>
      </c>
      <c r="N70" s="20">
        <v>49740</v>
      </c>
      <c r="O70" s="20">
        <v>5210</v>
      </c>
      <c r="P70" s="20">
        <v>13024</v>
      </c>
      <c r="Q70" s="20"/>
      <c r="R70" s="20"/>
      <c r="S70" s="20">
        <v>430</v>
      </c>
      <c r="T70" s="20">
        <v>1075</v>
      </c>
      <c r="U70" s="20"/>
      <c r="V70" s="20"/>
      <c r="W70" s="20"/>
      <c r="X70" s="20"/>
      <c r="Y70" s="20"/>
      <c r="Z70" s="20"/>
      <c r="AA70" s="20">
        <v>16</v>
      </c>
      <c r="AB70" s="20">
        <v>40</v>
      </c>
      <c r="AC70" s="22">
        <f t="shared" si="3"/>
        <v>2831200</v>
      </c>
      <c r="AD70" s="22">
        <f t="shared" si="4"/>
        <v>7077911</v>
      </c>
    </row>
    <row r="71" spans="1:30" x14ac:dyDescent="0.25">
      <c r="A71" s="13">
        <v>78</v>
      </c>
      <c r="B71" s="14" t="s">
        <v>180</v>
      </c>
      <c r="C71" s="26" t="s">
        <v>181</v>
      </c>
      <c r="D71" s="14" t="s">
        <v>42</v>
      </c>
      <c r="E71" s="20">
        <v>455293</v>
      </c>
      <c r="F71" s="20">
        <v>1138231</v>
      </c>
      <c r="G71" s="20">
        <v>571127</v>
      </c>
      <c r="H71" s="20">
        <v>1427685</v>
      </c>
      <c r="I71" s="20">
        <v>111792</v>
      </c>
      <c r="J71" s="20">
        <v>279480</v>
      </c>
      <c r="K71" s="20">
        <v>14484</v>
      </c>
      <c r="L71" s="20">
        <v>36183</v>
      </c>
      <c r="M71" s="20"/>
      <c r="N71" s="20"/>
      <c r="O71" s="20"/>
      <c r="P71" s="20"/>
      <c r="Q71" s="20"/>
      <c r="R71" s="20"/>
      <c r="S71" s="20">
        <v>321</v>
      </c>
      <c r="T71" s="20">
        <v>802</v>
      </c>
      <c r="U71" s="20"/>
      <c r="V71" s="20"/>
      <c r="W71" s="20"/>
      <c r="X71" s="20"/>
      <c r="Y71" s="20"/>
      <c r="Z71" s="20"/>
      <c r="AA71" s="20"/>
      <c r="AB71" s="20"/>
      <c r="AC71" s="22">
        <f t="shared" si="3"/>
        <v>1153017</v>
      </c>
      <c r="AD71" s="22">
        <f t="shared" si="4"/>
        <v>2882381</v>
      </c>
    </row>
    <row r="72" spans="1:30" x14ac:dyDescent="0.25">
      <c r="A72" s="13">
        <v>79</v>
      </c>
      <c r="B72" s="14" t="s">
        <v>182</v>
      </c>
      <c r="C72" s="26" t="s">
        <v>183</v>
      </c>
      <c r="D72" s="14" t="s">
        <v>42</v>
      </c>
      <c r="E72" s="20">
        <v>204964</v>
      </c>
      <c r="F72" s="20">
        <v>512408</v>
      </c>
      <c r="G72" s="20">
        <v>169495</v>
      </c>
      <c r="H72" s="20">
        <v>423699</v>
      </c>
      <c r="I72" s="20"/>
      <c r="J72" s="20"/>
      <c r="K72" s="20">
        <v>9571</v>
      </c>
      <c r="L72" s="20">
        <v>23917</v>
      </c>
      <c r="M72" s="20"/>
      <c r="N72" s="20"/>
      <c r="O72" s="20"/>
      <c r="P72" s="20"/>
      <c r="Q72" s="20">
        <v>58376</v>
      </c>
      <c r="R72" s="20">
        <v>145938</v>
      </c>
      <c r="S72" s="20">
        <v>6462</v>
      </c>
      <c r="T72" s="20">
        <v>16153</v>
      </c>
      <c r="U72" s="20"/>
      <c r="V72" s="20"/>
      <c r="W72" s="20"/>
      <c r="X72" s="20"/>
      <c r="Y72" s="20"/>
      <c r="Z72" s="20"/>
      <c r="AA72" s="20">
        <v>8</v>
      </c>
      <c r="AB72" s="20">
        <v>20</v>
      </c>
      <c r="AC72" s="22">
        <f t="shared" si="3"/>
        <v>448876</v>
      </c>
      <c r="AD72" s="22">
        <f t="shared" si="4"/>
        <v>1122135</v>
      </c>
    </row>
    <row r="73" spans="1:30" x14ac:dyDescent="0.25">
      <c r="A73" s="13">
        <v>80</v>
      </c>
      <c r="B73" s="14" t="s">
        <v>184</v>
      </c>
      <c r="C73" s="26" t="s">
        <v>185</v>
      </c>
      <c r="D73" s="14" t="s">
        <v>42</v>
      </c>
      <c r="E73" s="20">
        <v>4406650</v>
      </c>
      <c r="F73" s="20">
        <v>11016622</v>
      </c>
      <c r="G73" s="20">
        <v>631846</v>
      </c>
      <c r="H73" s="20">
        <v>1579573</v>
      </c>
      <c r="I73" s="20">
        <v>593069</v>
      </c>
      <c r="J73" s="20">
        <v>1482669</v>
      </c>
      <c r="K73" s="20">
        <v>9031</v>
      </c>
      <c r="L73" s="20">
        <v>22545</v>
      </c>
      <c r="M73" s="20"/>
      <c r="N73" s="20"/>
      <c r="O73" s="20">
        <v>8862</v>
      </c>
      <c r="P73" s="20">
        <v>22154</v>
      </c>
      <c r="Q73" s="20">
        <v>61671</v>
      </c>
      <c r="R73" s="20">
        <v>154174</v>
      </c>
      <c r="S73" s="20">
        <v>4112</v>
      </c>
      <c r="T73" s="20">
        <v>10280</v>
      </c>
      <c r="U73" s="20">
        <v>3240</v>
      </c>
      <c r="V73" s="20">
        <v>8100</v>
      </c>
      <c r="W73" s="20"/>
      <c r="X73" s="20"/>
      <c r="Y73" s="20"/>
      <c r="Z73" s="20"/>
      <c r="AA73" s="20">
        <v>80</v>
      </c>
      <c r="AB73" s="20">
        <v>200</v>
      </c>
      <c r="AC73" s="22">
        <f t="shared" si="3"/>
        <v>5718561</v>
      </c>
      <c r="AD73" s="22">
        <f t="shared" si="4"/>
        <v>14296317</v>
      </c>
    </row>
    <row r="74" spans="1:30" x14ac:dyDescent="0.25">
      <c r="A74" s="13">
        <v>81</v>
      </c>
      <c r="B74" s="14" t="s">
        <v>186</v>
      </c>
      <c r="C74" s="26" t="s">
        <v>187</v>
      </c>
      <c r="D74" s="14" t="s">
        <v>42</v>
      </c>
      <c r="E74" s="20">
        <v>4005176</v>
      </c>
      <c r="F74" s="20">
        <v>10012936</v>
      </c>
      <c r="G74" s="20">
        <v>680481</v>
      </c>
      <c r="H74" s="20">
        <v>1701157</v>
      </c>
      <c r="I74" s="20">
        <v>679520</v>
      </c>
      <c r="J74" s="20">
        <v>1698800</v>
      </c>
      <c r="K74" s="20">
        <v>16240</v>
      </c>
      <c r="L74" s="20">
        <v>40566</v>
      </c>
      <c r="M74" s="20">
        <v>57644</v>
      </c>
      <c r="N74" s="20">
        <v>144106</v>
      </c>
      <c r="O74" s="20">
        <v>9940</v>
      </c>
      <c r="P74" s="20">
        <v>24849</v>
      </c>
      <c r="Q74" s="20">
        <v>45264</v>
      </c>
      <c r="R74" s="20">
        <v>113160</v>
      </c>
      <c r="S74" s="20">
        <v>4374</v>
      </c>
      <c r="T74" s="20">
        <v>10935</v>
      </c>
      <c r="U74" s="20">
        <v>3240</v>
      </c>
      <c r="V74" s="20">
        <v>8100</v>
      </c>
      <c r="W74" s="20"/>
      <c r="X74" s="20"/>
      <c r="Y74" s="20"/>
      <c r="Z74" s="20"/>
      <c r="AA74" s="20">
        <v>56</v>
      </c>
      <c r="AB74" s="20">
        <v>140</v>
      </c>
      <c r="AC74" s="22">
        <f t="shared" si="3"/>
        <v>5501935</v>
      </c>
      <c r="AD74" s="22">
        <f t="shared" si="4"/>
        <v>13754749</v>
      </c>
    </row>
    <row r="75" spans="1:30" x14ac:dyDescent="0.25">
      <c r="A75" s="13">
        <v>82</v>
      </c>
      <c r="B75" s="14" t="s">
        <v>188</v>
      </c>
      <c r="C75" s="26" t="s">
        <v>189</v>
      </c>
      <c r="D75" s="14" t="s">
        <v>42</v>
      </c>
      <c r="E75" s="20">
        <v>7128</v>
      </c>
      <c r="F75" s="20">
        <v>17820</v>
      </c>
      <c r="G75" s="20">
        <v>372</v>
      </c>
      <c r="H75" s="20">
        <v>917</v>
      </c>
      <c r="I75" s="20">
        <v>114</v>
      </c>
      <c r="J75" s="20">
        <v>281</v>
      </c>
      <c r="K75" s="20">
        <v>1876</v>
      </c>
      <c r="L75" s="20">
        <v>4680</v>
      </c>
      <c r="M75" s="20">
        <v>2358</v>
      </c>
      <c r="N75" s="20">
        <v>5892</v>
      </c>
      <c r="O75" s="20"/>
      <c r="P75" s="20"/>
      <c r="Q75" s="20"/>
      <c r="R75" s="20"/>
      <c r="S75" s="20">
        <v>54</v>
      </c>
      <c r="T75" s="20">
        <v>131</v>
      </c>
      <c r="U75" s="20"/>
      <c r="V75" s="20"/>
      <c r="W75" s="20"/>
      <c r="X75" s="20"/>
      <c r="Y75" s="20"/>
      <c r="Z75" s="20"/>
      <c r="AA75" s="20"/>
      <c r="AB75" s="20"/>
      <c r="AC75" s="22">
        <f t="shared" si="3"/>
        <v>11902</v>
      </c>
      <c r="AD75" s="22">
        <f t="shared" si="4"/>
        <v>29721</v>
      </c>
    </row>
    <row r="76" spans="1:30" x14ac:dyDescent="0.25">
      <c r="A76" s="13">
        <v>83</v>
      </c>
      <c r="B76" s="14" t="s">
        <v>190</v>
      </c>
      <c r="C76" s="26" t="s">
        <v>191</v>
      </c>
      <c r="D76" s="14" t="s">
        <v>42</v>
      </c>
      <c r="E76" s="20">
        <v>1351154</v>
      </c>
      <c r="F76" s="20">
        <v>3377882</v>
      </c>
      <c r="G76" s="20">
        <v>250941</v>
      </c>
      <c r="H76" s="20">
        <v>627301</v>
      </c>
      <c r="I76" s="20">
        <v>464704</v>
      </c>
      <c r="J76" s="20">
        <v>1161760</v>
      </c>
      <c r="K76" s="20">
        <v>8872</v>
      </c>
      <c r="L76" s="20">
        <v>22160</v>
      </c>
      <c r="M76" s="20"/>
      <c r="N76" s="20"/>
      <c r="O76" s="20">
        <v>5962</v>
      </c>
      <c r="P76" s="20">
        <v>14905</v>
      </c>
      <c r="Q76" s="20">
        <v>12000</v>
      </c>
      <c r="R76" s="20">
        <v>30000</v>
      </c>
      <c r="S76" s="20">
        <v>4700</v>
      </c>
      <c r="T76" s="20">
        <v>11750</v>
      </c>
      <c r="U76" s="20"/>
      <c r="V76" s="20"/>
      <c r="W76" s="20"/>
      <c r="X76" s="20"/>
      <c r="Y76" s="20"/>
      <c r="Z76" s="20"/>
      <c r="AA76" s="20">
        <v>192</v>
      </c>
      <c r="AB76" s="20">
        <v>480</v>
      </c>
      <c r="AC76" s="22">
        <f t="shared" ref="AC76:AC139" si="5">SUM(E76+G76+I76+K76+M76+O76+Q76+S76+U76+W76+Y76+AA76)</f>
        <v>2098525</v>
      </c>
      <c r="AD76" s="22">
        <f t="shared" ref="AD76:AD139" si="6">SUM(F76+H76+J76+L76+N76+P76+R76+T76+V76+X76+Z76+AB76)</f>
        <v>5246238</v>
      </c>
    </row>
    <row r="77" spans="1:30" x14ac:dyDescent="0.25">
      <c r="A77" s="13">
        <v>84</v>
      </c>
      <c r="B77" s="14" t="s">
        <v>192</v>
      </c>
      <c r="C77" s="26" t="s">
        <v>193</v>
      </c>
      <c r="D77" s="14" t="s">
        <v>42</v>
      </c>
      <c r="E77" s="20">
        <v>8009556</v>
      </c>
      <c r="F77" s="20">
        <v>20023888</v>
      </c>
      <c r="G77" s="20">
        <v>788527</v>
      </c>
      <c r="H77" s="20">
        <v>1971265</v>
      </c>
      <c r="I77" s="20">
        <v>995813</v>
      </c>
      <c r="J77" s="20">
        <v>2489532</v>
      </c>
      <c r="K77" s="20">
        <v>32714</v>
      </c>
      <c r="L77" s="20">
        <v>81760</v>
      </c>
      <c r="M77" s="20"/>
      <c r="N77" s="20"/>
      <c r="O77" s="20">
        <v>9584</v>
      </c>
      <c r="P77" s="20">
        <v>23958</v>
      </c>
      <c r="Q77" s="20">
        <v>50488</v>
      </c>
      <c r="R77" s="20">
        <v>126220</v>
      </c>
      <c r="S77" s="20">
        <v>6473</v>
      </c>
      <c r="T77" s="20">
        <v>16182</v>
      </c>
      <c r="U77" s="20"/>
      <c r="V77" s="20"/>
      <c r="W77" s="20"/>
      <c r="X77" s="20"/>
      <c r="Y77" s="20"/>
      <c r="Z77" s="20"/>
      <c r="AA77" s="20">
        <v>998</v>
      </c>
      <c r="AB77" s="20">
        <v>2492</v>
      </c>
      <c r="AC77" s="22">
        <f t="shared" si="5"/>
        <v>9894153</v>
      </c>
      <c r="AD77" s="22">
        <f t="shared" si="6"/>
        <v>24735297</v>
      </c>
    </row>
    <row r="78" spans="1:30" x14ac:dyDescent="0.25">
      <c r="A78" s="13">
        <v>85</v>
      </c>
      <c r="B78" s="14" t="s">
        <v>194</v>
      </c>
      <c r="C78" s="26" t="s">
        <v>195</v>
      </c>
      <c r="D78" s="14" t="s">
        <v>42</v>
      </c>
      <c r="E78" s="20">
        <v>73036</v>
      </c>
      <c r="F78" s="20">
        <v>182586</v>
      </c>
      <c r="G78" s="20">
        <v>8871</v>
      </c>
      <c r="H78" s="20">
        <v>22162</v>
      </c>
      <c r="I78" s="20"/>
      <c r="J78" s="20"/>
      <c r="K78" s="20">
        <v>3823</v>
      </c>
      <c r="L78" s="20">
        <v>9545</v>
      </c>
      <c r="M78" s="20"/>
      <c r="N78" s="20"/>
      <c r="O78" s="20"/>
      <c r="P78" s="20"/>
      <c r="Q78" s="20">
        <v>29360</v>
      </c>
      <c r="R78" s="20">
        <v>73400</v>
      </c>
      <c r="S78" s="20">
        <v>332</v>
      </c>
      <c r="T78" s="20">
        <v>830</v>
      </c>
      <c r="U78" s="20"/>
      <c r="V78" s="20"/>
      <c r="W78" s="20"/>
      <c r="X78" s="20"/>
      <c r="Y78" s="20"/>
      <c r="Z78" s="20"/>
      <c r="AA78" s="20"/>
      <c r="AB78" s="20"/>
      <c r="AC78" s="22">
        <f t="shared" si="5"/>
        <v>115422</v>
      </c>
      <c r="AD78" s="22">
        <f t="shared" si="6"/>
        <v>288523</v>
      </c>
    </row>
    <row r="79" spans="1:30" x14ac:dyDescent="0.25">
      <c r="A79" s="13">
        <v>86</v>
      </c>
      <c r="B79" s="14" t="s">
        <v>196</v>
      </c>
      <c r="C79" s="26" t="s">
        <v>197</v>
      </c>
      <c r="D79" s="14" t="s">
        <v>42</v>
      </c>
      <c r="E79" s="20">
        <v>224266</v>
      </c>
      <c r="F79" s="20">
        <v>560662</v>
      </c>
      <c r="G79" s="20">
        <v>23639</v>
      </c>
      <c r="H79" s="20">
        <v>59055</v>
      </c>
      <c r="I79" s="20">
        <v>31009</v>
      </c>
      <c r="J79" s="20">
        <v>77521</v>
      </c>
      <c r="K79" s="20">
        <v>5868</v>
      </c>
      <c r="L79" s="20">
        <v>14650</v>
      </c>
      <c r="M79" s="20"/>
      <c r="N79" s="20"/>
      <c r="O79" s="20"/>
      <c r="P79" s="20"/>
      <c r="Q79" s="20"/>
      <c r="R79" s="20"/>
      <c r="S79" s="20">
        <v>136</v>
      </c>
      <c r="T79" s="20">
        <v>338</v>
      </c>
      <c r="U79" s="20"/>
      <c r="V79" s="20"/>
      <c r="W79" s="20"/>
      <c r="X79" s="20"/>
      <c r="Y79" s="20"/>
      <c r="Z79" s="20"/>
      <c r="AA79" s="20">
        <v>11</v>
      </c>
      <c r="AB79" s="20">
        <v>25</v>
      </c>
      <c r="AC79" s="22">
        <f t="shared" si="5"/>
        <v>284929</v>
      </c>
      <c r="AD79" s="22">
        <f t="shared" si="6"/>
        <v>712251</v>
      </c>
    </row>
    <row r="80" spans="1:30" x14ac:dyDescent="0.25">
      <c r="A80" s="13">
        <v>87</v>
      </c>
      <c r="B80" s="14" t="s">
        <v>198</v>
      </c>
      <c r="C80" s="26" t="s">
        <v>199</v>
      </c>
      <c r="D80" s="14" t="s">
        <v>42</v>
      </c>
      <c r="E80" s="20">
        <v>10731</v>
      </c>
      <c r="F80" s="20">
        <v>26824</v>
      </c>
      <c r="G80" s="20">
        <v>4842</v>
      </c>
      <c r="H80" s="20">
        <v>12077</v>
      </c>
      <c r="I80" s="20"/>
      <c r="J80" s="20"/>
      <c r="K80" s="20">
        <v>2401</v>
      </c>
      <c r="L80" s="20">
        <v>5996</v>
      </c>
      <c r="M80" s="20"/>
      <c r="N80" s="20"/>
      <c r="O80" s="20"/>
      <c r="P80" s="20"/>
      <c r="Q80" s="20"/>
      <c r="R80" s="20"/>
      <c r="S80" s="20">
        <v>420</v>
      </c>
      <c r="T80" s="20">
        <v>1050</v>
      </c>
      <c r="U80" s="20"/>
      <c r="V80" s="20"/>
      <c r="W80" s="20"/>
      <c r="X80" s="20"/>
      <c r="Y80" s="20"/>
      <c r="Z80" s="20"/>
      <c r="AA80" s="20"/>
      <c r="AB80" s="20"/>
      <c r="AC80" s="22">
        <f t="shared" si="5"/>
        <v>18394</v>
      </c>
      <c r="AD80" s="22">
        <f t="shared" si="6"/>
        <v>45947</v>
      </c>
    </row>
    <row r="81" spans="1:30" x14ac:dyDescent="0.25">
      <c r="A81" s="13">
        <v>90</v>
      </c>
      <c r="B81" s="14" t="s">
        <v>200</v>
      </c>
      <c r="C81" s="26" t="s">
        <v>201</v>
      </c>
      <c r="D81" s="14" t="s">
        <v>42</v>
      </c>
      <c r="E81" s="20">
        <v>55192</v>
      </c>
      <c r="F81" s="20">
        <v>137980</v>
      </c>
      <c r="G81" s="20">
        <v>49676</v>
      </c>
      <c r="H81" s="20">
        <v>124059</v>
      </c>
      <c r="I81" s="20"/>
      <c r="J81" s="20"/>
      <c r="K81" s="20">
        <v>8222</v>
      </c>
      <c r="L81" s="20">
        <v>20544</v>
      </c>
      <c r="M81" s="20">
        <v>5508</v>
      </c>
      <c r="N81" s="20">
        <v>13770</v>
      </c>
      <c r="O81" s="20"/>
      <c r="P81" s="20"/>
      <c r="Q81" s="20"/>
      <c r="R81" s="20"/>
      <c r="S81" s="20">
        <v>126</v>
      </c>
      <c r="T81" s="20">
        <v>315</v>
      </c>
      <c r="U81" s="20"/>
      <c r="V81" s="20"/>
      <c r="W81" s="20"/>
      <c r="X81" s="20"/>
      <c r="Y81" s="20"/>
      <c r="Z81" s="20"/>
      <c r="AA81" s="20"/>
      <c r="AB81" s="20"/>
      <c r="AC81" s="22">
        <f t="shared" si="5"/>
        <v>118724</v>
      </c>
      <c r="AD81" s="22">
        <f t="shared" si="6"/>
        <v>296668</v>
      </c>
    </row>
    <row r="82" spans="1:30" x14ac:dyDescent="0.25">
      <c r="A82" s="13">
        <v>91</v>
      </c>
      <c r="B82" s="14" t="s">
        <v>202</v>
      </c>
      <c r="C82" s="26" t="s">
        <v>203</v>
      </c>
      <c r="D82" s="14" t="s">
        <v>42</v>
      </c>
      <c r="E82" s="20">
        <v>354120</v>
      </c>
      <c r="F82" s="20">
        <v>885300</v>
      </c>
      <c r="G82" s="20">
        <v>237820</v>
      </c>
      <c r="H82" s="20">
        <v>594492</v>
      </c>
      <c r="I82" s="20">
        <v>24824</v>
      </c>
      <c r="J82" s="20">
        <v>62060</v>
      </c>
      <c r="K82" s="20">
        <v>2355</v>
      </c>
      <c r="L82" s="20">
        <v>5874</v>
      </c>
      <c r="M82" s="20"/>
      <c r="N82" s="20"/>
      <c r="O82" s="20"/>
      <c r="P82" s="20"/>
      <c r="Q82" s="20"/>
      <c r="R82" s="20"/>
      <c r="S82" s="20">
        <v>6</v>
      </c>
      <c r="T82" s="20">
        <v>13</v>
      </c>
      <c r="U82" s="20">
        <v>1944</v>
      </c>
      <c r="V82" s="20">
        <v>4860</v>
      </c>
      <c r="W82" s="20"/>
      <c r="X82" s="20"/>
      <c r="Y82" s="20"/>
      <c r="Z82" s="20"/>
      <c r="AA82" s="20"/>
      <c r="AB82" s="20"/>
      <c r="AC82" s="22">
        <f t="shared" si="5"/>
        <v>621069</v>
      </c>
      <c r="AD82" s="22">
        <f t="shared" si="6"/>
        <v>1552599</v>
      </c>
    </row>
    <row r="83" spans="1:30" x14ac:dyDescent="0.25">
      <c r="A83" s="13">
        <v>92</v>
      </c>
      <c r="B83" s="14" t="s">
        <v>204</v>
      </c>
      <c r="C83" s="26" t="s">
        <v>205</v>
      </c>
      <c r="D83" s="14" t="s">
        <v>42</v>
      </c>
      <c r="E83" s="20">
        <v>3339364</v>
      </c>
      <c r="F83" s="20">
        <v>8348406</v>
      </c>
      <c r="G83" s="20">
        <v>1686116</v>
      </c>
      <c r="H83" s="20">
        <v>4215251</v>
      </c>
      <c r="I83" s="20">
        <v>1200000</v>
      </c>
      <c r="J83" s="20">
        <v>3000000</v>
      </c>
      <c r="K83" s="20">
        <v>7205</v>
      </c>
      <c r="L83" s="20">
        <v>17999</v>
      </c>
      <c r="M83" s="20"/>
      <c r="N83" s="20"/>
      <c r="O83" s="20">
        <v>12690</v>
      </c>
      <c r="P83" s="20">
        <v>31724</v>
      </c>
      <c r="Q83" s="20">
        <v>214952</v>
      </c>
      <c r="R83" s="20">
        <v>537380</v>
      </c>
      <c r="S83" s="20">
        <v>19988</v>
      </c>
      <c r="T83" s="20">
        <v>49970</v>
      </c>
      <c r="U83" s="20">
        <v>6480</v>
      </c>
      <c r="V83" s="20">
        <v>16200</v>
      </c>
      <c r="W83" s="20"/>
      <c r="X83" s="20"/>
      <c r="Y83" s="20"/>
      <c r="Z83" s="20"/>
      <c r="AA83" s="20">
        <v>320</v>
      </c>
      <c r="AB83" s="20">
        <v>800</v>
      </c>
      <c r="AC83" s="22">
        <f t="shared" si="5"/>
        <v>6487115</v>
      </c>
      <c r="AD83" s="22">
        <f t="shared" si="6"/>
        <v>16217730</v>
      </c>
    </row>
    <row r="84" spans="1:30" x14ac:dyDescent="0.25">
      <c r="A84" s="13">
        <v>93</v>
      </c>
      <c r="B84" s="14" t="s">
        <v>206</v>
      </c>
      <c r="C84" s="26" t="s">
        <v>207</v>
      </c>
      <c r="D84" s="14" t="s">
        <v>42</v>
      </c>
      <c r="E84" s="20">
        <v>8584832</v>
      </c>
      <c r="F84" s="20">
        <v>21462080</v>
      </c>
      <c r="G84" s="20">
        <v>6135391</v>
      </c>
      <c r="H84" s="20">
        <v>15338446</v>
      </c>
      <c r="I84" s="20">
        <v>960000</v>
      </c>
      <c r="J84" s="20">
        <v>2400000</v>
      </c>
      <c r="K84" s="20">
        <v>664</v>
      </c>
      <c r="L84" s="20">
        <v>1658</v>
      </c>
      <c r="M84" s="20"/>
      <c r="N84" s="20"/>
      <c r="O84" s="20"/>
      <c r="P84" s="20"/>
      <c r="Q84" s="20"/>
      <c r="R84" s="20"/>
      <c r="S84" s="20">
        <v>1721</v>
      </c>
      <c r="T84" s="20">
        <v>4302</v>
      </c>
      <c r="U84" s="20">
        <v>6480</v>
      </c>
      <c r="V84" s="20">
        <v>16200</v>
      </c>
      <c r="W84" s="20"/>
      <c r="X84" s="20"/>
      <c r="Y84" s="20"/>
      <c r="Z84" s="20"/>
      <c r="AA84" s="20">
        <v>80</v>
      </c>
      <c r="AB84" s="20">
        <v>200</v>
      </c>
      <c r="AC84" s="22">
        <f t="shared" si="5"/>
        <v>15689168</v>
      </c>
      <c r="AD84" s="22">
        <f t="shared" si="6"/>
        <v>39222886</v>
      </c>
    </row>
    <row r="85" spans="1:30" x14ac:dyDescent="0.25">
      <c r="A85" s="13">
        <v>94</v>
      </c>
      <c r="B85" s="14" t="s">
        <v>208</v>
      </c>
      <c r="C85" s="26" t="s">
        <v>209</v>
      </c>
      <c r="D85" s="14" t="s">
        <v>42</v>
      </c>
      <c r="E85" s="20">
        <v>249614</v>
      </c>
      <c r="F85" s="20">
        <v>624034</v>
      </c>
      <c r="G85" s="20">
        <v>64043</v>
      </c>
      <c r="H85" s="20">
        <v>160079</v>
      </c>
      <c r="I85" s="20"/>
      <c r="J85" s="20"/>
      <c r="K85" s="20">
        <v>730</v>
      </c>
      <c r="L85" s="20">
        <v>1814</v>
      </c>
      <c r="M85" s="20"/>
      <c r="N85" s="20"/>
      <c r="O85" s="20"/>
      <c r="P85" s="20"/>
      <c r="Q85" s="20"/>
      <c r="R85" s="20"/>
      <c r="S85" s="20">
        <v>2510</v>
      </c>
      <c r="T85" s="20">
        <v>6275</v>
      </c>
      <c r="U85" s="20"/>
      <c r="V85" s="20"/>
      <c r="W85" s="20"/>
      <c r="X85" s="20"/>
      <c r="Y85" s="20"/>
      <c r="Z85" s="20"/>
      <c r="AA85" s="20"/>
      <c r="AB85" s="20"/>
      <c r="AC85" s="22">
        <f t="shared" si="5"/>
        <v>316897</v>
      </c>
      <c r="AD85" s="22">
        <f t="shared" si="6"/>
        <v>792202</v>
      </c>
    </row>
    <row r="86" spans="1:30" x14ac:dyDescent="0.25">
      <c r="A86" s="13">
        <v>95</v>
      </c>
      <c r="B86" s="14" t="s">
        <v>210</v>
      </c>
      <c r="C86" s="26" t="s">
        <v>211</v>
      </c>
      <c r="D86" s="14" t="s">
        <v>42</v>
      </c>
      <c r="E86" s="20">
        <v>497506</v>
      </c>
      <c r="F86" s="20">
        <v>1243762</v>
      </c>
      <c r="G86" s="20">
        <v>40280</v>
      </c>
      <c r="H86" s="20">
        <v>100647</v>
      </c>
      <c r="I86" s="20">
        <v>152093</v>
      </c>
      <c r="J86" s="20">
        <v>380230</v>
      </c>
      <c r="K86" s="20">
        <v>2838</v>
      </c>
      <c r="L86" s="20">
        <v>7083</v>
      </c>
      <c r="M86" s="20">
        <v>16372</v>
      </c>
      <c r="N86" s="20">
        <v>40926</v>
      </c>
      <c r="O86" s="20"/>
      <c r="P86" s="20"/>
      <c r="Q86" s="20"/>
      <c r="R86" s="20"/>
      <c r="S86" s="20">
        <v>44</v>
      </c>
      <c r="T86" s="20">
        <v>110</v>
      </c>
      <c r="U86" s="20"/>
      <c r="V86" s="20"/>
      <c r="W86" s="20"/>
      <c r="X86" s="20"/>
      <c r="Y86" s="20"/>
      <c r="Z86" s="20"/>
      <c r="AA86" s="20"/>
      <c r="AB86" s="20"/>
      <c r="AC86" s="22">
        <f t="shared" si="5"/>
        <v>709133</v>
      </c>
      <c r="AD86" s="22">
        <f t="shared" si="6"/>
        <v>1772758</v>
      </c>
    </row>
    <row r="87" spans="1:30" x14ac:dyDescent="0.25">
      <c r="A87" s="13">
        <v>97</v>
      </c>
      <c r="B87" s="14" t="s">
        <v>212</v>
      </c>
      <c r="C87" s="26" t="s">
        <v>213</v>
      </c>
      <c r="D87" s="14" t="s">
        <v>42</v>
      </c>
      <c r="E87" s="20">
        <v>3895</v>
      </c>
      <c r="F87" s="20">
        <v>9736</v>
      </c>
      <c r="G87" s="20">
        <v>523</v>
      </c>
      <c r="H87" s="20">
        <v>1293</v>
      </c>
      <c r="I87" s="20"/>
      <c r="J87" s="20"/>
      <c r="K87" s="20">
        <v>2342</v>
      </c>
      <c r="L87" s="20">
        <v>5854</v>
      </c>
      <c r="M87" s="20"/>
      <c r="N87" s="20"/>
      <c r="O87" s="20"/>
      <c r="P87" s="20"/>
      <c r="Q87" s="20"/>
      <c r="R87" s="20"/>
      <c r="S87" s="20"/>
      <c r="T87" s="20"/>
      <c r="U87" s="20"/>
      <c r="V87" s="20"/>
      <c r="W87" s="20"/>
      <c r="X87" s="20"/>
      <c r="Y87" s="20"/>
      <c r="Z87" s="20"/>
      <c r="AA87" s="20"/>
      <c r="AB87" s="20"/>
      <c r="AC87" s="22">
        <f t="shared" si="5"/>
        <v>6760</v>
      </c>
      <c r="AD87" s="22">
        <f t="shared" si="6"/>
        <v>16883</v>
      </c>
    </row>
    <row r="88" spans="1:30" x14ac:dyDescent="0.25">
      <c r="A88" s="13">
        <v>98</v>
      </c>
      <c r="B88" s="14" t="s">
        <v>214</v>
      </c>
      <c r="C88" s="26" t="s">
        <v>215</v>
      </c>
      <c r="D88" s="14" t="s">
        <v>42</v>
      </c>
      <c r="E88" s="20">
        <v>80412</v>
      </c>
      <c r="F88" s="20">
        <v>201028</v>
      </c>
      <c r="G88" s="20">
        <v>74217</v>
      </c>
      <c r="H88" s="20">
        <v>185499</v>
      </c>
      <c r="I88" s="20">
        <v>3492</v>
      </c>
      <c r="J88" s="20">
        <v>8730</v>
      </c>
      <c r="K88" s="20">
        <v>2034</v>
      </c>
      <c r="L88" s="20">
        <v>5071</v>
      </c>
      <c r="M88" s="20">
        <v>4020</v>
      </c>
      <c r="N88" s="20">
        <v>10048</v>
      </c>
      <c r="O88" s="20"/>
      <c r="P88" s="20"/>
      <c r="Q88" s="20"/>
      <c r="R88" s="20"/>
      <c r="S88" s="20"/>
      <c r="T88" s="20"/>
      <c r="U88" s="20"/>
      <c r="V88" s="20"/>
      <c r="W88" s="20"/>
      <c r="X88" s="20"/>
      <c r="Y88" s="20"/>
      <c r="Z88" s="20"/>
      <c r="AA88" s="20"/>
      <c r="AB88" s="20"/>
      <c r="AC88" s="22">
        <f t="shared" si="5"/>
        <v>164175</v>
      </c>
      <c r="AD88" s="22">
        <f t="shared" si="6"/>
        <v>410376</v>
      </c>
    </row>
    <row r="89" spans="1:30" x14ac:dyDescent="0.25">
      <c r="A89" s="13">
        <v>99</v>
      </c>
      <c r="B89" s="14" t="s">
        <v>216</v>
      </c>
      <c r="C89" s="26" t="s">
        <v>217</v>
      </c>
      <c r="D89" s="14" t="s">
        <v>42</v>
      </c>
      <c r="E89" s="20">
        <v>222</v>
      </c>
      <c r="F89" s="20">
        <v>552</v>
      </c>
      <c r="G89" s="20">
        <v>3372</v>
      </c>
      <c r="H89" s="20">
        <v>8417</v>
      </c>
      <c r="I89" s="20">
        <v>508</v>
      </c>
      <c r="J89" s="20">
        <v>1270</v>
      </c>
      <c r="K89" s="20">
        <v>368</v>
      </c>
      <c r="L89" s="20">
        <v>920</v>
      </c>
      <c r="M89" s="20"/>
      <c r="N89" s="20"/>
      <c r="O89" s="20"/>
      <c r="P89" s="20"/>
      <c r="Q89" s="20"/>
      <c r="R89" s="20"/>
      <c r="S89" s="20"/>
      <c r="T89" s="20"/>
      <c r="U89" s="20"/>
      <c r="V89" s="20"/>
      <c r="W89" s="20"/>
      <c r="X89" s="20"/>
      <c r="Y89" s="20"/>
      <c r="Z89" s="20"/>
      <c r="AA89" s="20"/>
      <c r="AB89" s="20"/>
      <c r="AC89" s="22">
        <f t="shared" si="5"/>
        <v>4470</v>
      </c>
      <c r="AD89" s="22">
        <f t="shared" si="6"/>
        <v>11159</v>
      </c>
    </row>
    <row r="90" spans="1:30" x14ac:dyDescent="0.25">
      <c r="A90" s="13">
        <v>101</v>
      </c>
      <c r="B90" s="14" t="s">
        <v>218</v>
      </c>
      <c r="C90" s="26" t="s">
        <v>219</v>
      </c>
      <c r="D90" s="14" t="s">
        <v>42</v>
      </c>
      <c r="E90" s="20">
        <v>472600</v>
      </c>
      <c r="F90" s="20">
        <v>1181500</v>
      </c>
      <c r="G90" s="20">
        <v>227089</v>
      </c>
      <c r="H90" s="20">
        <v>567684</v>
      </c>
      <c r="I90" s="20"/>
      <c r="J90" s="20"/>
      <c r="K90" s="20">
        <v>1922</v>
      </c>
      <c r="L90" s="20">
        <v>4801</v>
      </c>
      <c r="M90" s="20"/>
      <c r="N90" s="20"/>
      <c r="O90" s="20"/>
      <c r="P90" s="20"/>
      <c r="Q90" s="20"/>
      <c r="R90" s="20"/>
      <c r="S90" s="20">
        <v>75</v>
      </c>
      <c r="T90" s="20">
        <v>187</v>
      </c>
      <c r="U90" s="20"/>
      <c r="V90" s="20"/>
      <c r="W90" s="20"/>
      <c r="X90" s="20"/>
      <c r="Y90" s="20"/>
      <c r="Z90" s="20"/>
      <c r="AA90" s="20">
        <v>36</v>
      </c>
      <c r="AB90" s="20">
        <v>90</v>
      </c>
      <c r="AC90" s="22">
        <f t="shared" si="5"/>
        <v>701722</v>
      </c>
      <c r="AD90" s="22">
        <f t="shared" si="6"/>
        <v>1754262</v>
      </c>
    </row>
    <row r="91" spans="1:30" x14ac:dyDescent="0.25">
      <c r="A91" s="13">
        <v>102</v>
      </c>
      <c r="B91" s="14" t="s">
        <v>220</v>
      </c>
      <c r="C91" s="26" t="s">
        <v>221</v>
      </c>
      <c r="D91" s="14" t="s">
        <v>42</v>
      </c>
      <c r="E91" s="20">
        <v>1246174</v>
      </c>
      <c r="F91" s="20">
        <v>3115434</v>
      </c>
      <c r="G91" s="20">
        <v>897912</v>
      </c>
      <c r="H91" s="20">
        <v>2244736</v>
      </c>
      <c r="I91" s="20"/>
      <c r="J91" s="20"/>
      <c r="K91" s="20">
        <v>13953</v>
      </c>
      <c r="L91" s="20">
        <v>34856</v>
      </c>
      <c r="M91" s="20"/>
      <c r="N91" s="20"/>
      <c r="O91" s="20"/>
      <c r="P91" s="20"/>
      <c r="Q91" s="20"/>
      <c r="R91" s="20"/>
      <c r="S91" s="20">
        <v>1686</v>
      </c>
      <c r="T91" s="20">
        <v>4215</v>
      </c>
      <c r="U91" s="20"/>
      <c r="V91" s="20"/>
      <c r="W91" s="20"/>
      <c r="X91" s="20"/>
      <c r="Y91" s="20"/>
      <c r="Z91" s="20"/>
      <c r="AA91" s="20">
        <v>56</v>
      </c>
      <c r="AB91" s="20">
        <v>140</v>
      </c>
      <c r="AC91" s="22">
        <f t="shared" si="5"/>
        <v>2159781</v>
      </c>
      <c r="AD91" s="22">
        <f t="shared" si="6"/>
        <v>5399381</v>
      </c>
    </row>
    <row r="92" spans="1:30" x14ac:dyDescent="0.25">
      <c r="A92" s="13">
        <v>103</v>
      </c>
      <c r="B92" s="14" t="s">
        <v>222</v>
      </c>
      <c r="C92" s="26" t="s">
        <v>223</v>
      </c>
      <c r="D92" s="14" t="s">
        <v>42</v>
      </c>
      <c r="E92" s="20">
        <v>2897376</v>
      </c>
      <c r="F92" s="20">
        <v>7243436</v>
      </c>
      <c r="G92" s="20">
        <v>614057</v>
      </c>
      <c r="H92" s="20">
        <v>1535111</v>
      </c>
      <c r="I92" s="20">
        <v>345658</v>
      </c>
      <c r="J92" s="20">
        <v>864142</v>
      </c>
      <c r="K92" s="20">
        <v>15342</v>
      </c>
      <c r="L92" s="20">
        <v>38322</v>
      </c>
      <c r="M92" s="20"/>
      <c r="N92" s="20"/>
      <c r="O92" s="20">
        <v>5170</v>
      </c>
      <c r="P92" s="20">
        <v>12925</v>
      </c>
      <c r="Q92" s="20"/>
      <c r="R92" s="20"/>
      <c r="S92" s="20">
        <v>780</v>
      </c>
      <c r="T92" s="20">
        <v>1950</v>
      </c>
      <c r="U92" s="20"/>
      <c r="V92" s="20"/>
      <c r="W92" s="20"/>
      <c r="X92" s="20"/>
      <c r="Y92" s="20"/>
      <c r="Z92" s="20"/>
      <c r="AA92" s="20">
        <v>52</v>
      </c>
      <c r="AB92" s="20">
        <v>130</v>
      </c>
      <c r="AC92" s="22">
        <f t="shared" si="5"/>
        <v>3878435</v>
      </c>
      <c r="AD92" s="22">
        <f t="shared" si="6"/>
        <v>9696016</v>
      </c>
    </row>
    <row r="93" spans="1:30" x14ac:dyDescent="0.25">
      <c r="A93" s="13">
        <v>104</v>
      </c>
      <c r="B93" s="14" t="s">
        <v>224</v>
      </c>
      <c r="C93" s="26" t="s">
        <v>225</v>
      </c>
      <c r="D93" s="14" t="s">
        <v>42</v>
      </c>
      <c r="E93" s="20">
        <v>489358</v>
      </c>
      <c r="F93" s="20">
        <v>1223394</v>
      </c>
      <c r="G93" s="20">
        <v>183666</v>
      </c>
      <c r="H93" s="20">
        <v>459121</v>
      </c>
      <c r="I93" s="20">
        <v>8239</v>
      </c>
      <c r="J93" s="20">
        <v>20597</v>
      </c>
      <c r="K93" s="20">
        <v>4018</v>
      </c>
      <c r="L93" s="20">
        <v>10041</v>
      </c>
      <c r="M93" s="20"/>
      <c r="N93" s="20"/>
      <c r="O93" s="20"/>
      <c r="P93" s="20"/>
      <c r="Q93" s="20"/>
      <c r="R93" s="20"/>
      <c r="S93" s="20">
        <v>288</v>
      </c>
      <c r="T93" s="20">
        <v>720</v>
      </c>
      <c r="U93" s="20"/>
      <c r="V93" s="20"/>
      <c r="W93" s="20"/>
      <c r="X93" s="20"/>
      <c r="Y93" s="20"/>
      <c r="Z93" s="20"/>
      <c r="AA93" s="20">
        <v>12</v>
      </c>
      <c r="AB93" s="20">
        <v>30</v>
      </c>
      <c r="AC93" s="22">
        <f t="shared" si="5"/>
        <v>685581</v>
      </c>
      <c r="AD93" s="22">
        <f t="shared" si="6"/>
        <v>1713903</v>
      </c>
    </row>
    <row r="94" spans="1:30" x14ac:dyDescent="0.25">
      <c r="A94" s="13">
        <v>105</v>
      </c>
      <c r="B94" s="14" t="s">
        <v>226</v>
      </c>
      <c r="C94" s="26" t="s">
        <v>227</v>
      </c>
      <c r="D94" s="14" t="s">
        <v>42</v>
      </c>
      <c r="E94" s="20">
        <v>469600</v>
      </c>
      <c r="F94" s="20">
        <v>1173999</v>
      </c>
      <c r="G94" s="20">
        <v>61830</v>
      </c>
      <c r="H94" s="20">
        <v>154530</v>
      </c>
      <c r="I94" s="20">
        <v>76752</v>
      </c>
      <c r="J94" s="20">
        <v>191880</v>
      </c>
      <c r="K94" s="20">
        <v>6907</v>
      </c>
      <c r="L94" s="20">
        <v>17246</v>
      </c>
      <c r="M94" s="20"/>
      <c r="N94" s="20"/>
      <c r="O94" s="20"/>
      <c r="P94" s="20"/>
      <c r="Q94" s="20"/>
      <c r="R94" s="20"/>
      <c r="S94" s="20">
        <v>565</v>
      </c>
      <c r="T94" s="20">
        <v>1409</v>
      </c>
      <c r="U94" s="20"/>
      <c r="V94" s="20"/>
      <c r="W94" s="20"/>
      <c r="X94" s="20"/>
      <c r="Y94" s="20"/>
      <c r="Z94" s="20"/>
      <c r="AA94" s="20">
        <v>11</v>
      </c>
      <c r="AB94" s="20">
        <v>25</v>
      </c>
      <c r="AC94" s="22">
        <f t="shared" si="5"/>
        <v>615665</v>
      </c>
      <c r="AD94" s="22">
        <f t="shared" si="6"/>
        <v>1539089</v>
      </c>
    </row>
    <row r="95" spans="1:30" x14ac:dyDescent="0.25">
      <c r="A95" s="13">
        <v>106</v>
      </c>
      <c r="B95" s="14" t="s">
        <v>228</v>
      </c>
      <c r="C95" s="26" t="s">
        <v>229</v>
      </c>
      <c r="D95" s="14" t="s">
        <v>42</v>
      </c>
      <c r="E95" s="20">
        <v>6780684</v>
      </c>
      <c r="F95" s="20">
        <v>16951708</v>
      </c>
      <c r="G95" s="20">
        <v>954046</v>
      </c>
      <c r="H95" s="20">
        <v>2385092</v>
      </c>
      <c r="I95" s="20">
        <v>1022167</v>
      </c>
      <c r="J95" s="20">
        <v>2555417</v>
      </c>
      <c r="K95" s="20">
        <v>8861</v>
      </c>
      <c r="L95" s="20">
        <v>22138</v>
      </c>
      <c r="M95" s="20"/>
      <c r="N95" s="20"/>
      <c r="O95" s="20"/>
      <c r="P95" s="20"/>
      <c r="Q95" s="20">
        <v>42604</v>
      </c>
      <c r="R95" s="20">
        <v>106510</v>
      </c>
      <c r="S95" s="20">
        <v>1916</v>
      </c>
      <c r="T95" s="20">
        <v>4790</v>
      </c>
      <c r="U95" s="20"/>
      <c r="V95" s="20"/>
      <c r="W95" s="20"/>
      <c r="X95" s="20"/>
      <c r="Y95" s="20"/>
      <c r="Z95" s="20"/>
      <c r="AA95" s="20">
        <v>48</v>
      </c>
      <c r="AB95" s="20">
        <v>120</v>
      </c>
      <c r="AC95" s="22">
        <f t="shared" si="5"/>
        <v>8810326</v>
      </c>
      <c r="AD95" s="22">
        <f t="shared" si="6"/>
        <v>22025775</v>
      </c>
    </row>
    <row r="96" spans="1:30" x14ac:dyDescent="0.25">
      <c r="A96" s="13">
        <v>108</v>
      </c>
      <c r="B96" s="14" t="s">
        <v>230</v>
      </c>
      <c r="C96" s="26" t="s">
        <v>231</v>
      </c>
      <c r="D96" s="14" t="s">
        <v>42</v>
      </c>
      <c r="E96" s="20">
        <v>25621</v>
      </c>
      <c r="F96" s="20">
        <v>64050</v>
      </c>
      <c r="G96" s="20">
        <v>2469</v>
      </c>
      <c r="H96" s="20">
        <v>6136</v>
      </c>
      <c r="I96" s="20"/>
      <c r="J96" s="20"/>
      <c r="K96" s="20">
        <v>286</v>
      </c>
      <c r="L96" s="20">
        <v>712</v>
      </c>
      <c r="M96" s="20"/>
      <c r="N96" s="20"/>
      <c r="O96" s="20"/>
      <c r="P96" s="20"/>
      <c r="Q96" s="20"/>
      <c r="R96" s="20"/>
      <c r="S96" s="20"/>
      <c r="T96" s="20"/>
      <c r="U96" s="20"/>
      <c r="V96" s="20"/>
      <c r="W96" s="20"/>
      <c r="X96" s="20"/>
      <c r="Y96" s="20"/>
      <c r="Z96" s="20"/>
      <c r="AA96" s="20"/>
      <c r="AB96" s="20"/>
      <c r="AC96" s="22">
        <f t="shared" si="5"/>
        <v>28376</v>
      </c>
      <c r="AD96" s="22">
        <f t="shared" si="6"/>
        <v>70898</v>
      </c>
    </row>
    <row r="97" spans="1:30" x14ac:dyDescent="0.25">
      <c r="A97" s="13">
        <v>109</v>
      </c>
      <c r="B97" s="14" t="s">
        <v>232</v>
      </c>
      <c r="C97" s="26" t="s">
        <v>233</v>
      </c>
      <c r="D97" s="14" t="s">
        <v>42</v>
      </c>
      <c r="E97" s="20">
        <v>2263165</v>
      </c>
      <c r="F97" s="20">
        <v>5657910</v>
      </c>
      <c r="G97" s="20">
        <v>3603107</v>
      </c>
      <c r="H97" s="20">
        <v>9007729</v>
      </c>
      <c r="I97" s="20">
        <v>164000</v>
      </c>
      <c r="J97" s="20">
        <v>410000</v>
      </c>
      <c r="K97" s="20">
        <v>1495</v>
      </c>
      <c r="L97" s="20">
        <v>3726</v>
      </c>
      <c r="M97" s="20"/>
      <c r="N97" s="20"/>
      <c r="O97" s="20"/>
      <c r="P97" s="20"/>
      <c r="Q97" s="20"/>
      <c r="R97" s="20"/>
      <c r="S97" s="20">
        <v>932</v>
      </c>
      <c r="T97" s="20">
        <v>2328</v>
      </c>
      <c r="U97" s="20"/>
      <c r="V97" s="20"/>
      <c r="W97" s="20"/>
      <c r="X97" s="20"/>
      <c r="Y97" s="20"/>
      <c r="Z97" s="20"/>
      <c r="AA97" s="20"/>
      <c r="AB97" s="20"/>
      <c r="AC97" s="22">
        <f t="shared" si="5"/>
        <v>6032699</v>
      </c>
      <c r="AD97" s="22">
        <f t="shared" si="6"/>
        <v>15081693</v>
      </c>
    </row>
    <row r="98" spans="1:30" x14ac:dyDescent="0.25">
      <c r="A98" s="13">
        <v>110</v>
      </c>
      <c r="B98" s="14" t="s">
        <v>234</v>
      </c>
      <c r="C98" s="26" t="s">
        <v>235</v>
      </c>
      <c r="D98" s="14" t="s">
        <v>42</v>
      </c>
      <c r="E98" s="20">
        <v>102434</v>
      </c>
      <c r="F98" s="20">
        <v>256084</v>
      </c>
      <c r="G98" s="20">
        <v>3479</v>
      </c>
      <c r="H98" s="20">
        <v>8686</v>
      </c>
      <c r="I98" s="20">
        <v>42120</v>
      </c>
      <c r="J98" s="20">
        <v>105300</v>
      </c>
      <c r="K98" s="20">
        <v>12228</v>
      </c>
      <c r="L98" s="20">
        <v>30561</v>
      </c>
      <c r="M98" s="20"/>
      <c r="N98" s="20"/>
      <c r="O98" s="20"/>
      <c r="P98" s="20"/>
      <c r="Q98" s="20"/>
      <c r="R98" s="20"/>
      <c r="S98" s="20"/>
      <c r="T98" s="20"/>
      <c r="U98" s="20"/>
      <c r="V98" s="20"/>
      <c r="W98" s="20"/>
      <c r="X98" s="20"/>
      <c r="Y98" s="20"/>
      <c r="Z98" s="20"/>
      <c r="AA98" s="20"/>
      <c r="AB98" s="20"/>
      <c r="AC98" s="22">
        <f t="shared" si="5"/>
        <v>160261</v>
      </c>
      <c r="AD98" s="22">
        <f t="shared" si="6"/>
        <v>400631</v>
      </c>
    </row>
    <row r="99" spans="1:30" x14ac:dyDescent="0.25">
      <c r="A99" s="13">
        <v>111</v>
      </c>
      <c r="B99" s="14" t="s">
        <v>236</v>
      </c>
      <c r="C99" s="26" t="s">
        <v>237</v>
      </c>
      <c r="D99" s="14" t="s">
        <v>42</v>
      </c>
      <c r="E99" s="20">
        <v>88508</v>
      </c>
      <c r="F99" s="20">
        <v>221267</v>
      </c>
      <c r="G99" s="20">
        <v>116137</v>
      </c>
      <c r="H99" s="20">
        <v>290307</v>
      </c>
      <c r="I99" s="20">
        <v>77264</v>
      </c>
      <c r="J99" s="20">
        <v>193160</v>
      </c>
      <c r="K99" s="20">
        <v>2139</v>
      </c>
      <c r="L99" s="20">
        <v>5335</v>
      </c>
      <c r="M99" s="20">
        <v>3764</v>
      </c>
      <c r="N99" s="20">
        <v>9408</v>
      </c>
      <c r="O99" s="20"/>
      <c r="P99" s="20"/>
      <c r="Q99" s="20"/>
      <c r="R99" s="20"/>
      <c r="S99" s="20">
        <v>12</v>
      </c>
      <c r="T99" s="20">
        <v>30</v>
      </c>
      <c r="U99" s="20"/>
      <c r="V99" s="20"/>
      <c r="W99" s="20"/>
      <c r="X99" s="20"/>
      <c r="Y99" s="20"/>
      <c r="Z99" s="20"/>
      <c r="AA99" s="20"/>
      <c r="AB99" s="20"/>
      <c r="AC99" s="22">
        <f t="shared" si="5"/>
        <v>287824</v>
      </c>
      <c r="AD99" s="22">
        <f t="shared" si="6"/>
        <v>719507</v>
      </c>
    </row>
    <row r="100" spans="1:30" x14ac:dyDescent="0.25">
      <c r="A100" s="13">
        <v>113</v>
      </c>
      <c r="B100" s="14" t="s">
        <v>238</v>
      </c>
      <c r="C100" s="26" t="s">
        <v>239</v>
      </c>
      <c r="D100" s="14" t="s">
        <v>42</v>
      </c>
      <c r="E100" s="20">
        <v>14792</v>
      </c>
      <c r="F100" s="20">
        <v>36980</v>
      </c>
      <c r="G100" s="20">
        <v>17750</v>
      </c>
      <c r="H100" s="20">
        <v>44247</v>
      </c>
      <c r="I100" s="20">
        <v>6028</v>
      </c>
      <c r="J100" s="20">
        <v>15070</v>
      </c>
      <c r="K100" s="20">
        <v>17558</v>
      </c>
      <c r="L100" s="20">
        <v>43869</v>
      </c>
      <c r="M100" s="20"/>
      <c r="N100" s="20"/>
      <c r="O100" s="20"/>
      <c r="P100" s="20"/>
      <c r="Q100" s="20"/>
      <c r="R100" s="20"/>
      <c r="S100" s="20"/>
      <c r="T100" s="20"/>
      <c r="U100" s="20"/>
      <c r="V100" s="20"/>
      <c r="W100" s="20"/>
      <c r="X100" s="20"/>
      <c r="Y100" s="20"/>
      <c r="Z100" s="20"/>
      <c r="AA100" s="20"/>
      <c r="AB100" s="20"/>
      <c r="AC100" s="22">
        <f t="shared" si="5"/>
        <v>56128</v>
      </c>
      <c r="AD100" s="22">
        <f t="shared" si="6"/>
        <v>140166</v>
      </c>
    </row>
    <row r="101" spans="1:30" x14ac:dyDescent="0.25">
      <c r="A101" s="13">
        <v>114</v>
      </c>
      <c r="B101" s="14" t="s">
        <v>240</v>
      </c>
      <c r="C101" s="26" t="s">
        <v>241</v>
      </c>
      <c r="D101" s="14" t="s">
        <v>42</v>
      </c>
      <c r="E101" s="20">
        <v>2630</v>
      </c>
      <c r="F101" s="20">
        <v>6572</v>
      </c>
      <c r="G101" s="20">
        <v>183</v>
      </c>
      <c r="H101" s="20">
        <v>453</v>
      </c>
      <c r="I101" s="20">
        <v>165</v>
      </c>
      <c r="J101" s="20">
        <v>411</v>
      </c>
      <c r="K101" s="20">
        <v>372</v>
      </c>
      <c r="L101" s="20">
        <v>924</v>
      </c>
      <c r="M101" s="20"/>
      <c r="N101" s="20"/>
      <c r="O101" s="20"/>
      <c r="P101" s="20"/>
      <c r="Q101" s="20"/>
      <c r="R101" s="20"/>
      <c r="S101" s="20"/>
      <c r="T101" s="20"/>
      <c r="U101" s="20"/>
      <c r="V101" s="20"/>
      <c r="W101" s="20"/>
      <c r="X101" s="20"/>
      <c r="Y101" s="20"/>
      <c r="Z101" s="20"/>
      <c r="AA101" s="20"/>
      <c r="AB101" s="20"/>
      <c r="AC101" s="22">
        <f t="shared" si="5"/>
        <v>3350</v>
      </c>
      <c r="AD101" s="22">
        <f t="shared" si="6"/>
        <v>8360</v>
      </c>
    </row>
    <row r="102" spans="1:30" x14ac:dyDescent="0.25">
      <c r="A102" s="13">
        <v>116</v>
      </c>
      <c r="B102" s="14" t="s">
        <v>242</v>
      </c>
      <c r="C102" s="26" t="s">
        <v>243</v>
      </c>
      <c r="D102" s="14" t="s">
        <v>43</v>
      </c>
      <c r="E102" s="20">
        <v>426058</v>
      </c>
      <c r="F102" s="20">
        <v>1065144</v>
      </c>
      <c r="G102" s="20">
        <v>22310</v>
      </c>
      <c r="H102" s="20">
        <v>55699</v>
      </c>
      <c r="I102" s="20">
        <v>94840</v>
      </c>
      <c r="J102" s="20">
        <v>237099</v>
      </c>
      <c r="K102" s="20">
        <v>24840</v>
      </c>
      <c r="L102" s="20">
        <v>62059</v>
      </c>
      <c r="M102" s="20"/>
      <c r="N102" s="20"/>
      <c r="O102" s="20"/>
      <c r="P102" s="20"/>
      <c r="Q102" s="20"/>
      <c r="R102" s="20"/>
      <c r="S102" s="20">
        <v>130</v>
      </c>
      <c r="T102" s="20">
        <v>322</v>
      </c>
      <c r="U102" s="20"/>
      <c r="V102" s="20"/>
      <c r="W102" s="20"/>
      <c r="X102" s="20"/>
      <c r="Y102" s="20"/>
      <c r="Z102" s="20"/>
      <c r="AA102" s="20"/>
      <c r="AB102" s="20"/>
      <c r="AC102" s="22">
        <f t="shared" si="5"/>
        <v>568178</v>
      </c>
      <c r="AD102" s="22">
        <f t="shared" si="6"/>
        <v>1420323</v>
      </c>
    </row>
    <row r="103" spans="1:30" x14ac:dyDescent="0.25">
      <c r="A103" s="13">
        <v>117</v>
      </c>
      <c r="B103" s="14" t="s">
        <v>244</v>
      </c>
      <c r="C103" s="26" t="s">
        <v>245</v>
      </c>
      <c r="D103" s="14" t="s">
        <v>43</v>
      </c>
      <c r="E103" s="20">
        <v>77208</v>
      </c>
      <c r="F103" s="20">
        <v>193016</v>
      </c>
      <c r="G103" s="20">
        <v>33457</v>
      </c>
      <c r="H103" s="20">
        <v>83570</v>
      </c>
      <c r="I103" s="20">
        <v>11321</v>
      </c>
      <c r="J103" s="20">
        <v>28301</v>
      </c>
      <c r="K103" s="20">
        <v>21286</v>
      </c>
      <c r="L103" s="20">
        <v>53198</v>
      </c>
      <c r="M103" s="20">
        <v>36</v>
      </c>
      <c r="N103" s="20">
        <v>90</v>
      </c>
      <c r="O103" s="20"/>
      <c r="P103" s="20"/>
      <c r="Q103" s="20"/>
      <c r="R103" s="20"/>
      <c r="S103" s="20"/>
      <c r="T103" s="20"/>
      <c r="U103" s="20"/>
      <c r="V103" s="20"/>
      <c r="W103" s="20"/>
      <c r="X103" s="20"/>
      <c r="Y103" s="20"/>
      <c r="Z103" s="20"/>
      <c r="AA103" s="20"/>
      <c r="AB103" s="20"/>
      <c r="AC103" s="22">
        <f t="shared" si="5"/>
        <v>143308</v>
      </c>
      <c r="AD103" s="22">
        <f t="shared" si="6"/>
        <v>358175</v>
      </c>
    </row>
    <row r="104" spans="1:30" x14ac:dyDescent="0.25">
      <c r="A104" s="13">
        <v>118</v>
      </c>
      <c r="B104" s="14" t="s">
        <v>246</v>
      </c>
      <c r="C104" s="26" t="s">
        <v>247</v>
      </c>
      <c r="D104" s="14" t="s">
        <v>43</v>
      </c>
      <c r="E104" s="20">
        <v>37339</v>
      </c>
      <c r="F104" s="20">
        <v>93346</v>
      </c>
      <c r="G104" s="20">
        <v>30049</v>
      </c>
      <c r="H104" s="20">
        <v>75018</v>
      </c>
      <c r="I104" s="20">
        <v>7784</v>
      </c>
      <c r="J104" s="20">
        <v>19457</v>
      </c>
      <c r="K104" s="20">
        <v>14092</v>
      </c>
      <c r="L104" s="20">
        <v>35211</v>
      </c>
      <c r="M104" s="20"/>
      <c r="N104" s="20"/>
      <c r="O104" s="20"/>
      <c r="P104" s="20"/>
      <c r="Q104" s="20"/>
      <c r="R104" s="20"/>
      <c r="S104" s="20"/>
      <c r="T104" s="20"/>
      <c r="U104" s="20"/>
      <c r="V104" s="20"/>
      <c r="W104" s="20"/>
      <c r="X104" s="20"/>
      <c r="Y104" s="20"/>
      <c r="Z104" s="20"/>
      <c r="AA104" s="20"/>
      <c r="AB104" s="20"/>
      <c r="AC104" s="22">
        <f t="shared" si="5"/>
        <v>89264</v>
      </c>
      <c r="AD104" s="22">
        <f t="shared" si="6"/>
        <v>223032</v>
      </c>
    </row>
    <row r="105" spans="1:30" x14ac:dyDescent="0.25">
      <c r="A105" s="13">
        <v>119</v>
      </c>
      <c r="B105" s="14" t="s">
        <v>248</v>
      </c>
      <c r="C105" s="26" t="s">
        <v>249</v>
      </c>
      <c r="D105" s="14" t="s">
        <v>43</v>
      </c>
      <c r="E105" s="20">
        <v>45896</v>
      </c>
      <c r="F105" s="20">
        <v>114736</v>
      </c>
      <c r="G105" s="20">
        <v>38983</v>
      </c>
      <c r="H105" s="20">
        <v>97318</v>
      </c>
      <c r="I105" s="20">
        <v>14709</v>
      </c>
      <c r="J105" s="20">
        <v>36771</v>
      </c>
      <c r="K105" s="20">
        <v>19401</v>
      </c>
      <c r="L105" s="20">
        <v>48471</v>
      </c>
      <c r="M105" s="20"/>
      <c r="N105" s="20"/>
      <c r="O105" s="20"/>
      <c r="P105" s="20"/>
      <c r="Q105" s="20"/>
      <c r="R105" s="20"/>
      <c r="S105" s="20"/>
      <c r="T105" s="20"/>
      <c r="U105" s="20"/>
      <c r="V105" s="20"/>
      <c r="W105" s="20"/>
      <c r="X105" s="20"/>
      <c r="Y105" s="20"/>
      <c r="Z105" s="20"/>
      <c r="AA105" s="20"/>
      <c r="AB105" s="20"/>
      <c r="AC105" s="22">
        <f t="shared" si="5"/>
        <v>118989</v>
      </c>
      <c r="AD105" s="22">
        <f t="shared" si="6"/>
        <v>297296</v>
      </c>
    </row>
    <row r="106" spans="1:30" x14ac:dyDescent="0.25">
      <c r="A106" s="13">
        <v>120</v>
      </c>
      <c r="B106" s="14" t="s">
        <v>250</v>
      </c>
      <c r="C106" s="26" t="s">
        <v>251</v>
      </c>
      <c r="D106" s="14" t="s">
        <v>43</v>
      </c>
      <c r="E106" s="20">
        <v>26757</v>
      </c>
      <c r="F106" s="20">
        <v>66891</v>
      </c>
      <c r="G106" s="20">
        <v>5645</v>
      </c>
      <c r="H106" s="20">
        <v>14063</v>
      </c>
      <c r="I106" s="20">
        <v>6717</v>
      </c>
      <c r="J106" s="20">
        <v>16791</v>
      </c>
      <c r="K106" s="20">
        <v>2173</v>
      </c>
      <c r="L106" s="20">
        <v>5414</v>
      </c>
      <c r="M106" s="20"/>
      <c r="N106" s="20"/>
      <c r="O106" s="20"/>
      <c r="P106" s="20"/>
      <c r="Q106" s="20"/>
      <c r="R106" s="20"/>
      <c r="S106" s="20"/>
      <c r="T106" s="20"/>
      <c r="U106" s="20"/>
      <c r="V106" s="20"/>
      <c r="W106" s="20"/>
      <c r="X106" s="20"/>
      <c r="Y106" s="20"/>
      <c r="Z106" s="20"/>
      <c r="AA106" s="20"/>
      <c r="AB106" s="20"/>
      <c r="AC106" s="22">
        <f t="shared" si="5"/>
        <v>41292</v>
      </c>
      <c r="AD106" s="22">
        <f t="shared" si="6"/>
        <v>103159</v>
      </c>
    </row>
    <row r="107" spans="1:30" x14ac:dyDescent="0.25">
      <c r="A107" s="13">
        <v>121</v>
      </c>
      <c r="B107" s="14" t="s">
        <v>252</v>
      </c>
      <c r="C107" s="26" t="s">
        <v>253</v>
      </c>
      <c r="D107" s="14" t="s">
        <v>42</v>
      </c>
      <c r="E107" s="20">
        <v>17300</v>
      </c>
      <c r="F107" s="20">
        <v>43247</v>
      </c>
      <c r="G107" s="20">
        <v>11461</v>
      </c>
      <c r="H107" s="20">
        <v>28550</v>
      </c>
      <c r="I107" s="20">
        <v>2451</v>
      </c>
      <c r="J107" s="20">
        <v>6125</v>
      </c>
      <c r="K107" s="20">
        <v>11036</v>
      </c>
      <c r="L107" s="20">
        <v>27568</v>
      </c>
      <c r="M107" s="20"/>
      <c r="N107" s="20"/>
      <c r="O107" s="20"/>
      <c r="P107" s="20"/>
      <c r="Q107" s="20"/>
      <c r="R107" s="20"/>
      <c r="S107" s="20"/>
      <c r="T107" s="20"/>
      <c r="U107" s="20"/>
      <c r="V107" s="20"/>
      <c r="W107" s="20"/>
      <c r="X107" s="20"/>
      <c r="Y107" s="20"/>
      <c r="Z107" s="20"/>
      <c r="AA107" s="20"/>
      <c r="AB107" s="20"/>
      <c r="AC107" s="22">
        <f t="shared" si="5"/>
        <v>42248</v>
      </c>
      <c r="AD107" s="22">
        <f t="shared" si="6"/>
        <v>105490</v>
      </c>
    </row>
    <row r="108" spans="1:30" x14ac:dyDescent="0.25">
      <c r="A108" s="13">
        <v>122</v>
      </c>
      <c r="B108" s="14" t="s">
        <v>254</v>
      </c>
      <c r="C108" s="26" t="s">
        <v>255</v>
      </c>
      <c r="D108" s="14" t="s">
        <v>42</v>
      </c>
      <c r="E108" s="20"/>
      <c r="F108" s="20"/>
      <c r="G108" s="20">
        <v>486</v>
      </c>
      <c r="H108" s="20">
        <v>1187</v>
      </c>
      <c r="I108" s="20"/>
      <c r="J108" s="20"/>
      <c r="K108" s="20">
        <v>118</v>
      </c>
      <c r="L108" s="20">
        <v>292</v>
      </c>
      <c r="M108" s="20"/>
      <c r="N108" s="20"/>
      <c r="O108" s="20"/>
      <c r="P108" s="20"/>
      <c r="Q108" s="20"/>
      <c r="R108" s="20"/>
      <c r="S108" s="20"/>
      <c r="T108" s="20"/>
      <c r="U108" s="20"/>
      <c r="V108" s="20"/>
      <c r="W108" s="20"/>
      <c r="X108" s="20"/>
      <c r="Y108" s="20"/>
      <c r="Z108" s="20"/>
      <c r="AA108" s="20"/>
      <c r="AB108" s="20"/>
      <c r="AC108" s="22">
        <f t="shared" si="5"/>
        <v>604</v>
      </c>
      <c r="AD108" s="22">
        <f t="shared" si="6"/>
        <v>1479</v>
      </c>
    </row>
    <row r="109" spans="1:30" x14ac:dyDescent="0.25">
      <c r="A109" s="13">
        <v>123</v>
      </c>
      <c r="B109" s="14" t="s">
        <v>256</v>
      </c>
      <c r="C109" s="26" t="s">
        <v>257</v>
      </c>
      <c r="D109" s="14" t="s">
        <v>43</v>
      </c>
      <c r="E109" s="20">
        <v>74128</v>
      </c>
      <c r="F109" s="20">
        <v>185320</v>
      </c>
      <c r="G109" s="20">
        <v>52078</v>
      </c>
      <c r="H109" s="20">
        <v>130075</v>
      </c>
      <c r="I109" s="20">
        <v>9777</v>
      </c>
      <c r="J109" s="20">
        <v>24441</v>
      </c>
      <c r="K109" s="20">
        <v>29157</v>
      </c>
      <c r="L109" s="20">
        <v>72868</v>
      </c>
      <c r="M109" s="20"/>
      <c r="N109" s="20"/>
      <c r="O109" s="20"/>
      <c r="P109" s="20"/>
      <c r="Q109" s="20"/>
      <c r="R109" s="20"/>
      <c r="S109" s="20"/>
      <c r="T109" s="20"/>
      <c r="U109" s="20"/>
      <c r="V109" s="20"/>
      <c r="W109" s="20"/>
      <c r="X109" s="20"/>
      <c r="Y109" s="20"/>
      <c r="Z109" s="20"/>
      <c r="AA109" s="20"/>
      <c r="AB109" s="20"/>
      <c r="AC109" s="22">
        <f t="shared" si="5"/>
        <v>165140</v>
      </c>
      <c r="AD109" s="22">
        <f t="shared" si="6"/>
        <v>412704</v>
      </c>
    </row>
    <row r="110" spans="1:30" x14ac:dyDescent="0.25">
      <c r="A110" s="13">
        <v>124</v>
      </c>
      <c r="B110" s="14" t="s">
        <v>258</v>
      </c>
      <c r="C110" s="26" t="s">
        <v>259</v>
      </c>
      <c r="D110" s="14" t="s">
        <v>43</v>
      </c>
      <c r="E110" s="20"/>
      <c r="F110" s="20"/>
      <c r="G110" s="20">
        <v>58</v>
      </c>
      <c r="H110" s="20">
        <v>144</v>
      </c>
      <c r="I110" s="20"/>
      <c r="J110" s="20"/>
      <c r="K110" s="20">
        <v>228</v>
      </c>
      <c r="L110" s="20">
        <v>570</v>
      </c>
      <c r="M110" s="20"/>
      <c r="N110" s="20"/>
      <c r="O110" s="20"/>
      <c r="P110" s="20"/>
      <c r="Q110" s="20"/>
      <c r="R110" s="20"/>
      <c r="S110" s="20"/>
      <c r="T110" s="20"/>
      <c r="U110" s="20"/>
      <c r="V110" s="20"/>
      <c r="W110" s="20"/>
      <c r="X110" s="20"/>
      <c r="Y110" s="20"/>
      <c r="Z110" s="20"/>
      <c r="AA110" s="20"/>
      <c r="AB110" s="20"/>
      <c r="AC110" s="22">
        <f t="shared" si="5"/>
        <v>286</v>
      </c>
      <c r="AD110" s="22">
        <f t="shared" si="6"/>
        <v>714</v>
      </c>
    </row>
    <row r="111" spans="1:30" x14ac:dyDescent="0.25">
      <c r="A111" s="13">
        <v>127</v>
      </c>
      <c r="B111" s="14" t="s">
        <v>260</v>
      </c>
      <c r="C111" s="26" t="s">
        <v>261</v>
      </c>
      <c r="D111" s="14" t="s">
        <v>43</v>
      </c>
      <c r="E111" s="20">
        <v>3862</v>
      </c>
      <c r="F111" s="20">
        <v>9654</v>
      </c>
      <c r="G111" s="20">
        <v>3302</v>
      </c>
      <c r="H111" s="20">
        <v>8161</v>
      </c>
      <c r="I111" s="20">
        <v>909</v>
      </c>
      <c r="J111" s="20">
        <v>2271</v>
      </c>
      <c r="K111" s="20">
        <v>1911</v>
      </c>
      <c r="L111" s="20">
        <v>4761</v>
      </c>
      <c r="M111" s="20"/>
      <c r="N111" s="20"/>
      <c r="O111" s="20"/>
      <c r="P111" s="20"/>
      <c r="Q111" s="20"/>
      <c r="R111" s="20"/>
      <c r="S111" s="20"/>
      <c r="T111" s="20"/>
      <c r="U111" s="20"/>
      <c r="V111" s="20"/>
      <c r="W111" s="20"/>
      <c r="X111" s="20"/>
      <c r="Y111" s="20"/>
      <c r="Z111" s="20"/>
      <c r="AA111" s="20"/>
      <c r="AB111" s="20"/>
      <c r="AC111" s="22">
        <f t="shared" si="5"/>
        <v>9984</v>
      </c>
      <c r="AD111" s="22">
        <f t="shared" si="6"/>
        <v>24847</v>
      </c>
    </row>
    <row r="112" spans="1:30" x14ac:dyDescent="0.25">
      <c r="A112" s="13">
        <v>128</v>
      </c>
      <c r="B112" s="14" t="s">
        <v>262</v>
      </c>
      <c r="C112" s="26" t="s">
        <v>263</v>
      </c>
      <c r="D112" s="14" t="s">
        <v>43</v>
      </c>
      <c r="E112" s="20"/>
      <c r="F112" s="20"/>
      <c r="G112" s="20">
        <v>144</v>
      </c>
      <c r="H112" s="20">
        <v>360</v>
      </c>
      <c r="I112" s="20"/>
      <c r="J112" s="20"/>
      <c r="K112" s="20">
        <v>124</v>
      </c>
      <c r="L112" s="20">
        <v>308</v>
      </c>
      <c r="M112" s="20"/>
      <c r="N112" s="20"/>
      <c r="O112" s="20"/>
      <c r="P112" s="20"/>
      <c r="Q112" s="20"/>
      <c r="R112" s="20"/>
      <c r="S112" s="20"/>
      <c r="T112" s="20"/>
      <c r="U112" s="20"/>
      <c r="V112" s="20"/>
      <c r="W112" s="20"/>
      <c r="X112" s="20"/>
      <c r="Y112" s="20"/>
      <c r="Z112" s="20"/>
      <c r="AA112" s="20"/>
      <c r="AB112" s="20"/>
      <c r="AC112" s="22">
        <f t="shared" si="5"/>
        <v>268</v>
      </c>
      <c r="AD112" s="22">
        <f t="shared" si="6"/>
        <v>668</v>
      </c>
    </row>
    <row r="113" spans="1:30" x14ac:dyDescent="0.25">
      <c r="A113" s="13">
        <v>130</v>
      </c>
      <c r="B113" s="14" t="s">
        <v>264</v>
      </c>
      <c r="C113" s="26" t="s">
        <v>265</v>
      </c>
      <c r="D113" s="14" t="s">
        <v>42</v>
      </c>
      <c r="E113" s="20">
        <v>47070</v>
      </c>
      <c r="F113" s="20">
        <v>117672</v>
      </c>
      <c r="G113" s="20">
        <v>3043</v>
      </c>
      <c r="H113" s="20">
        <v>7577</v>
      </c>
      <c r="I113" s="20">
        <v>4528</v>
      </c>
      <c r="J113" s="20">
        <v>11317</v>
      </c>
      <c r="K113" s="20">
        <v>1140</v>
      </c>
      <c r="L113" s="20">
        <v>2839</v>
      </c>
      <c r="M113" s="20"/>
      <c r="N113" s="20"/>
      <c r="O113" s="20"/>
      <c r="P113" s="20"/>
      <c r="Q113" s="20"/>
      <c r="R113" s="20"/>
      <c r="S113" s="20"/>
      <c r="T113" s="20"/>
      <c r="U113" s="20"/>
      <c r="V113" s="20"/>
      <c r="W113" s="20"/>
      <c r="X113" s="20"/>
      <c r="Y113" s="20"/>
      <c r="Z113" s="20"/>
      <c r="AA113" s="20"/>
      <c r="AB113" s="20"/>
      <c r="AC113" s="22">
        <f t="shared" si="5"/>
        <v>55781</v>
      </c>
      <c r="AD113" s="22">
        <f t="shared" si="6"/>
        <v>139405</v>
      </c>
    </row>
    <row r="114" spans="1:30" x14ac:dyDescent="0.25">
      <c r="A114" s="13">
        <v>131</v>
      </c>
      <c r="B114" s="14" t="s">
        <v>266</v>
      </c>
      <c r="C114" s="26" t="s">
        <v>267</v>
      </c>
      <c r="D114" s="14" t="s">
        <v>42</v>
      </c>
      <c r="E114" s="20">
        <v>63815</v>
      </c>
      <c r="F114" s="20">
        <v>159537</v>
      </c>
      <c r="G114" s="20">
        <v>7446</v>
      </c>
      <c r="H114" s="20">
        <v>18568</v>
      </c>
      <c r="I114" s="20">
        <v>8768</v>
      </c>
      <c r="J114" s="20">
        <v>21920</v>
      </c>
      <c r="K114" s="20">
        <v>1286</v>
      </c>
      <c r="L114" s="20">
        <v>3204</v>
      </c>
      <c r="M114" s="20"/>
      <c r="N114" s="20"/>
      <c r="O114" s="20"/>
      <c r="P114" s="20"/>
      <c r="Q114" s="20"/>
      <c r="R114" s="20"/>
      <c r="S114" s="20"/>
      <c r="T114" s="20"/>
      <c r="U114" s="20"/>
      <c r="V114" s="20"/>
      <c r="W114" s="20"/>
      <c r="X114" s="20"/>
      <c r="Y114" s="20"/>
      <c r="Z114" s="20"/>
      <c r="AA114" s="20"/>
      <c r="AB114" s="20"/>
      <c r="AC114" s="22">
        <f t="shared" si="5"/>
        <v>81315</v>
      </c>
      <c r="AD114" s="22">
        <f t="shared" si="6"/>
        <v>203229</v>
      </c>
    </row>
    <row r="115" spans="1:30" x14ac:dyDescent="0.25">
      <c r="A115" s="13">
        <v>132</v>
      </c>
      <c r="B115" s="14" t="s">
        <v>268</v>
      </c>
      <c r="C115" s="26" t="s">
        <v>269</v>
      </c>
      <c r="D115" s="14" t="s">
        <v>42</v>
      </c>
      <c r="E115" s="20">
        <v>78393</v>
      </c>
      <c r="F115" s="20">
        <v>195981</v>
      </c>
      <c r="G115" s="20">
        <v>56627</v>
      </c>
      <c r="H115" s="20">
        <v>141475</v>
      </c>
      <c r="I115" s="20">
        <v>9360</v>
      </c>
      <c r="J115" s="20">
        <v>23400</v>
      </c>
      <c r="K115" s="20">
        <v>34035</v>
      </c>
      <c r="L115" s="20">
        <v>85061</v>
      </c>
      <c r="M115" s="20"/>
      <c r="N115" s="20"/>
      <c r="O115" s="20"/>
      <c r="P115" s="20"/>
      <c r="Q115" s="20"/>
      <c r="R115" s="20"/>
      <c r="S115" s="20"/>
      <c r="T115" s="20"/>
      <c r="U115" s="20"/>
      <c r="V115" s="20"/>
      <c r="W115" s="20"/>
      <c r="X115" s="20"/>
      <c r="Y115" s="20"/>
      <c r="Z115" s="20"/>
      <c r="AA115" s="20"/>
      <c r="AB115" s="20"/>
      <c r="AC115" s="22">
        <f t="shared" si="5"/>
        <v>178415</v>
      </c>
      <c r="AD115" s="22">
        <f t="shared" si="6"/>
        <v>445917</v>
      </c>
    </row>
    <row r="116" spans="1:30" x14ac:dyDescent="0.25">
      <c r="A116" s="13">
        <v>133</v>
      </c>
      <c r="B116" s="14" t="s">
        <v>270</v>
      </c>
      <c r="C116" s="26" t="s">
        <v>271</v>
      </c>
      <c r="D116" s="14" t="s">
        <v>42</v>
      </c>
      <c r="E116" s="20">
        <v>29821</v>
      </c>
      <c r="F116" s="20">
        <v>74549</v>
      </c>
      <c r="G116" s="20">
        <v>35564</v>
      </c>
      <c r="H116" s="20">
        <v>88826</v>
      </c>
      <c r="I116" s="20">
        <v>5808</v>
      </c>
      <c r="J116" s="20">
        <v>14520</v>
      </c>
      <c r="K116" s="20">
        <v>31331</v>
      </c>
      <c r="L116" s="20">
        <v>78308</v>
      </c>
      <c r="M116" s="20">
        <v>60</v>
      </c>
      <c r="N116" s="20">
        <v>148</v>
      </c>
      <c r="O116" s="20"/>
      <c r="P116" s="20"/>
      <c r="Q116" s="20"/>
      <c r="R116" s="20"/>
      <c r="S116" s="20">
        <v>4</v>
      </c>
      <c r="T116" s="20">
        <v>10</v>
      </c>
      <c r="U116" s="20"/>
      <c r="V116" s="20"/>
      <c r="W116" s="20"/>
      <c r="X116" s="20"/>
      <c r="Y116" s="20"/>
      <c r="Z116" s="20"/>
      <c r="AA116" s="20"/>
      <c r="AB116" s="20"/>
      <c r="AC116" s="22">
        <f t="shared" si="5"/>
        <v>102588</v>
      </c>
      <c r="AD116" s="22">
        <f t="shared" si="6"/>
        <v>256361</v>
      </c>
    </row>
    <row r="117" spans="1:30" x14ac:dyDescent="0.25">
      <c r="A117" s="13">
        <v>134</v>
      </c>
      <c r="B117" s="14" t="s">
        <v>272</v>
      </c>
      <c r="C117" s="26" t="s">
        <v>273</v>
      </c>
      <c r="D117" s="14" t="s">
        <v>42</v>
      </c>
      <c r="E117" s="20">
        <v>2928084</v>
      </c>
      <c r="F117" s="20">
        <v>7320208</v>
      </c>
      <c r="G117" s="20">
        <v>756217</v>
      </c>
      <c r="H117" s="20">
        <v>1890482</v>
      </c>
      <c r="I117" s="20">
        <v>438400</v>
      </c>
      <c r="J117" s="20">
        <v>1096000</v>
      </c>
      <c r="K117" s="20">
        <v>20774</v>
      </c>
      <c r="L117" s="20">
        <v>51880</v>
      </c>
      <c r="M117" s="20">
        <v>92784</v>
      </c>
      <c r="N117" s="20">
        <v>231958</v>
      </c>
      <c r="O117" s="20">
        <v>11784</v>
      </c>
      <c r="P117" s="20">
        <v>29458</v>
      </c>
      <c r="Q117" s="20">
        <v>120616</v>
      </c>
      <c r="R117" s="20">
        <v>301540</v>
      </c>
      <c r="S117" s="20">
        <v>2354</v>
      </c>
      <c r="T117" s="20">
        <v>5885</v>
      </c>
      <c r="U117" s="20">
        <v>3240</v>
      </c>
      <c r="V117" s="20">
        <v>8100</v>
      </c>
      <c r="W117" s="20"/>
      <c r="X117" s="20"/>
      <c r="Y117" s="20"/>
      <c r="Z117" s="20"/>
      <c r="AA117" s="20">
        <v>196</v>
      </c>
      <c r="AB117" s="20">
        <v>490</v>
      </c>
      <c r="AC117" s="22">
        <f t="shared" si="5"/>
        <v>4374449</v>
      </c>
      <c r="AD117" s="22">
        <f t="shared" si="6"/>
        <v>10936001</v>
      </c>
    </row>
    <row r="118" spans="1:30" x14ac:dyDescent="0.25">
      <c r="A118" s="13">
        <v>135</v>
      </c>
      <c r="B118" s="14" t="s">
        <v>274</v>
      </c>
      <c r="C118" s="26" t="s">
        <v>275</v>
      </c>
      <c r="D118" s="14" t="s">
        <v>42</v>
      </c>
      <c r="E118" s="20">
        <v>1613042</v>
      </c>
      <c r="F118" s="20">
        <v>4032603</v>
      </c>
      <c r="G118" s="20">
        <v>505807</v>
      </c>
      <c r="H118" s="20">
        <v>1264475</v>
      </c>
      <c r="I118" s="20">
        <v>213720</v>
      </c>
      <c r="J118" s="20">
        <v>534300</v>
      </c>
      <c r="K118" s="20">
        <v>5855</v>
      </c>
      <c r="L118" s="20">
        <v>14609</v>
      </c>
      <c r="M118" s="20">
        <v>46560</v>
      </c>
      <c r="N118" s="20">
        <v>116400</v>
      </c>
      <c r="O118" s="20">
        <v>6077</v>
      </c>
      <c r="P118" s="20">
        <v>15191</v>
      </c>
      <c r="Q118" s="20">
        <v>36380</v>
      </c>
      <c r="R118" s="20">
        <v>90950</v>
      </c>
      <c r="S118" s="20">
        <v>838</v>
      </c>
      <c r="T118" s="20">
        <v>2091</v>
      </c>
      <c r="U118" s="20"/>
      <c r="V118" s="20"/>
      <c r="W118" s="20"/>
      <c r="X118" s="20"/>
      <c r="Y118" s="20"/>
      <c r="Z118" s="20"/>
      <c r="AA118" s="20">
        <v>52</v>
      </c>
      <c r="AB118" s="20">
        <v>130</v>
      </c>
      <c r="AC118" s="22">
        <f t="shared" si="5"/>
        <v>2428331</v>
      </c>
      <c r="AD118" s="22">
        <f t="shared" si="6"/>
        <v>6070749</v>
      </c>
    </row>
    <row r="119" spans="1:30" x14ac:dyDescent="0.25">
      <c r="A119" s="13">
        <v>136</v>
      </c>
      <c r="B119" s="14" t="s">
        <v>276</v>
      </c>
      <c r="C119" s="26" t="s">
        <v>277</v>
      </c>
      <c r="D119" s="14" t="s">
        <v>42</v>
      </c>
      <c r="E119" s="20">
        <v>97902</v>
      </c>
      <c r="F119" s="20">
        <v>244754</v>
      </c>
      <c r="G119" s="20">
        <v>105293</v>
      </c>
      <c r="H119" s="20">
        <v>263193</v>
      </c>
      <c r="I119" s="20">
        <v>25208</v>
      </c>
      <c r="J119" s="20">
        <v>63020</v>
      </c>
      <c r="K119" s="20">
        <v>10998</v>
      </c>
      <c r="L119" s="20">
        <v>27481</v>
      </c>
      <c r="M119" s="20">
        <v>72824</v>
      </c>
      <c r="N119" s="20">
        <v>182060</v>
      </c>
      <c r="O119" s="20">
        <v>806</v>
      </c>
      <c r="P119" s="20">
        <v>2013</v>
      </c>
      <c r="Q119" s="20">
        <v>71884</v>
      </c>
      <c r="R119" s="20">
        <v>179710</v>
      </c>
      <c r="S119" s="20">
        <v>648</v>
      </c>
      <c r="T119" s="20">
        <v>1620</v>
      </c>
      <c r="U119" s="20"/>
      <c r="V119" s="20"/>
      <c r="W119" s="20"/>
      <c r="X119" s="20"/>
      <c r="Y119" s="20"/>
      <c r="Z119" s="20"/>
      <c r="AA119" s="20"/>
      <c r="AB119" s="20"/>
      <c r="AC119" s="22">
        <f t="shared" si="5"/>
        <v>385563</v>
      </c>
      <c r="AD119" s="22">
        <f t="shared" si="6"/>
        <v>963851</v>
      </c>
    </row>
    <row r="120" spans="1:30" x14ac:dyDescent="0.25">
      <c r="A120" s="13">
        <v>138</v>
      </c>
      <c r="B120" s="14" t="s">
        <v>278</v>
      </c>
      <c r="C120" s="26" t="s">
        <v>279</v>
      </c>
      <c r="D120" s="14" t="s">
        <v>42</v>
      </c>
      <c r="E120" s="20">
        <v>2072168</v>
      </c>
      <c r="F120" s="20">
        <v>5180418</v>
      </c>
      <c r="G120" s="20">
        <v>439350</v>
      </c>
      <c r="H120" s="20">
        <v>1098342</v>
      </c>
      <c r="I120" s="20">
        <v>241120</v>
      </c>
      <c r="J120" s="20">
        <v>602800</v>
      </c>
      <c r="K120" s="20">
        <v>9922</v>
      </c>
      <c r="L120" s="20">
        <v>24789</v>
      </c>
      <c r="M120" s="20"/>
      <c r="N120" s="20"/>
      <c r="O120" s="20">
        <v>5844</v>
      </c>
      <c r="P120" s="20">
        <v>14608</v>
      </c>
      <c r="Q120" s="20">
        <v>57900</v>
      </c>
      <c r="R120" s="20">
        <v>144750</v>
      </c>
      <c r="S120" s="20">
        <v>3288</v>
      </c>
      <c r="T120" s="20">
        <v>8218</v>
      </c>
      <c r="U120" s="20">
        <v>648</v>
      </c>
      <c r="V120" s="20">
        <v>1620</v>
      </c>
      <c r="W120" s="20"/>
      <c r="X120" s="20"/>
      <c r="Y120" s="20"/>
      <c r="Z120" s="20"/>
      <c r="AA120" s="20">
        <v>72</v>
      </c>
      <c r="AB120" s="20">
        <v>180</v>
      </c>
      <c r="AC120" s="22">
        <f t="shared" si="5"/>
        <v>2830312</v>
      </c>
      <c r="AD120" s="22">
        <f t="shared" si="6"/>
        <v>7075725</v>
      </c>
    </row>
    <row r="121" spans="1:30" x14ac:dyDescent="0.25">
      <c r="A121" s="13">
        <v>139</v>
      </c>
      <c r="B121" s="14" t="s">
        <v>280</v>
      </c>
      <c r="C121" s="26" t="s">
        <v>281</v>
      </c>
      <c r="D121" s="14" t="s">
        <v>42</v>
      </c>
      <c r="E121" s="20">
        <v>392872</v>
      </c>
      <c r="F121" s="20">
        <v>982180</v>
      </c>
      <c r="G121" s="20">
        <v>292272</v>
      </c>
      <c r="H121" s="20">
        <v>730644</v>
      </c>
      <c r="I121" s="20">
        <v>20824</v>
      </c>
      <c r="J121" s="20">
        <v>52060</v>
      </c>
      <c r="K121" s="20">
        <v>4269</v>
      </c>
      <c r="L121" s="20">
        <v>10658</v>
      </c>
      <c r="M121" s="20"/>
      <c r="N121" s="20"/>
      <c r="O121" s="20"/>
      <c r="P121" s="20"/>
      <c r="Q121" s="20"/>
      <c r="R121" s="20"/>
      <c r="S121" s="20">
        <v>12</v>
      </c>
      <c r="T121" s="20">
        <v>30</v>
      </c>
      <c r="U121" s="20"/>
      <c r="V121" s="20"/>
      <c r="W121" s="20"/>
      <c r="X121" s="20"/>
      <c r="Y121" s="20"/>
      <c r="Z121" s="20"/>
      <c r="AA121" s="20"/>
      <c r="AB121" s="20"/>
      <c r="AC121" s="22">
        <f t="shared" si="5"/>
        <v>710249</v>
      </c>
      <c r="AD121" s="22">
        <f t="shared" si="6"/>
        <v>1775572</v>
      </c>
    </row>
    <row r="122" spans="1:30" x14ac:dyDescent="0.25">
      <c r="A122" s="13">
        <v>141</v>
      </c>
      <c r="B122" s="14" t="s">
        <v>282</v>
      </c>
      <c r="C122" s="26" t="s">
        <v>283</v>
      </c>
      <c r="D122" s="14" t="s">
        <v>42</v>
      </c>
      <c r="E122" s="20">
        <v>1787076</v>
      </c>
      <c r="F122" s="20">
        <v>4467688</v>
      </c>
      <c r="G122" s="20">
        <v>1116178</v>
      </c>
      <c r="H122" s="20">
        <v>2790370</v>
      </c>
      <c r="I122" s="20">
        <v>76720</v>
      </c>
      <c r="J122" s="20">
        <v>191800</v>
      </c>
      <c r="K122" s="20">
        <v>104229</v>
      </c>
      <c r="L122" s="20">
        <v>260552</v>
      </c>
      <c r="M122" s="20"/>
      <c r="N122" s="20"/>
      <c r="O122" s="20"/>
      <c r="P122" s="20"/>
      <c r="Q122" s="20">
        <v>39804</v>
      </c>
      <c r="R122" s="20">
        <v>99506</v>
      </c>
      <c r="S122" s="20">
        <v>1148</v>
      </c>
      <c r="T122" s="20">
        <v>2870</v>
      </c>
      <c r="U122" s="20"/>
      <c r="V122" s="20"/>
      <c r="W122" s="20"/>
      <c r="X122" s="20"/>
      <c r="Y122" s="20"/>
      <c r="Z122" s="20"/>
      <c r="AA122" s="20">
        <v>80</v>
      </c>
      <c r="AB122" s="20">
        <v>200</v>
      </c>
      <c r="AC122" s="22">
        <f t="shared" si="5"/>
        <v>3125235</v>
      </c>
      <c r="AD122" s="22">
        <f t="shared" si="6"/>
        <v>7812986</v>
      </c>
    </row>
    <row r="123" spans="1:30" x14ac:dyDescent="0.25">
      <c r="A123" s="13">
        <v>142</v>
      </c>
      <c r="B123" s="14" t="s">
        <v>284</v>
      </c>
      <c r="C123" s="26" t="s">
        <v>285</v>
      </c>
      <c r="D123" s="14" t="s">
        <v>42</v>
      </c>
      <c r="E123" s="20">
        <v>31392</v>
      </c>
      <c r="F123" s="20">
        <v>78480</v>
      </c>
      <c r="G123" s="20">
        <v>42399</v>
      </c>
      <c r="H123" s="20">
        <v>105979</v>
      </c>
      <c r="I123" s="20">
        <v>72</v>
      </c>
      <c r="J123" s="20">
        <v>180</v>
      </c>
      <c r="K123" s="20">
        <v>8710</v>
      </c>
      <c r="L123" s="20">
        <v>21768</v>
      </c>
      <c r="M123" s="20">
        <v>5444</v>
      </c>
      <c r="N123" s="20">
        <v>13610</v>
      </c>
      <c r="O123" s="20"/>
      <c r="P123" s="20"/>
      <c r="Q123" s="20"/>
      <c r="R123" s="20"/>
      <c r="S123" s="20">
        <v>280</v>
      </c>
      <c r="T123" s="20">
        <v>700</v>
      </c>
      <c r="U123" s="20"/>
      <c r="V123" s="20"/>
      <c r="W123" s="20"/>
      <c r="X123" s="20"/>
      <c r="Y123" s="20"/>
      <c r="Z123" s="20"/>
      <c r="AA123" s="20"/>
      <c r="AB123" s="20"/>
      <c r="AC123" s="22">
        <f t="shared" si="5"/>
        <v>88297</v>
      </c>
      <c r="AD123" s="22">
        <f t="shared" si="6"/>
        <v>220717</v>
      </c>
    </row>
    <row r="124" spans="1:30" x14ac:dyDescent="0.25">
      <c r="A124" s="13">
        <v>143</v>
      </c>
      <c r="B124" s="14" t="s">
        <v>286</v>
      </c>
      <c r="C124" s="26" t="s">
        <v>287</v>
      </c>
      <c r="D124" s="14" t="s">
        <v>42</v>
      </c>
      <c r="E124" s="20">
        <v>3699415</v>
      </c>
      <c r="F124" s="20">
        <v>9248536</v>
      </c>
      <c r="G124" s="20">
        <v>1131355</v>
      </c>
      <c r="H124" s="20">
        <v>2828314</v>
      </c>
      <c r="I124" s="20">
        <v>134112</v>
      </c>
      <c r="J124" s="20">
        <v>335279</v>
      </c>
      <c r="K124" s="20">
        <v>44148</v>
      </c>
      <c r="L124" s="20">
        <v>110351</v>
      </c>
      <c r="M124" s="20"/>
      <c r="N124" s="20"/>
      <c r="O124" s="20">
        <v>10345</v>
      </c>
      <c r="P124" s="20">
        <v>25861</v>
      </c>
      <c r="Q124" s="20"/>
      <c r="R124" s="20"/>
      <c r="S124" s="20">
        <v>1297</v>
      </c>
      <c r="T124" s="20">
        <v>3242</v>
      </c>
      <c r="U124" s="20"/>
      <c r="V124" s="20"/>
      <c r="W124" s="20"/>
      <c r="X124" s="20"/>
      <c r="Y124" s="20"/>
      <c r="Z124" s="20"/>
      <c r="AA124" s="20"/>
      <c r="AB124" s="20"/>
      <c r="AC124" s="22">
        <f t="shared" si="5"/>
        <v>5020672</v>
      </c>
      <c r="AD124" s="22">
        <f t="shared" si="6"/>
        <v>12551583</v>
      </c>
    </row>
    <row r="125" spans="1:30" x14ac:dyDescent="0.25">
      <c r="A125" s="13">
        <v>144</v>
      </c>
      <c r="B125" s="14" t="s">
        <v>288</v>
      </c>
      <c r="C125" s="26" t="s">
        <v>289</v>
      </c>
      <c r="D125" s="14" t="s">
        <v>42</v>
      </c>
      <c r="E125" s="20">
        <v>5951275</v>
      </c>
      <c r="F125" s="20">
        <v>14878185</v>
      </c>
      <c r="G125" s="20">
        <v>2716775</v>
      </c>
      <c r="H125" s="20">
        <v>6791874</v>
      </c>
      <c r="I125" s="20">
        <v>1696914</v>
      </c>
      <c r="J125" s="20">
        <v>4242283</v>
      </c>
      <c r="K125" s="20">
        <v>262601</v>
      </c>
      <c r="L125" s="20">
        <v>656472</v>
      </c>
      <c r="M125" s="20">
        <v>64388</v>
      </c>
      <c r="N125" s="20">
        <v>160968</v>
      </c>
      <c r="O125" s="20">
        <v>25226</v>
      </c>
      <c r="P125" s="20">
        <v>63063</v>
      </c>
      <c r="Q125" s="20">
        <v>137916</v>
      </c>
      <c r="R125" s="20">
        <v>344790</v>
      </c>
      <c r="S125" s="20">
        <v>5776</v>
      </c>
      <c r="T125" s="20">
        <v>14440</v>
      </c>
      <c r="U125" s="20"/>
      <c r="V125" s="20"/>
      <c r="W125" s="20"/>
      <c r="X125" s="20"/>
      <c r="Y125" s="20"/>
      <c r="Z125" s="20"/>
      <c r="AA125" s="20">
        <v>420</v>
      </c>
      <c r="AB125" s="20">
        <v>1050</v>
      </c>
      <c r="AC125" s="22">
        <f t="shared" si="5"/>
        <v>10861291</v>
      </c>
      <c r="AD125" s="22">
        <f t="shared" si="6"/>
        <v>27153125</v>
      </c>
    </row>
    <row r="126" spans="1:30" x14ac:dyDescent="0.25">
      <c r="A126" s="13">
        <v>145</v>
      </c>
      <c r="B126" s="14" t="s">
        <v>290</v>
      </c>
      <c r="C126" s="26" t="s">
        <v>291</v>
      </c>
      <c r="D126" s="14" t="s">
        <v>42</v>
      </c>
      <c r="E126" s="20">
        <v>110228</v>
      </c>
      <c r="F126" s="20">
        <v>275566</v>
      </c>
      <c r="G126" s="20">
        <v>123318</v>
      </c>
      <c r="H126" s="20">
        <v>308265</v>
      </c>
      <c r="I126" s="20"/>
      <c r="J126" s="20"/>
      <c r="K126" s="20">
        <v>36</v>
      </c>
      <c r="L126" s="20">
        <v>88</v>
      </c>
      <c r="M126" s="20">
        <v>33284</v>
      </c>
      <c r="N126" s="20">
        <v>83208</v>
      </c>
      <c r="O126" s="20"/>
      <c r="P126" s="20"/>
      <c r="Q126" s="20"/>
      <c r="R126" s="20"/>
      <c r="S126" s="20">
        <v>956</v>
      </c>
      <c r="T126" s="20">
        <v>2390</v>
      </c>
      <c r="U126" s="20">
        <v>6480</v>
      </c>
      <c r="V126" s="20">
        <v>16200</v>
      </c>
      <c r="W126" s="20"/>
      <c r="X126" s="20"/>
      <c r="Y126" s="20"/>
      <c r="Z126" s="20"/>
      <c r="AA126" s="20"/>
      <c r="AB126" s="20"/>
      <c r="AC126" s="22">
        <f t="shared" si="5"/>
        <v>274302</v>
      </c>
      <c r="AD126" s="22">
        <f t="shared" si="6"/>
        <v>685717</v>
      </c>
    </row>
    <row r="127" spans="1:30" x14ac:dyDescent="0.25">
      <c r="A127" s="13">
        <v>146</v>
      </c>
      <c r="B127" s="14" t="s">
        <v>292</v>
      </c>
      <c r="C127" s="26" t="s">
        <v>293</v>
      </c>
      <c r="D127" s="14" t="s">
        <v>42</v>
      </c>
      <c r="E127" s="20">
        <v>61660</v>
      </c>
      <c r="F127" s="20">
        <v>154148</v>
      </c>
      <c r="G127" s="20">
        <v>475865</v>
      </c>
      <c r="H127" s="20">
        <v>1189595</v>
      </c>
      <c r="I127" s="20">
        <v>328440</v>
      </c>
      <c r="J127" s="20">
        <v>821098</v>
      </c>
      <c r="K127" s="20">
        <v>25430</v>
      </c>
      <c r="L127" s="20">
        <v>63531</v>
      </c>
      <c r="M127" s="20">
        <v>55100</v>
      </c>
      <c r="N127" s="20">
        <v>137750</v>
      </c>
      <c r="O127" s="20">
        <v>6666</v>
      </c>
      <c r="P127" s="20">
        <v>16665</v>
      </c>
      <c r="Q127" s="20">
        <v>35000</v>
      </c>
      <c r="R127" s="20">
        <v>87500</v>
      </c>
      <c r="S127" s="20">
        <v>2142</v>
      </c>
      <c r="T127" s="20">
        <v>5355</v>
      </c>
      <c r="U127" s="20"/>
      <c r="V127" s="20"/>
      <c r="W127" s="20"/>
      <c r="X127" s="20"/>
      <c r="Y127" s="20"/>
      <c r="Z127" s="20"/>
      <c r="AA127" s="20">
        <v>99</v>
      </c>
      <c r="AB127" s="20">
        <v>245</v>
      </c>
      <c r="AC127" s="22">
        <f t="shared" si="5"/>
        <v>990402</v>
      </c>
      <c r="AD127" s="22">
        <f t="shared" si="6"/>
        <v>2475887</v>
      </c>
    </row>
    <row r="128" spans="1:30" x14ac:dyDescent="0.25">
      <c r="A128" s="13">
        <v>147</v>
      </c>
      <c r="B128" s="14" t="s">
        <v>294</v>
      </c>
      <c r="C128" s="26" t="s">
        <v>295</v>
      </c>
      <c r="D128" s="14" t="s">
        <v>42</v>
      </c>
      <c r="E128" s="20">
        <v>20</v>
      </c>
      <c r="F128" s="20">
        <v>48</v>
      </c>
      <c r="G128" s="20">
        <v>10616</v>
      </c>
      <c r="H128" s="20">
        <v>26507</v>
      </c>
      <c r="I128" s="20"/>
      <c r="J128" s="20"/>
      <c r="K128" s="20">
        <v>1481</v>
      </c>
      <c r="L128" s="20">
        <v>3697</v>
      </c>
      <c r="M128" s="20"/>
      <c r="N128" s="20"/>
      <c r="O128" s="20"/>
      <c r="P128" s="20"/>
      <c r="Q128" s="20"/>
      <c r="R128" s="20"/>
      <c r="S128" s="20">
        <v>40</v>
      </c>
      <c r="T128" s="20">
        <v>100</v>
      </c>
      <c r="U128" s="20"/>
      <c r="V128" s="20"/>
      <c r="W128" s="20"/>
      <c r="X128" s="20"/>
      <c r="Y128" s="20"/>
      <c r="Z128" s="20"/>
      <c r="AA128" s="20">
        <v>8</v>
      </c>
      <c r="AB128" s="20">
        <v>20</v>
      </c>
      <c r="AC128" s="22">
        <f t="shared" si="5"/>
        <v>12165</v>
      </c>
      <c r="AD128" s="22">
        <f t="shared" si="6"/>
        <v>30372</v>
      </c>
    </row>
    <row r="129" spans="1:30" x14ac:dyDescent="0.25">
      <c r="A129" s="13">
        <v>148</v>
      </c>
      <c r="B129" s="14" t="s">
        <v>296</v>
      </c>
      <c r="C129" s="26" t="s">
        <v>297</v>
      </c>
      <c r="D129" s="14" t="s">
        <v>42</v>
      </c>
      <c r="E129" s="20">
        <v>42130</v>
      </c>
      <c r="F129" s="20">
        <v>105322</v>
      </c>
      <c r="G129" s="20">
        <v>254194</v>
      </c>
      <c r="H129" s="20">
        <v>635404</v>
      </c>
      <c r="I129" s="20">
        <v>207572</v>
      </c>
      <c r="J129" s="20">
        <v>518929</v>
      </c>
      <c r="K129" s="20">
        <v>29670</v>
      </c>
      <c r="L129" s="20">
        <v>74162</v>
      </c>
      <c r="M129" s="20"/>
      <c r="N129" s="20"/>
      <c r="O129" s="20"/>
      <c r="P129" s="20"/>
      <c r="Q129" s="20">
        <v>22724</v>
      </c>
      <c r="R129" s="20">
        <v>56808</v>
      </c>
      <c r="S129" s="20">
        <v>1158</v>
      </c>
      <c r="T129" s="20">
        <v>2895</v>
      </c>
      <c r="U129" s="20"/>
      <c r="V129" s="20"/>
      <c r="W129" s="20"/>
      <c r="X129" s="20"/>
      <c r="Y129" s="20"/>
      <c r="Z129" s="20"/>
      <c r="AA129" s="20"/>
      <c r="AB129" s="20"/>
      <c r="AC129" s="22">
        <f t="shared" si="5"/>
        <v>557448</v>
      </c>
      <c r="AD129" s="22">
        <f t="shared" si="6"/>
        <v>1393520</v>
      </c>
    </row>
    <row r="130" spans="1:30" x14ac:dyDescent="0.25">
      <c r="A130" s="13">
        <v>149</v>
      </c>
      <c r="B130" s="14" t="s">
        <v>298</v>
      </c>
      <c r="C130" s="26" t="s">
        <v>299</v>
      </c>
      <c r="D130" s="14" t="s">
        <v>42</v>
      </c>
      <c r="E130" s="20">
        <v>7690</v>
      </c>
      <c r="F130" s="20">
        <v>19224</v>
      </c>
      <c r="G130" s="20">
        <v>71800</v>
      </c>
      <c r="H130" s="20">
        <v>179430</v>
      </c>
      <c r="I130" s="20"/>
      <c r="J130" s="20"/>
      <c r="K130" s="20">
        <v>720</v>
      </c>
      <c r="L130" s="20">
        <v>1794</v>
      </c>
      <c r="M130" s="20"/>
      <c r="N130" s="20"/>
      <c r="O130" s="20"/>
      <c r="P130" s="20"/>
      <c r="Q130" s="20"/>
      <c r="R130" s="20"/>
      <c r="S130" s="20">
        <v>180</v>
      </c>
      <c r="T130" s="20">
        <v>450</v>
      </c>
      <c r="U130" s="20"/>
      <c r="V130" s="20"/>
      <c r="W130" s="20"/>
      <c r="X130" s="20"/>
      <c r="Y130" s="20"/>
      <c r="Z130" s="20"/>
      <c r="AA130" s="20"/>
      <c r="AB130" s="20"/>
      <c r="AC130" s="22">
        <f t="shared" si="5"/>
        <v>80390</v>
      </c>
      <c r="AD130" s="22">
        <f t="shared" si="6"/>
        <v>200898</v>
      </c>
    </row>
    <row r="131" spans="1:30" x14ac:dyDescent="0.25">
      <c r="A131" s="13">
        <v>150</v>
      </c>
      <c r="B131" s="14" t="s">
        <v>300</v>
      </c>
      <c r="C131" s="26" t="s">
        <v>301</v>
      </c>
      <c r="D131" s="14" t="s">
        <v>42</v>
      </c>
      <c r="E131" s="20">
        <v>1184574</v>
      </c>
      <c r="F131" s="20">
        <v>2961434</v>
      </c>
      <c r="G131" s="20">
        <v>535447</v>
      </c>
      <c r="H131" s="20">
        <v>1338583</v>
      </c>
      <c r="I131" s="20">
        <v>440089</v>
      </c>
      <c r="J131" s="20">
        <v>1100221</v>
      </c>
      <c r="K131" s="20">
        <v>45741</v>
      </c>
      <c r="L131" s="20">
        <v>114339</v>
      </c>
      <c r="M131" s="20"/>
      <c r="N131" s="20"/>
      <c r="O131" s="20"/>
      <c r="P131" s="20"/>
      <c r="Q131" s="20"/>
      <c r="R131" s="20"/>
      <c r="S131" s="20">
        <v>660</v>
      </c>
      <c r="T131" s="20">
        <v>1650</v>
      </c>
      <c r="U131" s="20">
        <v>750</v>
      </c>
      <c r="V131" s="20">
        <v>1872</v>
      </c>
      <c r="W131" s="20"/>
      <c r="X131" s="20"/>
      <c r="Y131" s="20"/>
      <c r="Z131" s="20"/>
      <c r="AA131" s="20">
        <v>24</v>
      </c>
      <c r="AB131" s="20">
        <v>60</v>
      </c>
      <c r="AC131" s="22">
        <f t="shared" si="5"/>
        <v>2207285</v>
      </c>
      <c r="AD131" s="22">
        <f t="shared" si="6"/>
        <v>5518159</v>
      </c>
    </row>
    <row r="132" spans="1:30" x14ac:dyDescent="0.25">
      <c r="A132" s="13">
        <v>151</v>
      </c>
      <c r="B132" s="14" t="s">
        <v>302</v>
      </c>
      <c r="C132" s="26" t="s">
        <v>303</v>
      </c>
      <c r="D132" s="14" t="s">
        <v>42</v>
      </c>
      <c r="E132" s="20">
        <v>341236</v>
      </c>
      <c r="F132" s="20">
        <v>853086</v>
      </c>
      <c r="G132" s="20">
        <v>71198</v>
      </c>
      <c r="H132" s="20">
        <v>177973</v>
      </c>
      <c r="I132" s="20"/>
      <c r="J132" s="20"/>
      <c r="K132" s="20">
        <v>3865</v>
      </c>
      <c r="L132" s="20">
        <v>9657</v>
      </c>
      <c r="M132" s="20"/>
      <c r="N132" s="20"/>
      <c r="O132" s="20"/>
      <c r="P132" s="20"/>
      <c r="Q132" s="20">
        <v>25104</v>
      </c>
      <c r="R132" s="20">
        <v>62758</v>
      </c>
      <c r="S132" s="20">
        <v>864</v>
      </c>
      <c r="T132" s="20">
        <v>2160</v>
      </c>
      <c r="U132" s="20"/>
      <c r="V132" s="20"/>
      <c r="W132" s="20"/>
      <c r="X132" s="20"/>
      <c r="Y132" s="20"/>
      <c r="Z132" s="20"/>
      <c r="AA132" s="20"/>
      <c r="AB132" s="20"/>
      <c r="AC132" s="22">
        <f t="shared" si="5"/>
        <v>442267</v>
      </c>
      <c r="AD132" s="22">
        <f t="shared" si="6"/>
        <v>1105634</v>
      </c>
    </row>
    <row r="133" spans="1:30" x14ac:dyDescent="0.25">
      <c r="A133" s="13">
        <v>152</v>
      </c>
      <c r="B133" s="14" t="s">
        <v>304</v>
      </c>
      <c r="C133" s="26" t="s">
        <v>305</v>
      </c>
      <c r="D133" s="14" t="s">
        <v>42</v>
      </c>
      <c r="E133" s="20">
        <v>343195</v>
      </c>
      <c r="F133" s="20">
        <v>857986</v>
      </c>
      <c r="G133" s="20">
        <v>342743</v>
      </c>
      <c r="H133" s="20">
        <v>856784</v>
      </c>
      <c r="I133" s="20">
        <v>62801</v>
      </c>
      <c r="J133" s="20">
        <v>157002</v>
      </c>
      <c r="K133" s="20">
        <v>28081</v>
      </c>
      <c r="L133" s="20">
        <v>70190</v>
      </c>
      <c r="M133" s="20">
        <v>7164</v>
      </c>
      <c r="N133" s="20">
        <v>17906</v>
      </c>
      <c r="O133" s="20"/>
      <c r="P133" s="20"/>
      <c r="Q133" s="20"/>
      <c r="R133" s="20"/>
      <c r="S133" s="20"/>
      <c r="T133" s="20"/>
      <c r="U133" s="20"/>
      <c r="V133" s="20"/>
      <c r="W133" s="20"/>
      <c r="X133" s="20"/>
      <c r="Y133" s="20"/>
      <c r="Z133" s="20"/>
      <c r="AA133" s="20"/>
      <c r="AB133" s="20"/>
      <c r="AC133" s="22">
        <f t="shared" si="5"/>
        <v>783984</v>
      </c>
      <c r="AD133" s="22">
        <f t="shared" si="6"/>
        <v>1959868</v>
      </c>
    </row>
    <row r="134" spans="1:30" x14ac:dyDescent="0.25">
      <c r="A134" s="13">
        <v>153</v>
      </c>
      <c r="B134" s="14" t="s">
        <v>306</v>
      </c>
      <c r="C134" s="26" t="s">
        <v>307</v>
      </c>
      <c r="D134" s="14" t="s">
        <v>42</v>
      </c>
      <c r="E134" s="20">
        <v>3950460</v>
      </c>
      <c r="F134" s="20">
        <v>9876146</v>
      </c>
      <c r="G134" s="20">
        <v>1287607</v>
      </c>
      <c r="H134" s="20">
        <v>3218980</v>
      </c>
      <c r="I134" s="20">
        <v>612069</v>
      </c>
      <c r="J134" s="20">
        <v>1530172</v>
      </c>
      <c r="K134" s="20">
        <v>156775</v>
      </c>
      <c r="L134" s="20">
        <v>391923</v>
      </c>
      <c r="M134" s="20"/>
      <c r="N134" s="20"/>
      <c r="O134" s="20">
        <v>11080</v>
      </c>
      <c r="P134" s="20">
        <v>27698</v>
      </c>
      <c r="Q134" s="20">
        <v>31617</v>
      </c>
      <c r="R134" s="20">
        <v>79040</v>
      </c>
      <c r="S134" s="20">
        <v>2272</v>
      </c>
      <c r="T134" s="20">
        <v>5680</v>
      </c>
      <c r="U134" s="20"/>
      <c r="V134" s="20"/>
      <c r="W134" s="20"/>
      <c r="X134" s="20"/>
      <c r="Y134" s="20"/>
      <c r="Z134" s="20"/>
      <c r="AA134" s="20">
        <v>32</v>
      </c>
      <c r="AB134" s="20">
        <v>80</v>
      </c>
      <c r="AC134" s="22">
        <f t="shared" si="5"/>
        <v>6051912</v>
      </c>
      <c r="AD134" s="22">
        <f t="shared" si="6"/>
        <v>15129719</v>
      </c>
    </row>
    <row r="135" spans="1:30" x14ac:dyDescent="0.25">
      <c r="A135" s="13">
        <v>156</v>
      </c>
      <c r="B135" s="14" t="s">
        <v>308</v>
      </c>
      <c r="C135" s="26" t="s">
        <v>309</v>
      </c>
      <c r="D135" s="14" t="s">
        <v>42</v>
      </c>
      <c r="E135" s="20">
        <v>10837</v>
      </c>
      <c r="F135" s="20">
        <v>27091</v>
      </c>
      <c r="G135" s="20">
        <v>16942</v>
      </c>
      <c r="H135" s="20">
        <v>42226</v>
      </c>
      <c r="I135" s="20">
        <v>1792</v>
      </c>
      <c r="J135" s="20">
        <v>4480</v>
      </c>
      <c r="K135" s="20">
        <v>7438</v>
      </c>
      <c r="L135" s="20">
        <v>18579</v>
      </c>
      <c r="M135" s="20">
        <v>5832</v>
      </c>
      <c r="N135" s="20">
        <v>14580</v>
      </c>
      <c r="O135" s="20"/>
      <c r="P135" s="20"/>
      <c r="Q135" s="20"/>
      <c r="R135" s="20"/>
      <c r="S135" s="20"/>
      <c r="T135" s="20"/>
      <c r="U135" s="20"/>
      <c r="V135" s="20"/>
      <c r="W135" s="20"/>
      <c r="X135" s="20"/>
      <c r="Y135" s="20"/>
      <c r="Z135" s="20"/>
      <c r="AA135" s="20"/>
      <c r="AB135" s="20"/>
      <c r="AC135" s="22">
        <f t="shared" si="5"/>
        <v>42841</v>
      </c>
      <c r="AD135" s="22">
        <f t="shared" si="6"/>
        <v>106956</v>
      </c>
    </row>
    <row r="136" spans="1:30" x14ac:dyDescent="0.25">
      <c r="A136" s="13">
        <v>157</v>
      </c>
      <c r="B136" s="14" t="s">
        <v>310</v>
      </c>
      <c r="C136" s="26" t="s">
        <v>311</v>
      </c>
      <c r="D136" s="14" t="s">
        <v>42</v>
      </c>
      <c r="E136" s="20">
        <v>1627932</v>
      </c>
      <c r="F136" s="20">
        <v>4069828</v>
      </c>
      <c r="G136" s="20">
        <v>306904</v>
      </c>
      <c r="H136" s="20">
        <v>767201</v>
      </c>
      <c r="I136" s="20">
        <v>20649</v>
      </c>
      <c r="J136" s="20">
        <v>51622</v>
      </c>
      <c r="K136" s="20">
        <v>13780</v>
      </c>
      <c r="L136" s="20">
        <v>34435</v>
      </c>
      <c r="M136" s="20">
        <v>30644</v>
      </c>
      <c r="N136" s="20">
        <v>76606</v>
      </c>
      <c r="O136" s="20">
        <v>4260</v>
      </c>
      <c r="P136" s="20">
        <v>10648</v>
      </c>
      <c r="Q136" s="20"/>
      <c r="R136" s="20"/>
      <c r="S136" s="20">
        <v>9608</v>
      </c>
      <c r="T136" s="20">
        <v>24020</v>
      </c>
      <c r="U136" s="20">
        <v>1944</v>
      </c>
      <c r="V136" s="20">
        <v>4860</v>
      </c>
      <c r="W136" s="20"/>
      <c r="X136" s="20"/>
      <c r="Y136" s="20"/>
      <c r="Z136" s="20"/>
      <c r="AA136" s="20">
        <v>36</v>
      </c>
      <c r="AB136" s="20">
        <v>90</v>
      </c>
      <c r="AC136" s="22">
        <f t="shared" si="5"/>
        <v>2015757</v>
      </c>
      <c r="AD136" s="22">
        <f t="shared" si="6"/>
        <v>5039310</v>
      </c>
    </row>
    <row r="137" spans="1:30" x14ac:dyDescent="0.25">
      <c r="A137" s="13">
        <v>160</v>
      </c>
      <c r="B137" s="14" t="s">
        <v>312</v>
      </c>
      <c r="C137" s="26" t="s">
        <v>313</v>
      </c>
      <c r="D137" s="14" t="s">
        <v>42</v>
      </c>
      <c r="E137" s="20">
        <v>5320795</v>
      </c>
      <c r="F137" s="20">
        <v>13301986</v>
      </c>
      <c r="G137" s="20">
        <v>906245</v>
      </c>
      <c r="H137" s="20">
        <v>2265552</v>
      </c>
      <c r="I137" s="20">
        <v>1334718</v>
      </c>
      <c r="J137" s="20">
        <v>3336794</v>
      </c>
      <c r="K137" s="20">
        <v>25025</v>
      </c>
      <c r="L137" s="20">
        <v>62531</v>
      </c>
      <c r="M137" s="20">
        <v>42920</v>
      </c>
      <c r="N137" s="20">
        <v>107298</v>
      </c>
      <c r="O137" s="20">
        <v>9853</v>
      </c>
      <c r="P137" s="20">
        <v>24631</v>
      </c>
      <c r="Q137" s="20">
        <v>8751</v>
      </c>
      <c r="R137" s="20">
        <v>21874</v>
      </c>
      <c r="S137" s="20">
        <v>4284</v>
      </c>
      <c r="T137" s="20">
        <v>10709</v>
      </c>
      <c r="U137" s="20">
        <v>648</v>
      </c>
      <c r="V137" s="20">
        <v>1620</v>
      </c>
      <c r="W137" s="20"/>
      <c r="X137" s="20"/>
      <c r="Y137" s="20"/>
      <c r="Z137" s="20"/>
      <c r="AA137" s="20">
        <v>230</v>
      </c>
      <c r="AB137" s="20">
        <v>574</v>
      </c>
      <c r="AC137" s="22">
        <f t="shared" si="5"/>
        <v>7653469</v>
      </c>
      <c r="AD137" s="22">
        <f t="shared" si="6"/>
        <v>19133569</v>
      </c>
    </row>
    <row r="138" spans="1:30" x14ac:dyDescent="0.25">
      <c r="A138" s="13">
        <v>162</v>
      </c>
      <c r="B138" s="14" t="s">
        <v>314</v>
      </c>
      <c r="C138" s="26" t="s">
        <v>315</v>
      </c>
      <c r="D138" s="14" t="s">
        <v>42</v>
      </c>
      <c r="E138" s="20">
        <v>58</v>
      </c>
      <c r="F138" s="20">
        <v>144</v>
      </c>
      <c r="G138" s="20">
        <v>15799</v>
      </c>
      <c r="H138" s="20">
        <v>39467</v>
      </c>
      <c r="I138" s="20"/>
      <c r="J138" s="20"/>
      <c r="K138" s="20">
        <v>5114</v>
      </c>
      <c r="L138" s="20">
        <v>12778</v>
      </c>
      <c r="M138" s="20"/>
      <c r="N138" s="20"/>
      <c r="O138" s="20">
        <v>13891</v>
      </c>
      <c r="P138" s="20">
        <v>34727</v>
      </c>
      <c r="Q138" s="20"/>
      <c r="R138" s="20"/>
      <c r="S138" s="20">
        <v>5903</v>
      </c>
      <c r="T138" s="20">
        <v>14755</v>
      </c>
      <c r="U138" s="20"/>
      <c r="V138" s="20"/>
      <c r="W138" s="20"/>
      <c r="X138" s="20"/>
      <c r="Y138" s="20"/>
      <c r="Z138" s="20"/>
      <c r="AA138" s="20">
        <v>80</v>
      </c>
      <c r="AB138" s="20">
        <v>200</v>
      </c>
      <c r="AC138" s="22">
        <f t="shared" si="5"/>
        <v>40845</v>
      </c>
      <c r="AD138" s="22">
        <f t="shared" si="6"/>
        <v>102071</v>
      </c>
    </row>
    <row r="139" spans="1:30" x14ac:dyDescent="0.25">
      <c r="A139" s="13">
        <v>163</v>
      </c>
      <c r="B139" s="14" t="s">
        <v>316</v>
      </c>
      <c r="C139" s="26" t="s">
        <v>317</v>
      </c>
      <c r="D139" s="14" t="s">
        <v>42</v>
      </c>
      <c r="E139" s="20">
        <v>4320</v>
      </c>
      <c r="F139" s="20">
        <v>10800</v>
      </c>
      <c r="G139" s="20">
        <v>33536</v>
      </c>
      <c r="H139" s="20">
        <v>83816</v>
      </c>
      <c r="I139" s="20">
        <v>631</v>
      </c>
      <c r="J139" s="20">
        <v>1575</v>
      </c>
      <c r="K139" s="20">
        <v>2167</v>
      </c>
      <c r="L139" s="20">
        <v>5407</v>
      </c>
      <c r="M139" s="20"/>
      <c r="N139" s="20"/>
      <c r="O139" s="20"/>
      <c r="P139" s="20"/>
      <c r="Q139" s="20">
        <v>57824</v>
      </c>
      <c r="R139" s="20">
        <v>144560</v>
      </c>
      <c r="S139" s="20">
        <v>1465</v>
      </c>
      <c r="T139" s="20">
        <v>3661</v>
      </c>
      <c r="U139" s="20"/>
      <c r="V139" s="20"/>
      <c r="W139" s="20"/>
      <c r="X139" s="20"/>
      <c r="Y139" s="20"/>
      <c r="Z139" s="20"/>
      <c r="AA139" s="20"/>
      <c r="AB139" s="20"/>
      <c r="AC139" s="22">
        <f t="shared" si="5"/>
        <v>99943</v>
      </c>
      <c r="AD139" s="22">
        <f t="shared" si="6"/>
        <v>249819</v>
      </c>
    </row>
    <row r="140" spans="1:30" x14ac:dyDescent="0.25">
      <c r="A140" s="13">
        <v>165</v>
      </c>
      <c r="B140" s="14" t="s">
        <v>318</v>
      </c>
      <c r="C140" s="26" t="s">
        <v>319</v>
      </c>
      <c r="D140" s="14" t="s">
        <v>42</v>
      </c>
      <c r="E140" s="20">
        <v>21782</v>
      </c>
      <c r="F140" s="20">
        <v>54453</v>
      </c>
      <c r="G140" s="20">
        <v>60264</v>
      </c>
      <c r="H140" s="20">
        <v>150614</v>
      </c>
      <c r="I140" s="20"/>
      <c r="J140" s="20"/>
      <c r="K140" s="20">
        <v>14058</v>
      </c>
      <c r="L140" s="20">
        <v>35124</v>
      </c>
      <c r="M140" s="20"/>
      <c r="N140" s="20"/>
      <c r="O140" s="20"/>
      <c r="P140" s="20"/>
      <c r="Q140" s="20">
        <v>27256</v>
      </c>
      <c r="R140" s="20">
        <v>68140</v>
      </c>
      <c r="S140" s="20">
        <v>1322</v>
      </c>
      <c r="T140" s="20">
        <v>3305</v>
      </c>
      <c r="U140" s="20"/>
      <c r="V140" s="20"/>
      <c r="W140" s="20"/>
      <c r="X140" s="20"/>
      <c r="Y140" s="20"/>
      <c r="Z140" s="20"/>
      <c r="AA140" s="20">
        <v>23</v>
      </c>
      <c r="AB140" s="20">
        <v>55</v>
      </c>
      <c r="AC140" s="22">
        <f t="shared" ref="AC140:AC203" si="7">SUM(E140+G140+I140+K140+M140+O140+Q140+S140+U140+W140+Y140+AA140)</f>
        <v>124705</v>
      </c>
      <c r="AD140" s="22">
        <f t="shared" ref="AD140:AD203" si="8">SUM(F140+H140+J140+L140+N140+P140+R140+T140+V140+X140+Z140+AB140)</f>
        <v>311691</v>
      </c>
    </row>
    <row r="141" spans="1:30" x14ac:dyDescent="0.25">
      <c r="A141" s="13">
        <v>166</v>
      </c>
      <c r="B141" s="14" t="s">
        <v>320</v>
      </c>
      <c r="C141" s="26" t="s">
        <v>321</v>
      </c>
      <c r="D141" s="14" t="s">
        <v>42</v>
      </c>
      <c r="E141" s="20">
        <v>364511</v>
      </c>
      <c r="F141" s="20">
        <v>911275</v>
      </c>
      <c r="G141" s="20">
        <v>406206</v>
      </c>
      <c r="H141" s="20">
        <v>1015476</v>
      </c>
      <c r="I141" s="20">
        <v>107355</v>
      </c>
      <c r="J141" s="20">
        <v>268387</v>
      </c>
      <c r="K141" s="20">
        <v>6352</v>
      </c>
      <c r="L141" s="20">
        <v>15867</v>
      </c>
      <c r="M141" s="20"/>
      <c r="N141" s="20"/>
      <c r="O141" s="20"/>
      <c r="P141" s="20"/>
      <c r="Q141" s="20"/>
      <c r="R141" s="20"/>
      <c r="S141" s="20">
        <v>12</v>
      </c>
      <c r="T141" s="20">
        <v>30</v>
      </c>
      <c r="U141" s="20"/>
      <c r="V141" s="20"/>
      <c r="W141" s="20"/>
      <c r="X141" s="20"/>
      <c r="Y141" s="20"/>
      <c r="Z141" s="20"/>
      <c r="AA141" s="20"/>
      <c r="AB141" s="20"/>
      <c r="AC141" s="22">
        <f t="shared" si="7"/>
        <v>884436</v>
      </c>
      <c r="AD141" s="22">
        <f t="shared" si="8"/>
        <v>2211035</v>
      </c>
    </row>
    <row r="142" spans="1:30" x14ac:dyDescent="0.25">
      <c r="A142" s="13">
        <v>167</v>
      </c>
      <c r="B142" s="14" t="s">
        <v>322</v>
      </c>
      <c r="C142" s="26" t="s">
        <v>323</v>
      </c>
      <c r="D142" s="14" t="s">
        <v>42</v>
      </c>
      <c r="E142" s="20">
        <v>656478</v>
      </c>
      <c r="F142" s="20">
        <v>1641194</v>
      </c>
      <c r="G142" s="20">
        <v>445651</v>
      </c>
      <c r="H142" s="20">
        <v>1114100</v>
      </c>
      <c r="I142" s="20">
        <v>616951</v>
      </c>
      <c r="J142" s="20">
        <v>1542374</v>
      </c>
      <c r="K142" s="20">
        <v>6215</v>
      </c>
      <c r="L142" s="20">
        <v>15521</v>
      </c>
      <c r="M142" s="20"/>
      <c r="N142" s="20"/>
      <c r="O142" s="20"/>
      <c r="P142" s="20"/>
      <c r="Q142" s="20"/>
      <c r="R142" s="20"/>
      <c r="S142" s="20">
        <v>940</v>
      </c>
      <c r="T142" s="20">
        <v>2350</v>
      </c>
      <c r="U142" s="20"/>
      <c r="V142" s="20"/>
      <c r="W142" s="20"/>
      <c r="X142" s="20"/>
      <c r="Y142" s="20"/>
      <c r="Z142" s="20"/>
      <c r="AA142" s="20">
        <v>40</v>
      </c>
      <c r="AB142" s="20">
        <v>100</v>
      </c>
      <c r="AC142" s="22">
        <f t="shared" si="7"/>
        <v>1726275</v>
      </c>
      <c r="AD142" s="22">
        <f t="shared" si="8"/>
        <v>4315639</v>
      </c>
    </row>
    <row r="143" spans="1:30" x14ac:dyDescent="0.25">
      <c r="A143" s="13">
        <v>168</v>
      </c>
      <c r="B143" s="14" t="s">
        <v>324</v>
      </c>
      <c r="C143" s="26" t="s">
        <v>325</v>
      </c>
      <c r="D143" s="14" t="s">
        <v>42</v>
      </c>
      <c r="E143" s="20">
        <v>1492472</v>
      </c>
      <c r="F143" s="20">
        <v>3731178</v>
      </c>
      <c r="G143" s="20">
        <v>459950</v>
      </c>
      <c r="H143" s="20">
        <v>1149839</v>
      </c>
      <c r="I143" s="20"/>
      <c r="J143" s="20"/>
      <c r="K143" s="20">
        <v>4927</v>
      </c>
      <c r="L143" s="20">
        <v>12306</v>
      </c>
      <c r="M143" s="20"/>
      <c r="N143" s="20"/>
      <c r="O143" s="20">
        <v>11832</v>
      </c>
      <c r="P143" s="20">
        <v>29579</v>
      </c>
      <c r="Q143" s="20">
        <v>104036</v>
      </c>
      <c r="R143" s="20">
        <v>260090</v>
      </c>
      <c r="S143" s="20">
        <v>3240</v>
      </c>
      <c r="T143" s="20">
        <v>8100</v>
      </c>
      <c r="U143" s="20"/>
      <c r="V143" s="20"/>
      <c r="W143" s="20"/>
      <c r="X143" s="20"/>
      <c r="Y143" s="20"/>
      <c r="Z143" s="20"/>
      <c r="AA143" s="20"/>
      <c r="AB143" s="20"/>
      <c r="AC143" s="22">
        <f t="shared" si="7"/>
        <v>2076457</v>
      </c>
      <c r="AD143" s="22">
        <f t="shared" si="8"/>
        <v>5191092</v>
      </c>
    </row>
    <row r="144" spans="1:30" x14ac:dyDescent="0.25">
      <c r="A144" s="13">
        <v>169</v>
      </c>
      <c r="B144" s="14" t="s">
        <v>326</v>
      </c>
      <c r="C144" s="26" t="s">
        <v>327</v>
      </c>
      <c r="D144" s="14" t="s">
        <v>42</v>
      </c>
      <c r="E144" s="20">
        <v>1270860</v>
      </c>
      <c r="F144" s="20">
        <v>3177148</v>
      </c>
      <c r="G144" s="20">
        <v>388763</v>
      </c>
      <c r="H144" s="20">
        <v>971856</v>
      </c>
      <c r="I144" s="20">
        <v>78406</v>
      </c>
      <c r="J144" s="20">
        <v>196015</v>
      </c>
      <c r="K144" s="20">
        <v>1517</v>
      </c>
      <c r="L144" s="20">
        <v>3787</v>
      </c>
      <c r="M144" s="20"/>
      <c r="N144" s="20"/>
      <c r="O144" s="20"/>
      <c r="P144" s="20"/>
      <c r="Q144" s="20"/>
      <c r="R144" s="20"/>
      <c r="S144" s="20">
        <v>14</v>
      </c>
      <c r="T144" s="20">
        <v>35</v>
      </c>
      <c r="U144" s="20">
        <v>3240</v>
      </c>
      <c r="V144" s="20">
        <v>8100</v>
      </c>
      <c r="W144" s="20"/>
      <c r="X144" s="20"/>
      <c r="Y144" s="20"/>
      <c r="Z144" s="20"/>
      <c r="AA144" s="20"/>
      <c r="AB144" s="20"/>
      <c r="AC144" s="22">
        <f t="shared" si="7"/>
        <v>1742800</v>
      </c>
      <c r="AD144" s="22">
        <f t="shared" si="8"/>
        <v>4356941</v>
      </c>
    </row>
    <row r="145" spans="1:30" x14ac:dyDescent="0.25">
      <c r="A145" s="13">
        <v>170</v>
      </c>
      <c r="B145" s="14" t="s">
        <v>328</v>
      </c>
      <c r="C145" s="26" t="s">
        <v>329</v>
      </c>
      <c r="D145" s="14" t="s">
        <v>42</v>
      </c>
      <c r="E145" s="20">
        <v>443069</v>
      </c>
      <c r="F145" s="20">
        <v>1107672</v>
      </c>
      <c r="G145" s="20">
        <v>230382</v>
      </c>
      <c r="H145" s="20">
        <v>575856</v>
      </c>
      <c r="I145" s="20">
        <v>37557</v>
      </c>
      <c r="J145" s="20">
        <v>93892</v>
      </c>
      <c r="K145" s="20">
        <v>12494</v>
      </c>
      <c r="L145" s="20">
        <v>31219</v>
      </c>
      <c r="M145" s="20"/>
      <c r="N145" s="20"/>
      <c r="O145" s="20">
        <v>5483</v>
      </c>
      <c r="P145" s="20">
        <v>13706</v>
      </c>
      <c r="Q145" s="20">
        <v>45080</v>
      </c>
      <c r="R145" s="20">
        <v>112700</v>
      </c>
      <c r="S145" s="20">
        <v>1714</v>
      </c>
      <c r="T145" s="20">
        <v>4285</v>
      </c>
      <c r="U145" s="20"/>
      <c r="V145" s="20"/>
      <c r="W145" s="20"/>
      <c r="X145" s="20"/>
      <c r="Y145" s="20"/>
      <c r="Z145" s="20"/>
      <c r="AA145" s="20">
        <v>3</v>
      </c>
      <c r="AB145" s="20">
        <v>5</v>
      </c>
      <c r="AC145" s="22">
        <f t="shared" si="7"/>
        <v>775782</v>
      </c>
      <c r="AD145" s="22">
        <f t="shared" si="8"/>
        <v>1939335</v>
      </c>
    </row>
    <row r="146" spans="1:30" x14ac:dyDescent="0.25">
      <c r="A146" s="13">
        <v>171</v>
      </c>
      <c r="B146" s="14" t="s">
        <v>330</v>
      </c>
      <c r="C146" s="26" t="s">
        <v>331</v>
      </c>
      <c r="D146" s="14" t="s">
        <v>42</v>
      </c>
      <c r="E146" s="20">
        <v>896217</v>
      </c>
      <c r="F146" s="20">
        <v>2240540</v>
      </c>
      <c r="G146" s="20">
        <v>324397</v>
      </c>
      <c r="H146" s="20">
        <v>810944</v>
      </c>
      <c r="I146" s="20">
        <v>241120</v>
      </c>
      <c r="J146" s="20">
        <v>602800</v>
      </c>
      <c r="K146" s="20">
        <v>15538</v>
      </c>
      <c r="L146" s="20">
        <v>38813</v>
      </c>
      <c r="M146" s="20">
        <v>45344</v>
      </c>
      <c r="N146" s="20">
        <v>113356</v>
      </c>
      <c r="O146" s="20">
        <v>8805</v>
      </c>
      <c r="P146" s="20">
        <v>22011</v>
      </c>
      <c r="Q146" s="20">
        <v>43728</v>
      </c>
      <c r="R146" s="20">
        <v>109320</v>
      </c>
      <c r="S146" s="20">
        <v>3656</v>
      </c>
      <c r="T146" s="20">
        <v>9140</v>
      </c>
      <c r="U146" s="20"/>
      <c r="V146" s="20"/>
      <c r="W146" s="20"/>
      <c r="X146" s="20"/>
      <c r="Y146" s="20"/>
      <c r="Z146" s="20"/>
      <c r="AA146" s="20">
        <v>68</v>
      </c>
      <c r="AB146" s="20">
        <v>170</v>
      </c>
      <c r="AC146" s="22">
        <f t="shared" si="7"/>
        <v>1578873</v>
      </c>
      <c r="AD146" s="22">
        <f t="shared" si="8"/>
        <v>3947094</v>
      </c>
    </row>
    <row r="147" spans="1:30" x14ac:dyDescent="0.25">
      <c r="A147" s="13">
        <v>172</v>
      </c>
      <c r="B147" s="14" t="s">
        <v>332</v>
      </c>
      <c r="C147" s="26" t="s">
        <v>333</v>
      </c>
      <c r="D147" s="14" t="s">
        <v>42</v>
      </c>
      <c r="E147" s="20">
        <v>6906840</v>
      </c>
      <c r="F147" s="20">
        <v>17267098</v>
      </c>
      <c r="G147" s="20">
        <v>1090944</v>
      </c>
      <c r="H147" s="20">
        <v>2727303</v>
      </c>
      <c r="I147" s="20">
        <v>1249440</v>
      </c>
      <c r="J147" s="20">
        <v>3123600</v>
      </c>
      <c r="K147" s="20">
        <v>13190</v>
      </c>
      <c r="L147" s="20">
        <v>32919</v>
      </c>
      <c r="M147" s="20">
        <v>102190</v>
      </c>
      <c r="N147" s="20">
        <v>255472</v>
      </c>
      <c r="O147" s="20">
        <v>17284</v>
      </c>
      <c r="P147" s="20">
        <v>43208</v>
      </c>
      <c r="Q147" s="20">
        <v>105232</v>
      </c>
      <c r="R147" s="20">
        <v>263080</v>
      </c>
      <c r="S147" s="20">
        <v>6698</v>
      </c>
      <c r="T147" s="20">
        <v>16745</v>
      </c>
      <c r="U147" s="20"/>
      <c r="V147" s="20"/>
      <c r="W147" s="20"/>
      <c r="X147" s="20"/>
      <c r="Y147" s="20"/>
      <c r="Z147" s="20"/>
      <c r="AA147" s="20">
        <v>196</v>
      </c>
      <c r="AB147" s="20">
        <v>490</v>
      </c>
      <c r="AC147" s="22">
        <f t="shared" si="7"/>
        <v>9492014</v>
      </c>
      <c r="AD147" s="22">
        <f t="shared" si="8"/>
        <v>23729915</v>
      </c>
    </row>
    <row r="148" spans="1:30" x14ac:dyDescent="0.25">
      <c r="A148" s="13">
        <v>173</v>
      </c>
      <c r="B148" s="14" t="s">
        <v>334</v>
      </c>
      <c r="C148" s="26" t="s">
        <v>335</v>
      </c>
      <c r="D148" s="14" t="s">
        <v>42</v>
      </c>
      <c r="E148" s="20">
        <v>1111568</v>
      </c>
      <c r="F148" s="20">
        <v>2778920</v>
      </c>
      <c r="G148" s="20">
        <v>713657</v>
      </c>
      <c r="H148" s="20">
        <v>1784100</v>
      </c>
      <c r="I148" s="20">
        <v>202760</v>
      </c>
      <c r="J148" s="20">
        <v>506900</v>
      </c>
      <c r="K148" s="20">
        <v>9296</v>
      </c>
      <c r="L148" s="20">
        <v>23217</v>
      </c>
      <c r="M148" s="20">
        <v>50068</v>
      </c>
      <c r="N148" s="20">
        <v>125166</v>
      </c>
      <c r="O148" s="20"/>
      <c r="P148" s="20"/>
      <c r="Q148" s="20"/>
      <c r="R148" s="20"/>
      <c r="S148" s="20">
        <v>40</v>
      </c>
      <c r="T148" s="20">
        <v>100</v>
      </c>
      <c r="U148" s="20"/>
      <c r="V148" s="20"/>
      <c r="W148" s="20"/>
      <c r="X148" s="20"/>
      <c r="Y148" s="20"/>
      <c r="Z148" s="20"/>
      <c r="AA148" s="20"/>
      <c r="AB148" s="20"/>
      <c r="AC148" s="22">
        <f t="shared" si="7"/>
        <v>2087389</v>
      </c>
      <c r="AD148" s="22">
        <f t="shared" si="8"/>
        <v>5218403</v>
      </c>
    </row>
    <row r="149" spans="1:30" x14ac:dyDescent="0.25">
      <c r="A149" s="13">
        <v>174</v>
      </c>
      <c r="B149" s="14" t="s">
        <v>336</v>
      </c>
      <c r="C149" s="26" t="s">
        <v>337</v>
      </c>
      <c r="D149" s="14" t="s">
        <v>42</v>
      </c>
      <c r="E149" s="20">
        <v>255814</v>
      </c>
      <c r="F149" s="20">
        <v>639532</v>
      </c>
      <c r="G149" s="20">
        <v>260242</v>
      </c>
      <c r="H149" s="20">
        <v>650568</v>
      </c>
      <c r="I149" s="20"/>
      <c r="J149" s="20"/>
      <c r="K149" s="20">
        <v>44822</v>
      </c>
      <c r="L149" s="20">
        <v>112046</v>
      </c>
      <c r="M149" s="20"/>
      <c r="N149" s="20"/>
      <c r="O149" s="20"/>
      <c r="P149" s="20"/>
      <c r="Q149" s="20"/>
      <c r="R149" s="20"/>
      <c r="S149" s="20"/>
      <c r="T149" s="20"/>
      <c r="U149" s="20"/>
      <c r="V149" s="20"/>
      <c r="W149" s="20"/>
      <c r="X149" s="20"/>
      <c r="Y149" s="20"/>
      <c r="Z149" s="20"/>
      <c r="AA149" s="20">
        <v>60</v>
      </c>
      <c r="AB149" s="20">
        <v>150</v>
      </c>
      <c r="AC149" s="22">
        <f t="shared" si="7"/>
        <v>560938</v>
      </c>
      <c r="AD149" s="22">
        <f t="shared" si="8"/>
        <v>1402296</v>
      </c>
    </row>
    <row r="150" spans="1:30" x14ac:dyDescent="0.25">
      <c r="A150" s="13">
        <v>175</v>
      </c>
      <c r="B150" s="14" t="s">
        <v>338</v>
      </c>
      <c r="C150" s="26" t="s">
        <v>339</v>
      </c>
      <c r="D150" s="14" t="s">
        <v>42</v>
      </c>
      <c r="E150" s="20">
        <v>948161</v>
      </c>
      <c r="F150" s="20">
        <v>2370401</v>
      </c>
      <c r="G150" s="20">
        <v>58800</v>
      </c>
      <c r="H150" s="20">
        <v>146972</v>
      </c>
      <c r="I150" s="20">
        <v>89660</v>
      </c>
      <c r="J150" s="20">
        <v>224150</v>
      </c>
      <c r="K150" s="20">
        <v>74107</v>
      </c>
      <c r="L150" s="20">
        <v>185254</v>
      </c>
      <c r="M150" s="20"/>
      <c r="N150" s="20"/>
      <c r="O150" s="20"/>
      <c r="P150" s="20"/>
      <c r="Q150" s="20"/>
      <c r="R150" s="20"/>
      <c r="S150" s="20"/>
      <c r="T150" s="20"/>
      <c r="U150" s="20"/>
      <c r="V150" s="20"/>
      <c r="W150" s="20"/>
      <c r="X150" s="20"/>
      <c r="Y150" s="20"/>
      <c r="Z150" s="20"/>
      <c r="AA150" s="20"/>
      <c r="AB150" s="20"/>
      <c r="AC150" s="22">
        <f t="shared" si="7"/>
        <v>1170728</v>
      </c>
      <c r="AD150" s="22">
        <f t="shared" si="8"/>
        <v>2926777</v>
      </c>
    </row>
    <row r="151" spans="1:30" x14ac:dyDescent="0.25">
      <c r="A151" s="13">
        <v>178</v>
      </c>
      <c r="B151" s="14" t="s">
        <v>340</v>
      </c>
      <c r="C151" s="26" t="s">
        <v>341</v>
      </c>
      <c r="D151" s="14" t="s">
        <v>42</v>
      </c>
      <c r="E151" s="20">
        <v>231</v>
      </c>
      <c r="F151" s="20">
        <v>576</v>
      </c>
      <c r="G151" s="20">
        <v>2481</v>
      </c>
      <c r="H151" s="20">
        <v>6194</v>
      </c>
      <c r="I151" s="20"/>
      <c r="J151" s="20"/>
      <c r="K151" s="20">
        <v>2313</v>
      </c>
      <c r="L151" s="20">
        <v>5773</v>
      </c>
      <c r="M151" s="20"/>
      <c r="N151" s="20"/>
      <c r="O151" s="20"/>
      <c r="P151" s="20"/>
      <c r="Q151" s="20"/>
      <c r="R151" s="20"/>
      <c r="S151" s="20">
        <v>1748</v>
      </c>
      <c r="T151" s="20">
        <v>4370</v>
      </c>
      <c r="U151" s="20"/>
      <c r="V151" s="20"/>
      <c r="W151" s="20"/>
      <c r="X151" s="20"/>
      <c r="Y151" s="20"/>
      <c r="Z151" s="20"/>
      <c r="AA151" s="20">
        <v>1</v>
      </c>
      <c r="AB151" s="20">
        <v>1</v>
      </c>
      <c r="AC151" s="22">
        <f t="shared" si="7"/>
        <v>6774</v>
      </c>
      <c r="AD151" s="22">
        <f t="shared" si="8"/>
        <v>16914</v>
      </c>
    </row>
    <row r="152" spans="1:30" x14ac:dyDescent="0.25">
      <c r="A152" s="13">
        <v>179</v>
      </c>
      <c r="B152" s="14" t="s">
        <v>342</v>
      </c>
      <c r="C152" s="26" t="s">
        <v>343</v>
      </c>
      <c r="D152" s="14" t="s">
        <v>42</v>
      </c>
      <c r="E152" s="20">
        <v>158964</v>
      </c>
      <c r="F152" s="20">
        <v>397406</v>
      </c>
      <c r="G152" s="20">
        <v>41880</v>
      </c>
      <c r="H152" s="20">
        <v>104645</v>
      </c>
      <c r="I152" s="20">
        <v>37440</v>
      </c>
      <c r="J152" s="20">
        <v>93600</v>
      </c>
      <c r="K152" s="20">
        <v>12869</v>
      </c>
      <c r="L152" s="20">
        <v>32154</v>
      </c>
      <c r="M152" s="20">
        <v>16408</v>
      </c>
      <c r="N152" s="20">
        <v>41016</v>
      </c>
      <c r="O152" s="20">
        <v>1523</v>
      </c>
      <c r="P152" s="20">
        <v>3806</v>
      </c>
      <c r="Q152" s="20">
        <v>23392</v>
      </c>
      <c r="R152" s="20">
        <v>58478</v>
      </c>
      <c r="S152" s="20">
        <v>735</v>
      </c>
      <c r="T152" s="20">
        <v>1837</v>
      </c>
      <c r="U152" s="20"/>
      <c r="V152" s="20"/>
      <c r="W152" s="20"/>
      <c r="X152" s="20"/>
      <c r="Y152" s="20"/>
      <c r="Z152" s="20"/>
      <c r="AA152" s="20">
        <v>2</v>
      </c>
      <c r="AB152" s="20">
        <v>2</v>
      </c>
      <c r="AC152" s="22">
        <f t="shared" si="7"/>
        <v>293213</v>
      </c>
      <c r="AD152" s="22">
        <f t="shared" si="8"/>
        <v>732944</v>
      </c>
    </row>
    <row r="153" spans="1:30" x14ac:dyDescent="0.25">
      <c r="A153" s="13">
        <v>180</v>
      </c>
      <c r="B153" s="14" t="s">
        <v>344</v>
      </c>
      <c r="C153" s="26" t="s">
        <v>345</v>
      </c>
      <c r="D153" s="14" t="s">
        <v>42</v>
      </c>
      <c r="E153" s="20">
        <v>40</v>
      </c>
      <c r="F153" s="20">
        <v>96</v>
      </c>
      <c r="G153" s="20">
        <v>5428</v>
      </c>
      <c r="H153" s="20">
        <v>13517</v>
      </c>
      <c r="I153" s="20"/>
      <c r="J153" s="20"/>
      <c r="K153" s="20">
        <v>5319</v>
      </c>
      <c r="L153" s="20">
        <v>13264</v>
      </c>
      <c r="M153" s="20"/>
      <c r="N153" s="20"/>
      <c r="O153" s="20"/>
      <c r="P153" s="20"/>
      <c r="Q153" s="20"/>
      <c r="R153" s="20"/>
      <c r="S153" s="20">
        <v>564</v>
      </c>
      <c r="T153" s="20">
        <v>1410</v>
      </c>
      <c r="U153" s="20"/>
      <c r="V153" s="20"/>
      <c r="W153" s="20"/>
      <c r="X153" s="20"/>
      <c r="Y153" s="20"/>
      <c r="Z153" s="20"/>
      <c r="AA153" s="20">
        <v>2</v>
      </c>
      <c r="AB153" s="20">
        <v>2</v>
      </c>
      <c r="AC153" s="22">
        <f t="shared" si="7"/>
        <v>11353</v>
      </c>
      <c r="AD153" s="22">
        <f t="shared" si="8"/>
        <v>28289</v>
      </c>
    </row>
    <row r="154" spans="1:30" x14ac:dyDescent="0.25">
      <c r="A154" s="13">
        <v>181</v>
      </c>
      <c r="B154" s="14" t="s">
        <v>346</v>
      </c>
      <c r="C154" s="26" t="s">
        <v>347</v>
      </c>
      <c r="D154" s="14" t="s">
        <v>42</v>
      </c>
      <c r="E154" s="20"/>
      <c r="F154" s="20"/>
      <c r="G154" s="20">
        <v>2475</v>
      </c>
      <c r="H154" s="20">
        <v>6162</v>
      </c>
      <c r="I154" s="20"/>
      <c r="J154" s="20"/>
      <c r="K154" s="20">
        <v>6014</v>
      </c>
      <c r="L154" s="20">
        <v>15024</v>
      </c>
      <c r="M154" s="20"/>
      <c r="N154" s="20"/>
      <c r="O154" s="20"/>
      <c r="P154" s="20"/>
      <c r="Q154" s="20"/>
      <c r="R154" s="20"/>
      <c r="S154" s="20">
        <v>68</v>
      </c>
      <c r="T154" s="20">
        <v>166</v>
      </c>
      <c r="U154" s="20"/>
      <c r="V154" s="20"/>
      <c r="W154" s="20"/>
      <c r="X154" s="20"/>
      <c r="Y154" s="20"/>
      <c r="Z154" s="20"/>
      <c r="AA154" s="20"/>
      <c r="AB154" s="20"/>
      <c r="AC154" s="22">
        <f t="shared" si="7"/>
        <v>8557</v>
      </c>
      <c r="AD154" s="22">
        <f t="shared" si="8"/>
        <v>21352</v>
      </c>
    </row>
    <row r="155" spans="1:30" x14ac:dyDescent="0.25">
      <c r="A155" s="13">
        <v>182</v>
      </c>
      <c r="B155" s="14" t="s">
        <v>348</v>
      </c>
      <c r="C155" s="26" t="s">
        <v>349</v>
      </c>
      <c r="D155" s="14" t="s">
        <v>42</v>
      </c>
      <c r="E155" s="20">
        <v>96</v>
      </c>
      <c r="F155" s="20">
        <v>239</v>
      </c>
      <c r="G155" s="20">
        <v>13350</v>
      </c>
      <c r="H155" s="20">
        <v>33353</v>
      </c>
      <c r="I155" s="20"/>
      <c r="J155" s="20"/>
      <c r="K155" s="20">
        <v>2739</v>
      </c>
      <c r="L155" s="20">
        <v>6833</v>
      </c>
      <c r="M155" s="20"/>
      <c r="N155" s="20"/>
      <c r="O155" s="20"/>
      <c r="P155" s="20"/>
      <c r="Q155" s="20"/>
      <c r="R155" s="20"/>
      <c r="S155" s="20">
        <v>217</v>
      </c>
      <c r="T155" s="20">
        <v>541</v>
      </c>
      <c r="U155" s="20"/>
      <c r="V155" s="20"/>
      <c r="W155" s="20"/>
      <c r="X155" s="20"/>
      <c r="Y155" s="20"/>
      <c r="Z155" s="20"/>
      <c r="AA155" s="20"/>
      <c r="AB155" s="20"/>
      <c r="AC155" s="22">
        <f t="shared" si="7"/>
        <v>16402</v>
      </c>
      <c r="AD155" s="22">
        <f t="shared" si="8"/>
        <v>40966</v>
      </c>
    </row>
    <row r="156" spans="1:30" x14ac:dyDescent="0.25">
      <c r="A156" s="13">
        <v>183</v>
      </c>
      <c r="B156" s="14" t="s">
        <v>350</v>
      </c>
      <c r="C156" s="26" t="s">
        <v>351</v>
      </c>
      <c r="D156" s="14" t="s">
        <v>42</v>
      </c>
      <c r="E156" s="20">
        <v>279320</v>
      </c>
      <c r="F156" s="20">
        <v>698299</v>
      </c>
      <c r="G156" s="20">
        <v>118389</v>
      </c>
      <c r="H156" s="20">
        <v>295925</v>
      </c>
      <c r="I156" s="20">
        <v>26679</v>
      </c>
      <c r="J156" s="20">
        <v>66696</v>
      </c>
      <c r="K156" s="20">
        <v>24130</v>
      </c>
      <c r="L156" s="20">
        <v>60294</v>
      </c>
      <c r="M156" s="20"/>
      <c r="N156" s="20"/>
      <c r="O156" s="20"/>
      <c r="P156" s="20"/>
      <c r="Q156" s="20"/>
      <c r="R156" s="20"/>
      <c r="S156" s="20">
        <v>67</v>
      </c>
      <c r="T156" s="20">
        <v>165</v>
      </c>
      <c r="U156" s="20"/>
      <c r="V156" s="20"/>
      <c r="W156" s="20"/>
      <c r="X156" s="20"/>
      <c r="Y156" s="20"/>
      <c r="Z156" s="20"/>
      <c r="AA156" s="20">
        <v>14</v>
      </c>
      <c r="AB156" s="20">
        <v>32</v>
      </c>
      <c r="AC156" s="22">
        <f t="shared" si="7"/>
        <v>448599</v>
      </c>
      <c r="AD156" s="22">
        <f t="shared" si="8"/>
        <v>1121411</v>
      </c>
    </row>
    <row r="157" spans="1:30" x14ac:dyDescent="0.25">
      <c r="A157" s="13">
        <v>184</v>
      </c>
      <c r="B157" s="14" t="s">
        <v>352</v>
      </c>
      <c r="C157" s="26" t="s">
        <v>353</v>
      </c>
      <c r="D157" s="14" t="s">
        <v>42</v>
      </c>
      <c r="E157" s="20">
        <v>54152</v>
      </c>
      <c r="F157" s="20">
        <v>135377</v>
      </c>
      <c r="G157" s="20">
        <v>17560</v>
      </c>
      <c r="H157" s="20">
        <v>43857</v>
      </c>
      <c r="I157" s="20">
        <v>18720</v>
      </c>
      <c r="J157" s="20">
        <v>46800</v>
      </c>
      <c r="K157" s="20">
        <v>4905</v>
      </c>
      <c r="L157" s="20">
        <v>12246</v>
      </c>
      <c r="M157" s="20"/>
      <c r="N157" s="20"/>
      <c r="O157" s="20"/>
      <c r="P157" s="20"/>
      <c r="Q157" s="20"/>
      <c r="R157" s="20"/>
      <c r="S157" s="20">
        <v>373</v>
      </c>
      <c r="T157" s="20">
        <v>932</v>
      </c>
      <c r="U157" s="20"/>
      <c r="V157" s="20"/>
      <c r="W157" s="20"/>
      <c r="X157" s="20"/>
      <c r="Y157" s="20"/>
      <c r="Z157" s="20"/>
      <c r="AA157" s="20">
        <v>2</v>
      </c>
      <c r="AB157" s="20">
        <v>4</v>
      </c>
      <c r="AC157" s="22">
        <f t="shared" si="7"/>
        <v>95712</v>
      </c>
      <c r="AD157" s="22">
        <f t="shared" si="8"/>
        <v>239216</v>
      </c>
    </row>
    <row r="158" spans="1:30" x14ac:dyDescent="0.25">
      <c r="A158" s="13">
        <v>185</v>
      </c>
      <c r="B158" s="14" t="s">
        <v>354</v>
      </c>
      <c r="C158" s="26" t="s">
        <v>355</v>
      </c>
      <c r="D158" s="14" t="s">
        <v>42</v>
      </c>
      <c r="E158" s="20">
        <v>180757</v>
      </c>
      <c r="F158" s="20">
        <v>451890</v>
      </c>
      <c r="G158" s="20">
        <v>56454</v>
      </c>
      <c r="H158" s="20">
        <v>141058</v>
      </c>
      <c r="I158" s="20">
        <v>63635</v>
      </c>
      <c r="J158" s="20">
        <v>159085</v>
      </c>
      <c r="K158" s="20">
        <v>28350</v>
      </c>
      <c r="L158" s="20">
        <v>70844</v>
      </c>
      <c r="M158" s="20">
        <v>12032</v>
      </c>
      <c r="N158" s="20">
        <v>30080</v>
      </c>
      <c r="O158" s="20">
        <v>1016</v>
      </c>
      <c r="P158" s="20">
        <v>2536</v>
      </c>
      <c r="Q158" s="20"/>
      <c r="R158" s="20"/>
      <c r="S158" s="20">
        <v>94</v>
      </c>
      <c r="T158" s="20">
        <v>235</v>
      </c>
      <c r="U158" s="20"/>
      <c r="V158" s="20"/>
      <c r="W158" s="20"/>
      <c r="X158" s="20"/>
      <c r="Y158" s="20"/>
      <c r="Z158" s="20"/>
      <c r="AA158" s="20"/>
      <c r="AB158" s="20"/>
      <c r="AC158" s="22">
        <f t="shared" si="7"/>
        <v>342338</v>
      </c>
      <c r="AD158" s="22">
        <f t="shared" si="8"/>
        <v>855728</v>
      </c>
    </row>
    <row r="159" spans="1:30" x14ac:dyDescent="0.25">
      <c r="A159" s="13">
        <v>186</v>
      </c>
      <c r="B159" s="14" t="s">
        <v>356</v>
      </c>
      <c r="C159" s="26" t="s">
        <v>357</v>
      </c>
      <c r="D159" s="14" t="s">
        <v>42</v>
      </c>
      <c r="E159" s="20">
        <v>1290</v>
      </c>
      <c r="F159" s="20">
        <v>3225</v>
      </c>
      <c r="G159" s="20">
        <v>11497</v>
      </c>
      <c r="H159" s="20">
        <v>28712</v>
      </c>
      <c r="I159" s="20">
        <v>13152</v>
      </c>
      <c r="J159" s="20">
        <v>32880</v>
      </c>
      <c r="K159" s="20">
        <v>6284</v>
      </c>
      <c r="L159" s="20">
        <v>15699</v>
      </c>
      <c r="M159" s="20">
        <v>14868</v>
      </c>
      <c r="N159" s="20">
        <v>37170</v>
      </c>
      <c r="O159" s="20"/>
      <c r="P159" s="20"/>
      <c r="Q159" s="20"/>
      <c r="R159" s="20"/>
      <c r="S159" s="20">
        <v>2920</v>
      </c>
      <c r="T159" s="20">
        <v>7300</v>
      </c>
      <c r="U159" s="20"/>
      <c r="V159" s="20"/>
      <c r="W159" s="20"/>
      <c r="X159" s="20"/>
      <c r="Y159" s="20"/>
      <c r="Z159" s="20"/>
      <c r="AA159" s="20">
        <v>10</v>
      </c>
      <c r="AB159" s="20">
        <v>22</v>
      </c>
      <c r="AC159" s="22">
        <f t="shared" si="7"/>
        <v>50021</v>
      </c>
      <c r="AD159" s="22">
        <f t="shared" si="8"/>
        <v>125008</v>
      </c>
    </row>
    <row r="160" spans="1:30" x14ac:dyDescent="0.25">
      <c r="A160" s="13">
        <v>187</v>
      </c>
      <c r="B160" s="14" t="s">
        <v>358</v>
      </c>
      <c r="C160" s="26" t="s">
        <v>359</v>
      </c>
      <c r="D160" s="14" t="s">
        <v>42</v>
      </c>
      <c r="E160" s="20">
        <v>633</v>
      </c>
      <c r="F160" s="20">
        <v>1581</v>
      </c>
      <c r="G160" s="20">
        <v>3136</v>
      </c>
      <c r="H160" s="20">
        <v>7810</v>
      </c>
      <c r="I160" s="20"/>
      <c r="J160" s="20"/>
      <c r="K160" s="20">
        <v>8346</v>
      </c>
      <c r="L160" s="20">
        <v>20848</v>
      </c>
      <c r="M160" s="20">
        <v>21814</v>
      </c>
      <c r="N160" s="20">
        <v>54532</v>
      </c>
      <c r="O160" s="20"/>
      <c r="P160" s="20"/>
      <c r="Q160" s="20"/>
      <c r="R160" s="20"/>
      <c r="S160" s="20">
        <v>416</v>
      </c>
      <c r="T160" s="20">
        <v>1040</v>
      </c>
      <c r="U160" s="20"/>
      <c r="V160" s="20"/>
      <c r="W160" s="20"/>
      <c r="X160" s="20"/>
      <c r="Y160" s="20"/>
      <c r="Z160" s="20"/>
      <c r="AA160" s="20">
        <v>2</v>
      </c>
      <c r="AB160" s="20">
        <v>2</v>
      </c>
      <c r="AC160" s="22">
        <f t="shared" si="7"/>
        <v>34347</v>
      </c>
      <c r="AD160" s="22">
        <f t="shared" si="8"/>
        <v>85813</v>
      </c>
    </row>
    <row r="161" spans="1:30" x14ac:dyDescent="0.25">
      <c r="A161" s="13">
        <v>189</v>
      </c>
      <c r="B161" s="14" t="s">
        <v>360</v>
      </c>
      <c r="C161" s="26" t="s">
        <v>361</v>
      </c>
      <c r="D161" s="14" t="s">
        <v>42</v>
      </c>
      <c r="E161" s="20">
        <v>100211</v>
      </c>
      <c r="F161" s="20">
        <v>250524</v>
      </c>
      <c r="G161" s="20">
        <v>3979</v>
      </c>
      <c r="H161" s="20">
        <v>9930</v>
      </c>
      <c r="I161" s="20">
        <v>60270</v>
      </c>
      <c r="J161" s="20">
        <v>150675</v>
      </c>
      <c r="K161" s="20">
        <v>1403</v>
      </c>
      <c r="L161" s="20">
        <v>3495</v>
      </c>
      <c r="M161" s="20"/>
      <c r="N161" s="20"/>
      <c r="O161" s="20"/>
      <c r="P161" s="20"/>
      <c r="Q161" s="20"/>
      <c r="R161" s="20"/>
      <c r="S161" s="20">
        <v>18</v>
      </c>
      <c r="T161" s="20">
        <v>45</v>
      </c>
      <c r="U161" s="20"/>
      <c r="V161" s="20"/>
      <c r="W161" s="20"/>
      <c r="X161" s="20"/>
      <c r="Y161" s="20"/>
      <c r="Z161" s="20"/>
      <c r="AA161" s="20"/>
      <c r="AB161" s="20"/>
      <c r="AC161" s="22">
        <f t="shared" si="7"/>
        <v>165881</v>
      </c>
      <c r="AD161" s="22">
        <f t="shared" si="8"/>
        <v>414669</v>
      </c>
    </row>
    <row r="162" spans="1:30" x14ac:dyDescent="0.25">
      <c r="A162" s="13">
        <v>190</v>
      </c>
      <c r="B162" s="14" t="s">
        <v>362</v>
      </c>
      <c r="C162" s="26" t="s">
        <v>363</v>
      </c>
      <c r="D162" s="14" t="s">
        <v>42</v>
      </c>
      <c r="E162" s="20">
        <v>76690</v>
      </c>
      <c r="F162" s="20">
        <v>191722</v>
      </c>
      <c r="G162" s="20">
        <v>244</v>
      </c>
      <c r="H162" s="20">
        <v>610</v>
      </c>
      <c r="I162" s="20">
        <v>21452</v>
      </c>
      <c r="J162" s="20">
        <v>53628</v>
      </c>
      <c r="K162" s="20">
        <v>1138</v>
      </c>
      <c r="L162" s="20">
        <v>2840</v>
      </c>
      <c r="M162" s="20">
        <v>5506</v>
      </c>
      <c r="N162" s="20">
        <v>13764</v>
      </c>
      <c r="O162" s="20"/>
      <c r="P162" s="20"/>
      <c r="Q162" s="20"/>
      <c r="R162" s="20"/>
      <c r="S162" s="20">
        <v>8</v>
      </c>
      <c r="T162" s="20">
        <v>20</v>
      </c>
      <c r="U162" s="20"/>
      <c r="V162" s="20"/>
      <c r="W162" s="20"/>
      <c r="X162" s="20"/>
      <c r="Y162" s="20">
        <v>62899</v>
      </c>
      <c r="Z162" s="20">
        <v>157199</v>
      </c>
      <c r="AA162" s="20"/>
      <c r="AB162" s="20"/>
      <c r="AC162" s="22">
        <f t="shared" si="7"/>
        <v>167937</v>
      </c>
      <c r="AD162" s="22">
        <f t="shared" si="8"/>
        <v>419783</v>
      </c>
    </row>
    <row r="163" spans="1:30" x14ac:dyDescent="0.25">
      <c r="A163" s="13">
        <v>191</v>
      </c>
      <c r="B163" s="14" t="s">
        <v>364</v>
      </c>
      <c r="C163" s="26" t="s">
        <v>365</v>
      </c>
      <c r="D163" s="14" t="s">
        <v>42</v>
      </c>
      <c r="E163" s="20">
        <v>72169</v>
      </c>
      <c r="F163" s="20">
        <v>180420</v>
      </c>
      <c r="G163" s="20">
        <v>222</v>
      </c>
      <c r="H163" s="20">
        <v>552</v>
      </c>
      <c r="I163" s="20">
        <v>17220</v>
      </c>
      <c r="J163" s="20">
        <v>43050</v>
      </c>
      <c r="K163" s="20">
        <v>238</v>
      </c>
      <c r="L163" s="20">
        <v>592</v>
      </c>
      <c r="M163" s="20">
        <v>2292</v>
      </c>
      <c r="N163" s="20">
        <v>5726</v>
      </c>
      <c r="O163" s="20"/>
      <c r="P163" s="20"/>
      <c r="Q163" s="20"/>
      <c r="R163" s="20"/>
      <c r="S163" s="20">
        <v>4</v>
      </c>
      <c r="T163" s="20">
        <v>10</v>
      </c>
      <c r="U163" s="20"/>
      <c r="V163" s="20"/>
      <c r="W163" s="20"/>
      <c r="X163" s="20"/>
      <c r="Y163" s="20">
        <v>112644</v>
      </c>
      <c r="Z163" s="20">
        <v>281571</v>
      </c>
      <c r="AA163" s="20"/>
      <c r="AB163" s="20"/>
      <c r="AC163" s="22">
        <f t="shared" si="7"/>
        <v>204789</v>
      </c>
      <c r="AD163" s="22">
        <f t="shared" si="8"/>
        <v>511921</v>
      </c>
    </row>
    <row r="164" spans="1:30" x14ac:dyDescent="0.25">
      <c r="A164" s="13">
        <v>192</v>
      </c>
      <c r="B164" s="14" t="s">
        <v>366</v>
      </c>
      <c r="C164" s="26" t="s">
        <v>367</v>
      </c>
      <c r="D164" s="14" t="s">
        <v>42</v>
      </c>
      <c r="E164" s="20">
        <v>10</v>
      </c>
      <c r="F164" s="20">
        <v>24</v>
      </c>
      <c r="G164" s="20">
        <v>268</v>
      </c>
      <c r="H164" s="20">
        <v>668</v>
      </c>
      <c r="I164" s="20">
        <v>1292</v>
      </c>
      <c r="J164" s="20">
        <v>3229</v>
      </c>
      <c r="K164" s="20">
        <v>118</v>
      </c>
      <c r="L164" s="20">
        <v>290</v>
      </c>
      <c r="M164" s="20"/>
      <c r="N164" s="20"/>
      <c r="O164" s="20"/>
      <c r="P164" s="20"/>
      <c r="Q164" s="20"/>
      <c r="R164" s="20"/>
      <c r="S164" s="20">
        <v>48</v>
      </c>
      <c r="T164" s="20">
        <v>120</v>
      </c>
      <c r="U164" s="20"/>
      <c r="V164" s="20"/>
      <c r="W164" s="20"/>
      <c r="X164" s="20"/>
      <c r="Y164" s="20"/>
      <c r="Z164" s="20"/>
      <c r="AA164" s="20"/>
      <c r="AB164" s="20"/>
      <c r="AC164" s="22">
        <f t="shared" si="7"/>
        <v>1736</v>
      </c>
      <c r="AD164" s="22">
        <f t="shared" si="8"/>
        <v>4331</v>
      </c>
    </row>
    <row r="165" spans="1:30" x14ac:dyDescent="0.25">
      <c r="A165" s="13">
        <v>193</v>
      </c>
      <c r="B165" s="14" t="s">
        <v>368</v>
      </c>
      <c r="C165" s="26" t="s">
        <v>369</v>
      </c>
      <c r="D165" s="14" t="s">
        <v>42</v>
      </c>
      <c r="E165" s="20">
        <v>460648</v>
      </c>
      <c r="F165" s="20">
        <v>1151619</v>
      </c>
      <c r="G165" s="20">
        <v>277540</v>
      </c>
      <c r="H165" s="20">
        <v>693834</v>
      </c>
      <c r="I165" s="20">
        <v>129269</v>
      </c>
      <c r="J165" s="20">
        <v>323170</v>
      </c>
      <c r="K165" s="20">
        <v>4638</v>
      </c>
      <c r="L165" s="20">
        <v>11586</v>
      </c>
      <c r="M165" s="20">
        <v>107080</v>
      </c>
      <c r="N165" s="20">
        <v>267698</v>
      </c>
      <c r="O165" s="20"/>
      <c r="P165" s="20"/>
      <c r="Q165" s="20"/>
      <c r="R165" s="20"/>
      <c r="S165" s="20">
        <v>2440</v>
      </c>
      <c r="T165" s="20">
        <v>6100</v>
      </c>
      <c r="U165" s="20">
        <v>3416</v>
      </c>
      <c r="V165" s="20">
        <v>8537</v>
      </c>
      <c r="W165" s="20"/>
      <c r="X165" s="20"/>
      <c r="Y165" s="20"/>
      <c r="Z165" s="20"/>
      <c r="AA165" s="20"/>
      <c r="AB165" s="20"/>
      <c r="AC165" s="22">
        <f t="shared" si="7"/>
        <v>985031</v>
      </c>
      <c r="AD165" s="22">
        <f t="shared" si="8"/>
        <v>2462544</v>
      </c>
    </row>
    <row r="166" spans="1:30" x14ac:dyDescent="0.25">
      <c r="A166" s="13">
        <v>194</v>
      </c>
      <c r="B166" s="14" t="s">
        <v>370</v>
      </c>
      <c r="C166" s="26" t="s">
        <v>371</v>
      </c>
      <c r="D166" s="14" t="s">
        <v>42</v>
      </c>
      <c r="E166" s="20">
        <v>1576532</v>
      </c>
      <c r="F166" s="20">
        <v>3941326</v>
      </c>
      <c r="G166" s="20">
        <v>479947</v>
      </c>
      <c r="H166" s="20">
        <v>1199829</v>
      </c>
      <c r="I166" s="20"/>
      <c r="J166" s="20"/>
      <c r="K166" s="20">
        <v>5497</v>
      </c>
      <c r="L166" s="20">
        <v>13737</v>
      </c>
      <c r="M166" s="20"/>
      <c r="N166" s="20"/>
      <c r="O166" s="20">
        <v>19633</v>
      </c>
      <c r="P166" s="20">
        <v>49082</v>
      </c>
      <c r="Q166" s="20">
        <v>198373</v>
      </c>
      <c r="R166" s="20">
        <v>495932</v>
      </c>
      <c r="S166" s="20">
        <v>3604</v>
      </c>
      <c r="T166" s="20">
        <v>9010</v>
      </c>
      <c r="U166" s="20"/>
      <c r="V166" s="20"/>
      <c r="W166" s="20"/>
      <c r="X166" s="20"/>
      <c r="Y166" s="20"/>
      <c r="Z166" s="20"/>
      <c r="AA166" s="20">
        <v>200</v>
      </c>
      <c r="AB166" s="20">
        <v>500</v>
      </c>
      <c r="AC166" s="22">
        <f t="shared" si="7"/>
        <v>2283786</v>
      </c>
      <c r="AD166" s="22">
        <f t="shared" si="8"/>
        <v>5709416</v>
      </c>
    </row>
    <row r="167" spans="1:30" x14ac:dyDescent="0.25">
      <c r="A167" s="13">
        <v>196</v>
      </c>
      <c r="B167" s="14" t="s">
        <v>372</v>
      </c>
      <c r="C167" s="26" t="s">
        <v>373</v>
      </c>
      <c r="D167" s="14" t="s">
        <v>42</v>
      </c>
      <c r="E167" s="20">
        <v>5501</v>
      </c>
      <c r="F167" s="20">
        <v>13751</v>
      </c>
      <c r="G167" s="20">
        <v>1457</v>
      </c>
      <c r="H167" s="20">
        <v>3586</v>
      </c>
      <c r="I167" s="20"/>
      <c r="J167" s="20"/>
      <c r="K167" s="20">
        <v>52</v>
      </c>
      <c r="L167" s="20">
        <v>102</v>
      </c>
      <c r="M167" s="20"/>
      <c r="N167" s="20"/>
      <c r="O167" s="20">
        <v>48</v>
      </c>
      <c r="P167" s="20">
        <v>118</v>
      </c>
      <c r="Q167" s="20"/>
      <c r="R167" s="20"/>
      <c r="S167" s="20">
        <v>8</v>
      </c>
      <c r="T167" s="20">
        <v>17</v>
      </c>
      <c r="U167" s="20"/>
      <c r="V167" s="20"/>
      <c r="W167" s="20"/>
      <c r="X167" s="20"/>
      <c r="Y167" s="20"/>
      <c r="Z167" s="20"/>
      <c r="AA167" s="20">
        <v>3</v>
      </c>
      <c r="AB167" s="20">
        <v>3</v>
      </c>
      <c r="AC167" s="22">
        <f t="shared" si="7"/>
        <v>7069</v>
      </c>
      <c r="AD167" s="22">
        <f t="shared" si="8"/>
        <v>17577</v>
      </c>
    </row>
    <row r="168" spans="1:30" x14ac:dyDescent="0.25">
      <c r="A168" s="13">
        <v>199</v>
      </c>
      <c r="B168" s="14" t="s">
        <v>374</v>
      </c>
      <c r="C168" s="26" t="s">
        <v>375</v>
      </c>
      <c r="D168" s="14" t="s">
        <v>42</v>
      </c>
      <c r="E168" s="20">
        <v>13032540</v>
      </c>
      <c r="F168" s="20">
        <v>32581348</v>
      </c>
      <c r="G168" s="20">
        <v>1697640</v>
      </c>
      <c r="H168" s="20">
        <v>4244059</v>
      </c>
      <c r="I168" s="20">
        <v>423177</v>
      </c>
      <c r="J168" s="20">
        <v>1057941</v>
      </c>
      <c r="K168" s="20">
        <v>13695</v>
      </c>
      <c r="L168" s="20">
        <v>34204</v>
      </c>
      <c r="M168" s="20"/>
      <c r="N168" s="20"/>
      <c r="O168" s="20">
        <v>6240</v>
      </c>
      <c r="P168" s="20">
        <v>15598</v>
      </c>
      <c r="Q168" s="20"/>
      <c r="R168" s="20"/>
      <c r="S168" s="20">
        <v>3568</v>
      </c>
      <c r="T168" s="20">
        <v>8920</v>
      </c>
      <c r="U168" s="20"/>
      <c r="V168" s="20"/>
      <c r="W168" s="20"/>
      <c r="X168" s="20"/>
      <c r="Y168" s="20"/>
      <c r="Z168" s="20"/>
      <c r="AA168" s="20">
        <v>16</v>
      </c>
      <c r="AB168" s="20">
        <v>40</v>
      </c>
      <c r="AC168" s="22">
        <f t="shared" si="7"/>
        <v>15176876</v>
      </c>
      <c r="AD168" s="22">
        <f t="shared" si="8"/>
        <v>37942110</v>
      </c>
    </row>
    <row r="169" spans="1:30" x14ac:dyDescent="0.25">
      <c r="A169" s="13">
        <v>200</v>
      </c>
      <c r="B169" s="14" t="s">
        <v>376</v>
      </c>
      <c r="C169" s="26" t="s">
        <v>377</v>
      </c>
      <c r="D169" s="14" t="s">
        <v>42</v>
      </c>
      <c r="E169" s="20"/>
      <c r="F169" s="20"/>
      <c r="G169" s="20">
        <v>80228</v>
      </c>
      <c r="H169" s="20">
        <v>200540</v>
      </c>
      <c r="I169" s="20"/>
      <c r="J169" s="20"/>
      <c r="K169" s="20">
        <v>6468</v>
      </c>
      <c r="L169" s="20">
        <v>16164</v>
      </c>
      <c r="M169" s="20"/>
      <c r="N169" s="20"/>
      <c r="O169" s="20"/>
      <c r="P169" s="20"/>
      <c r="Q169" s="20"/>
      <c r="R169" s="20"/>
      <c r="S169" s="20">
        <v>260</v>
      </c>
      <c r="T169" s="20">
        <v>650</v>
      </c>
      <c r="U169" s="20"/>
      <c r="V169" s="20"/>
      <c r="W169" s="20"/>
      <c r="X169" s="20"/>
      <c r="Y169" s="20"/>
      <c r="Z169" s="20"/>
      <c r="AA169" s="20">
        <v>8</v>
      </c>
      <c r="AB169" s="20">
        <v>20</v>
      </c>
      <c r="AC169" s="22">
        <f t="shared" si="7"/>
        <v>86964</v>
      </c>
      <c r="AD169" s="22">
        <f t="shared" si="8"/>
        <v>217374</v>
      </c>
    </row>
    <row r="170" spans="1:30" x14ac:dyDescent="0.25">
      <c r="A170" s="13">
        <v>201</v>
      </c>
      <c r="B170" s="14" t="s">
        <v>378</v>
      </c>
      <c r="C170" s="26" t="s">
        <v>379</v>
      </c>
      <c r="D170" s="14" t="s">
        <v>42</v>
      </c>
      <c r="E170" s="20">
        <v>5646286</v>
      </c>
      <c r="F170" s="20">
        <v>14115712</v>
      </c>
      <c r="G170" s="20">
        <v>635722</v>
      </c>
      <c r="H170" s="20">
        <v>1589252</v>
      </c>
      <c r="I170" s="20">
        <v>702274</v>
      </c>
      <c r="J170" s="20">
        <v>1755683</v>
      </c>
      <c r="K170" s="20">
        <v>38317</v>
      </c>
      <c r="L170" s="20">
        <v>95745</v>
      </c>
      <c r="M170" s="20"/>
      <c r="N170" s="20"/>
      <c r="O170" s="20">
        <v>6699</v>
      </c>
      <c r="P170" s="20">
        <v>16744</v>
      </c>
      <c r="Q170" s="20">
        <v>10879</v>
      </c>
      <c r="R170" s="20">
        <v>27196</v>
      </c>
      <c r="S170" s="20">
        <v>1838</v>
      </c>
      <c r="T170" s="20">
        <v>4593</v>
      </c>
      <c r="U170" s="20"/>
      <c r="V170" s="20"/>
      <c r="W170" s="20"/>
      <c r="X170" s="20"/>
      <c r="Y170" s="20"/>
      <c r="Z170" s="20"/>
      <c r="AA170" s="20">
        <v>47</v>
      </c>
      <c r="AB170" s="20">
        <v>115</v>
      </c>
      <c r="AC170" s="22">
        <f t="shared" si="7"/>
        <v>7042062</v>
      </c>
      <c r="AD170" s="22">
        <f t="shared" si="8"/>
        <v>17605040</v>
      </c>
    </row>
    <row r="171" spans="1:30" x14ac:dyDescent="0.25">
      <c r="A171" s="13">
        <v>202</v>
      </c>
      <c r="B171" s="14" t="s">
        <v>380</v>
      </c>
      <c r="C171" s="26" t="s">
        <v>381</v>
      </c>
      <c r="D171" s="14" t="s">
        <v>42</v>
      </c>
      <c r="E171" s="20">
        <v>1061204</v>
      </c>
      <c r="F171" s="20">
        <v>2653010</v>
      </c>
      <c r="G171" s="20">
        <v>359031</v>
      </c>
      <c r="H171" s="20">
        <v>897363</v>
      </c>
      <c r="I171" s="20">
        <v>225098</v>
      </c>
      <c r="J171" s="20">
        <v>562742</v>
      </c>
      <c r="K171" s="20">
        <v>103402</v>
      </c>
      <c r="L171" s="20">
        <v>258473</v>
      </c>
      <c r="M171" s="20"/>
      <c r="N171" s="20"/>
      <c r="O171" s="20"/>
      <c r="P171" s="20"/>
      <c r="Q171" s="20"/>
      <c r="R171" s="20"/>
      <c r="S171" s="20">
        <v>425</v>
      </c>
      <c r="T171" s="20">
        <v>1061</v>
      </c>
      <c r="U171" s="20"/>
      <c r="V171" s="20"/>
      <c r="W171" s="20"/>
      <c r="X171" s="20"/>
      <c r="Y171" s="20"/>
      <c r="Z171" s="20"/>
      <c r="AA171" s="20">
        <v>7</v>
      </c>
      <c r="AB171" s="20">
        <v>13</v>
      </c>
      <c r="AC171" s="22">
        <f t="shared" si="7"/>
        <v>1749167</v>
      </c>
      <c r="AD171" s="22">
        <f t="shared" si="8"/>
        <v>4372662</v>
      </c>
    </row>
    <row r="172" spans="1:30" x14ac:dyDescent="0.25">
      <c r="A172" s="13">
        <v>203</v>
      </c>
      <c r="B172" s="14" t="s">
        <v>382</v>
      </c>
      <c r="C172" s="26" t="s">
        <v>383</v>
      </c>
      <c r="D172" s="14" t="s">
        <v>42</v>
      </c>
      <c r="E172" s="20">
        <v>3305</v>
      </c>
      <c r="F172" s="20">
        <v>8261</v>
      </c>
      <c r="G172" s="20">
        <v>6767</v>
      </c>
      <c r="H172" s="20">
        <v>16915</v>
      </c>
      <c r="I172" s="20"/>
      <c r="J172" s="20"/>
      <c r="K172" s="20">
        <v>5338</v>
      </c>
      <c r="L172" s="20">
        <v>13340</v>
      </c>
      <c r="M172" s="20"/>
      <c r="N172" s="20"/>
      <c r="O172" s="20"/>
      <c r="P172" s="20"/>
      <c r="Q172" s="20"/>
      <c r="R172" s="20"/>
      <c r="S172" s="20"/>
      <c r="T172" s="20"/>
      <c r="U172" s="20"/>
      <c r="V172" s="20"/>
      <c r="W172" s="20"/>
      <c r="X172" s="20"/>
      <c r="Y172" s="20"/>
      <c r="Z172" s="20"/>
      <c r="AA172" s="20"/>
      <c r="AB172" s="20"/>
      <c r="AC172" s="22">
        <f t="shared" si="7"/>
        <v>15410</v>
      </c>
      <c r="AD172" s="22">
        <f t="shared" si="8"/>
        <v>38516</v>
      </c>
    </row>
    <row r="173" spans="1:30" x14ac:dyDescent="0.25">
      <c r="A173" s="13">
        <v>204</v>
      </c>
      <c r="B173" s="14" t="s">
        <v>384</v>
      </c>
      <c r="C173" s="26" t="s">
        <v>385</v>
      </c>
      <c r="D173" s="14" t="s">
        <v>42</v>
      </c>
      <c r="E173" s="20">
        <v>6074</v>
      </c>
      <c r="F173" s="20">
        <v>15183</v>
      </c>
      <c r="G173" s="20">
        <v>17614</v>
      </c>
      <c r="H173" s="20">
        <v>44027</v>
      </c>
      <c r="I173" s="20"/>
      <c r="J173" s="20"/>
      <c r="K173" s="20">
        <v>84942</v>
      </c>
      <c r="L173" s="20">
        <v>212349</v>
      </c>
      <c r="M173" s="20"/>
      <c r="N173" s="20"/>
      <c r="O173" s="20"/>
      <c r="P173" s="20"/>
      <c r="Q173" s="20"/>
      <c r="R173" s="20"/>
      <c r="S173" s="20"/>
      <c r="T173" s="20"/>
      <c r="U173" s="20"/>
      <c r="V173" s="20"/>
      <c r="W173" s="20"/>
      <c r="X173" s="20"/>
      <c r="Y173" s="20"/>
      <c r="Z173" s="20"/>
      <c r="AA173" s="20"/>
      <c r="AB173" s="20"/>
      <c r="AC173" s="22">
        <f t="shared" si="7"/>
        <v>108630</v>
      </c>
      <c r="AD173" s="22">
        <f t="shared" si="8"/>
        <v>271559</v>
      </c>
    </row>
    <row r="174" spans="1:30" x14ac:dyDescent="0.25">
      <c r="A174" s="13">
        <v>205</v>
      </c>
      <c r="B174" s="14" t="s">
        <v>386</v>
      </c>
      <c r="C174" s="26" t="s">
        <v>387</v>
      </c>
      <c r="D174" s="14" t="s">
        <v>42</v>
      </c>
      <c r="E174" s="20">
        <v>1402</v>
      </c>
      <c r="F174" s="20">
        <v>3502</v>
      </c>
      <c r="G174" s="20">
        <v>19300</v>
      </c>
      <c r="H174" s="20">
        <v>48233</v>
      </c>
      <c r="I174" s="20"/>
      <c r="J174" s="20"/>
      <c r="K174" s="20">
        <v>4668</v>
      </c>
      <c r="L174" s="20">
        <v>11663</v>
      </c>
      <c r="M174" s="20"/>
      <c r="N174" s="20"/>
      <c r="O174" s="20"/>
      <c r="P174" s="20"/>
      <c r="Q174" s="20"/>
      <c r="R174" s="20"/>
      <c r="S174" s="20"/>
      <c r="T174" s="20"/>
      <c r="U174" s="20"/>
      <c r="V174" s="20"/>
      <c r="W174" s="20"/>
      <c r="X174" s="20"/>
      <c r="Y174" s="20"/>
      <c r="Z174" s="20"/>
      <c r="AA174" s="20"/>
      <c r="AB174" s="20"/>
      <c r="AC174" s="22">
        <f t="shared" si="7"/>
        <v>25370</v>
      </c>
      <c r="AD174" s="22">
        <f t="shared" si="8"/>
        <v>63398</v>
      </c>
    </row>
    <row r="175" spans="1:30" x14ac:dyDescent="0.25">
      <c r="A175" s="13">
        <v>206</v>
      </c>
      <c r="B175" s="14" t="s">
        <v>388</v>
      </c>
      <c r="C175" s="26" t="s">
        <v>389</v>
      </c>
      <c r="D175" s="14" t="s">
        <v>42</v>
      </c>
      <c r="E175" s="20">
        <v>7686</v>
      </c>
      <c r="F175" s="20">
        <v>19213</v>
      </c>
      <c r="G175" s="20">
        <v>120038</v>
      </c>
      <c r="H175" s="20">
        <v>300083</v>
      </c>
      <c r="I175" s="20"/>
      <c r="J175" s="20"/>
      <c r="K175" s="20">
        <v>117668</v>
      </c>
      <c r="L175" s="20">
        <v>294165</v>
      </c>
      <c r="M175" s="20"/>
      <c r="N175" s="20"/>
      <c r="O175" s="20">
        <v>4400</v>
      </c>
      <c r="P175" s="20">
        <v>11000</v>
      </c>
      <c r="Q175" s="20"/>
      <c r="R175" s="20"/>
      <c r="S175" s="20"/>
      <c r="T175" s="20"/>
      <c r="U175" s="20"/>
      <c r="V175" s="20"/>
      <c r="W175" s="20"/>
      <c r="X175" s="20"/>
      <c r="Y175" s="20"/>
      <c r="Z175" s="20"/>
      <c r="AA175" s="20"/>
      <c r="AB175" s="20"/>
      <c r="AC175" s="22">
        <f t="shared" si="7"/>
        <v>249792</v>
      </c>
      <c r="AD175" s="22">
        <f t="shared" si="8"/>
        <v>624461</v>
      </c>
    </row>
    <row r="176" spans="1:30" x14ac:dyDescent="0.25">
      <c r="A176" s="13">
        <v>207</v>
      </c>
      <c r="B176" s="14" t="s">
        <v>390</v>
      </c>
      <c r="C176" s="26" t="s">
        <v>391</v>
      </c>
      <c r="D176" s="14" t="s">
        <v>44</v>
      </c>
      <c r="E176" s="20"/>
      <c r="F176" s="20"/>
      <c r="G176" s="20">
        <v>2939</v>
      </c>
      <c r="H176" s="20">
        <v>7347</v>
      </c>
      <c r="I176" s="20"/>
      <c r="J176" s="20"/>
      <c r="K176" s="20">
        <v>78</v>
      </c>
      <c r="L176" s="20">
        <v>195</v>
      </c>
      <c r="M176" s="20"/>
      <c r="N176" s="20"/>
      <c r="O176" s="20"/>
      <c r="P176" s="20"/>
      <c r="Q176" s="20"/>
      <c r="R176" s="20"/>
      <c r="S176" s="20"/>
      <c r="T176" s="20"/>
      <c r="U176" s="20"/>
      <c r="V176" s="20"/>
      <c r="W176" s="20"/>
      <c r="X176" s="20"/>
      <c r="Y176" s="20"/>
      <c r="Z176" s="20"/>
      <c r="AA176" s="20"/>
      <c r="AB176" s="20"/>
      <c r="AC176" s="22">
        <f t="shared" si="7"/>
        <v>3017</v>
      </c>
      <c r="AD176" s="22">
        <f t="shared" si="8"/>
        <v>7542</v>
      </c>
    </row>
    <row r="177" spans="1:30" x14ac:dyDescent="0.25">
      <c r="A177" s="13">
        <v>208</v>
      </c>
      <c r="B177" s="14" t="s">
        <v>392</v>
      </c>
      <c r="C177" s="26" t="s">
        <v>393</v>
      </c>
      <c r="D177" s="14" t="s">
        <v>42</v>
      </c>
      <c r="E177" s="20">
        <v>13127</v>
      </c>
      <c r="F177" s="20">
        <v>32814</v>
      </c>
      <c r="G177" s="20">
        <v>3661</v>
      </c>
      <c r="H177" s="20">
        <v>9132</v>
      </c>
      <c r="I177" s="20"/>
      <c r="J177" s="20"/>
      <c r="K177" s="20">
        <v>2848</v>
      </c>
      <c r="L177" s="20">
        <v>7120</v>
      </c>
      <c r="M177" s="20"/>
      <c r="N177" s="20"/>
      <c r="O177" s="20"/>
      <c r="P177" s="20"/>
      <c r="Q177" s="20"/>
      <c r="R177" s="20"/>
      <c r="S177" s="20">
        <v>24</v>
      </c>
      <c r="T177" s="20">
        <v>60</v>
      </c>
      <c r="U177" s="20"/>
      <c r="V177" s="20"/>
      <c r="W177" s="20"/>
      <c r="X177" s="20"/>
      <c r="Y177" s="20"/>
      <c r="Z177" s="20"/>
      <c r="AA177" s="20"/>
      <c r="AB177" s="20"/>
      <c r="AC177" s="22">
        <f t="shared" si="7"/>
        <v>19660</v>
      </c>
      <c r="AD177" s="22">
        <f t="shared" si="8"/>
        <v>49126</v>
      </c>
    </row>
    <row r="178" spans="1:30" x14ac:dyDescent="0.25">
      <c r="A178" s="13">
        <v>209</v>
      </c>
      <c r="B178" s="14" t="s">
        <v>394</v>
      </c>
      <c r="C178" s="26" t="s">
        <v>395</v>
      </c>
      <c r="D178" s="14" t="s">
        <v>42</v>
      </c>
      <c r="E178" s="20">
        <v>10876</v>
      </c>
      <c r="F178" s="20">
        <v>27188</v>
      </c>
      <c r="G178" s="20">
        <v>12212</v>
      </c>
      <c r="H178" s="20">
        <v>30517</v>
      </c>
      <c r="I178" s="20">
        <v>900</v>
      </c>
      <c r="J178" s="20">
        <v>2250</v>
      </c>
      <c r="K178" s="20">
        <v>1180</v>
      </c>
      <c r="L178" s="20">
        <v>2939</v>
      </c>
      <c r="M178" s="20"/>
      <c r="N178" s="20"/>
      <c r="O178" s="20"/>
      <c r="P178" s="20"/>
      <c r="Q178" s="20"/>
      <c r="R178" s="20"/>
      <c r="S178" s="20"/>
      <c r="T178" s="20"/>
      <c r="U178" s="20">
        <v>21732</v>
      </c>
      <c r="V178" s="20">
        <v>54279</v>
      </c>
      <c r="W178" s="20"/>
      <c r="X178" s="20"/>
      <c r="Y178" s="20"/>
      <c r="Z178" s="20"/>
      <c r="AA178" s="20"/>
      <c r="AB178" s="20"/>
      <c r="AC178" s="22">
        <f t="shared" si="7"/>
        <v>46900</v>
      </c>
      <c r="AD178" s="22">
        <f t="shared" si="8"/>
        <v>117173</v>
      </c>
    </row>
    <row r="179" spans="1:30" x14ac:dyDescent="0.25">
      <c r="A179" s="13">
        <v>215</v>
      </c>
      <c r="B179" s="14" t="s">
        <v>396</v>
      </c>
      <c r="C179" s="26" t="s">
        <v>397</v>
      </c>
      <c r="D179" s="14" t="s">
        <v>42</v>
      </c>
      <c r="E179" s="20">
        <v>1894886</v>
      </c>
      <c r="F179" s="20">
        <v>4737212</v>
      </c>
      <c r="G179" s="20">
        <v>202808</v>
      </c>
      <c r="H179" s="20">
        <v>506973</v>
      </c>
      <c r="I179" s="20">
        <v>217152</v>
      </c>
      <c r="J179" s="20">
        <v>542880</v>
      </c>
      <c r="K179" s="20">
        <v>1672</v>
      </c>
      <c r="L179" s="20">
        <v>4156</v>
      </c>
      <c r="M179" s="20">
        <v>68932</v>
      </c>
      <c r="N179" s="20">
        <v>172326</v>
      </c>
      <c r="O179" s="20">
        <v>11581</v>
      </c>
      <c r="P179" s="20">
        <v>28952</v>
      </c>
      <c r="Q179" s="20">
        <v>81124</v>
      </c>
      <c r="R179" s="20">
        <v>202810</v>
      </c>
      <c r="S179" s="20">
        <v>2048</v>
      </c>
      <c r="T179" s="20">
        <v>5119</v>
      </c>
      <c r="U179" s="20"/>
      <c r="V179" s="20"/>
      <c r="W179" s="20"/>
      <c r="X179" s="20"/>
      <c r="Y179" s="20"/>
      <c r="Z179" s="20"/>
      <c r="AA179" s="20">
        <v>7</v>
      </c>
      <c r="AB179" s="20">
        <v>11</v>
      </c>
      <c r="AC179" s="22">
        <f t="shared" si="7"/>
        <v>2480210</v>
      </c>
      <c r="AD179" s="22">
        <f t="shared" si="8"/>
        <v>6200439</v>
      </c>
    </row>
    <row r="180" spans="1:30" x14ac:dyDescent="0.25">
      <c r="A180" s="13">
        <v>216</v>
      </c>
      <c r="B180" s="14" t="s">
        <v>398</v>
      </c>
      <c r="C180" s="26" t="s">
        <v>399</v>
      </c>
      <c r="D180" s="14" t="s">
        <v>42</v>
      </c>
      <c r="E180" s="20">
        <v>1067474</v>
      </c>
      <c r="F180" s="20">
        <v>2668684</v>
      </c>
      <c r="G180" s="20">
        <v>667320</v>
      </c>
      <c r="H180" s="20">
        <v>1668267</v>
      </c>
      <c r="I180" s="20">
        <v>241120</v>
      </c>
      <c r="J180" s="20">
        <v>602800</v>
      </c>
      <c r="K180" s="20">
        <v>4684</v>
      </c>
      <c r="L180" s="20">
        <v>11702</v>
      </c>
      <c r="M180" s="20"/>
      <c r="N180" s="20"/>
      <c r="O180" s="20">
        <v>5157</v>
      </c>
      <c r="P180" s="20">
        <v>12892</v>
      </c>
      <c r="Q180" s="20">
        <v>56876</v>
      </c>
      <c r="R180" s="20">
        <v>142190</v>
      </c>
      <c r="S180" s="20">
        <v>1420</v>
      </c>
      <c r="T180" s="20">
        <v>3550</v>
      </c>
      <c r="U180" s="20"/>
      <c r="V180" s="20"/>
      <c r="W180" s="20"/>
      <c r="X180" s="20"/>
      <c r="Y180" s="20"/>
      <c r="Z180" s="20"/>
      <c r="AA180" s="20"/>
      <c r="AB180" s="20"/>
      <c r="AC180" s="22">
        <f t="shared" si="7"/>
        <v>2044051</v>
      </c>
      <c r="AD180" s="22">
        <f t="shared" si="8"/>
        <v>5110085</v>
      </c>
    </row>
    <row r="181" spans="1:30" x14ac:dyDescent="0.25">
      <c r="A181" s="13">
        <v>217</v>
      </c>
      <c r="B181" s="14" t="s">
        <v>400</v>
      </c>
      <c r="C181" s="26" t="s">
        <v>401</v>
      </c>
      <c r="D181" s="14" t="s">
        <v>42</v>
      </c>
      <c r="E181" s="20">
        <v>7095668</v>
      </c>
      <c r="F181" s="20">
        <v>17739168</v>
      </c>
      <c r="G181" s="20">
        <v>422342</v>
      </c>
      <c r="H181" s="20">
        <v>1055797</v>
      </c>
      <c r="I181" s="20">
        <v>892979</v>
      </c>
      <c r="J181" s="20">
        <v>2232445</v>
      </c>
      <c r="K181" s="20">
        <v>16459</v>
      </c>
      <c r="L181" s="20">
        <v>41131</v>
      </c>
      <c r="M181" s="20">
        <v>46874</v>
      </c>
      <c r="N181" s="20">
        <v>117184</v>
      </c>
      <c r="O181" s="20">
        <v>7191</v>
      </c>
      <c r="P181" s="20">
        <v>17976</v>
      </c>
      <c r="Q181" s="20"/>
      <c r="R181" s="20"/>
      <c r="S181" s="20">
        <v>4432</v>
      </c>
      <c r="T181" s="20">
        <v>11080</v>
      </c>
      <c r="U181" s="20">
        <v>2592</v>
      </c>
      <c r="V181" s="20">
        <v>6480</v>
      </c>
      <c r="W181" s="20"/>
      <c r="X181" s="20"/>
      <c r="Y181" s="20"/>
      <c r="Z181" s="20"/>
      <c r="AA181" s="20"/>
      <c r="AB181" s="20"/>
      <c r="AC181" s="22">
        <f t="shared" si="7"/>
        <v>8488537</v>
      </c>
      <c r="AD181" s="22">
        <f t="shared" si="8"/>
        <v>21221261</v>
      </c>
    </row>
    <row r="182" spans="1:30" x14ac:dyDescent="0.25">
      <c r="A182" s="13">
        <v>219</v>
      </c>
      <c r="B182" s="14" t="s">
        <v>402</v>
      </c>
      <c r="C182" s="26" t="s">
        <v>403</v>
      </c>
      <c r="D182" s="14" t="s">
        <v>43</v>
      </c>
      <c r="E182" s="20"/>
      <c r="F182" s="20"/>
      <c r="G182" s="20">
        <v>30803</v>
      </c>
      <c r="H182" s="20">
        <v>76979</v>
      </c>
      <c r="I182" s="20"/>
      <c r="J182" s="20"/>
      <c r="K182" s="20">
        <v>4565</v>
      </c>
      <c r="L182" s="20">
        <v>11385</v>
      </c>
      <c r="M182" s="20"/>
      <c r="N182" s="20"/>
      <c r="O182" s="20"/>
      <c r="P182" s="20"/>
      <c r="Q182" s="20"/>
      <c r="R182" s="20"/>
      <c r="S182" s="20">
        <v>220</v>
      </c>
      <c r="T182" s="20">
        <v>550</v>
      </c>
      <c r="U182" s="20"/>
      <c r="V182" s="20"/>
      <c r="W182" s="20"/>
      <c r="X182" s="20"/>
      <c r="Y182" s="20"/>
      <c r="Z182" s="20"/>
      <c r="AA182" s="20"/>
      <c r="AB182" s="20"/>
      <c r="AC182" s="22">
        <f t="shared" si="7"/>
        <v>35588</v>
      </c>
      <c r="AD182" s="22">
        <f t="shared" si="8"/>
        <v>88914</v>
      </c>
    </row>
    <row r="183" spans="1:30" x14ac:dyDescent="0.25">
      <c r="A183" s="13">
        <v>220</v>
      </c>
      <c r="B183" s="14" t="s">
        <v>404</v>
      </c>
      <c r="C183" s="26" t="s">
        <v>405</v>
      </c>
      <c r="D183" s="14" t="s">
        <v>42</v>
      </c>
      <c r="E183" s="20">
        <v>42876</v>
      </c>
      <c r="F183" s="20">
        <v>107189</v>
      </c>
      <c r="G183" s="20">
        <v>101012</v>
      </c>
      <c r="H183" s="20">
        <v>252471</v>
      </c>
      <c r="I183" s="20"/>
      <c r="J183" s="20"/>
      <c r="K183" s="20">
        <v>8537</v>
      </c>
      <c r="L183" s="20">
        <v>21325</v>
      </c>
      <c r="M183" s="20"/>
      <c r="N183" s="20"/>
      <c r="O183" s="20">
        <v>9980</v>
      </c>
      <c r="P183" s="20">
        <v>24948</v>
      </c>
      <c r="Q183" s="20">
        <v>31448</v>
      </c>
      <c r="R183" s="20">
        <v>78620</v>
      </c>
      <c r="S183" s="20">
        <v>5722</v>
      </c>
      <c r="T183" s="20">
        <v>14305</v>
      </c>
      <c r="U183" s="20"/>
      <c r="V183" s="20"/>
      <c r="W183" s="20"/>
      <c r="X183" s="20"/>
      <c r="Y183" s="20"/>
      <c r="Z183" s="20"/>
      <c r="AA183" s="20"/>
      <c r="AB183" s="20"/>
      <c r="AC183" s="22">
        <f t="shared" si="7"/>
        <v>199575</v>
      </c>
      <c r="AD183" s="22">
        <f t="shared" si="8"/>
        <v>498858</v>
      </c>
    </row>
    <row r="184" spans="1:30" x14ac:dyDescent="0.25">
      <c r="A184" s="13">
        <v>223</v>
      </c>
      <c r="B184" s="14" t="s">
        <v>406</v>
      </c>
      <c r="C184" s="26" t="s">
        <v>407</v>
      </c>
      <c r="D184" s="14" t="s">
        <v>42</v>
      </c>
      <c r="E184" s="20">
        <v>19094206</v>
      </c>
      <c r="F184" s="20">
        <v>47735513</v>
      </c>
      <c r="G184" s="20">
        <v>1395439</v>
      </c>
      <c r="H184" s="20">
        <v>3488530</v>
      </c>
      <c r="I184" s="20">
        <v>2555566</v>
      </c>
      <c r="J184" s="20">
        <v>6388913</v>
      </c>
      <c r="K184" s="20">
        <v>58749</v>
      </c>
      <c r="L184" s="20">
        <v>146842</v>
      </c>
      <c r="M184" s="20"/>
      <c r="N184" s="20"/>
      <c r="O184" s="20"/>
      <c r="P184" s="20"/>
      <c r="Q184" s="20">
        <v>32126</v>
      </c>
      <c r="R184" s="20">
        <v>80314</v>
      </c>
      <c r="S184" s="20">
        <v>12768</v>
      </c>
      <c r="T184" s="20">
        <v>31920</v>
      </c>
      <c r="U184" s="20"/>
      <c r="V184" s="20"/>
      <c r="W184" s="20"/>
      <c r="X184" s="20"/>
      <c r="Y184" s="20"/>
      <c r="Z184" s="20"/>
      <c r="AA184" s="20">
        <v>80</v>
      </c>
      <c r="AB184" s="20">
        <v>200</v>
      </c>
      <c r="AC184" s="22">
        <f t="shared" si="7"/>
        <v>23148934</v>
      </c>
      <c r="AD184" s="22">
        <f t="shared" si="8"/>
        <v>57872232</v>
      </c>
    </row>
    <row r="185" spans="1:30" x14ac:dyDescent="0.25">
      <c r="A185" s="13">
        <v>224</v>
      </c>
      <c r="B185" s="14" t="s">
        <v>408</v>
      </c>
      <c r="C185" s="26" t="s">
        <v>409</v>
      </c>
      <c r="D185" s="14" t="s">
        <v>42</v>
      </c>
      <c r="E185" s="20">
        <v>56584</v>
      </c>
      <c r="F185" s="20">
        <v>141456</v>
      </c>
      <c r="G185" s="20">
        <v>81169</v>
      </c>
      <c r="H185" s="20">
        <v>202893</v>
      </c>
      <c r="I185" s="20"/>
      <c r="J185" s="20"/>
      <c r="K185" s="20">
        <v>8216</v>
      </c>
      <c r="L185" s="20">
        <v>20536</v>
      </c>
      <c r="M185" s="20">
        <v>18586</v>
      </c>
      <c r="N185" s="20">
        <v>46462</v>
      </c>
      <c r="O185" s="20">
        <v>6596</v>
      </c>
      <c r="P185" s="20">
        <v>16489</v>
      </c>
      <c r="Q185" s="20">
        <v>92960</v>
      </c>
      <c r="R185" s="20">
        <v>232400</v>
      </c>
      <c r="S185" s="20">
        <v>312</v>
      </c>
      <c r="T185" s="20">
        <v>780</v>
      </c>
      <c r="U185" s="20"/>
      <c r="V185" s="20"/>
      <c r="W185" s="20"/>
      <c r="X185" s="20"/>
      <c r="Y185" s="20"/>
      <c r="Z185" s="20"/>
      <c r="AA185" s="20">
        <v>120</v>
      </c>
      <c r="AB185" s="20">
        <v>300</v>
      </c>
      <c r="AC185" s="22">
        <f t="shared" si="7"/>
        <v>264543</v>
      </c>
      <c r="AD185" s="22">
        <f t="shared" si="8"/>
        <v>661316</v>
      </c>
    </row>
    <row r="186" spans="1:30" x14ac:dyDescent="0.25">
      <c r="A186" s="13">
        <v>225</v>
      </c>
      <c r="B186" s="14" t="s">
        <v>410</v>
      </c>
      <c r="C186" s="26" t="s">
        <v>411</v>
      </c>
      <c r="D186" s="14" t="s">
        <v>42</v>
      </c>
      <c r="E186" s="20">
        <v>10685</v>
      </c>
      <c r="F186" s="20">
        <v>26710</v>
      </c>
      <c r="G186" s="20">
        <v>19438</v>
      </c>
      <c r="H186" s="20">
        <v>48559</v>
      </c>
      <c r="I186" s="20"/>
      <c r="J186" s="20"/>
      <c r="K186" s="20">
        <v>572</v>
      </c>
      <c r="L186" s="20">
        <v>1422</v>
      </c>
      <c r="M186" s="20"/>
      <c r="N186" s="20"/>
      <c r="O186" s="20"/>
      <c r="P186" s="20"/>
      <c r="Q186" s="20"/>
      <c r="R186" s="20"/>
      <c r="S186" s="20"/>
      <c r="T186" s="20"/>
      <c r="U186" s="20"/>
      <c r="V186" s="20"/>
      <c r="W186" s="20"/>
      <c r="X186" s="20"/>
      <c r="Y186" s="20"/>
      <c r="Z186" s="20"/>
      <c r="AA186" s="20"/>
      <c r="AB186" s="20"/>
      <c r="AC186" s="22">
        <f t="shared" si="7"/>
        <v>30695</v>
      </c>
      <c r="AD186" s="22">
        <f t="shared" si="8"/>
        <v>76691</v>
      </c>
    </row>
    <row r="187" spans="1:30" x14ac:dyDescent="0.25">
      <c r="A187" s="13">
        <v>226</v>
      </c>
      <c r="B187" s="14" t="s">
        <v>412</v>
      </c>
      <c r="C187" s="26" t="s">
        <v>413</v>
      </c>
      <c r="D187" s="14" t="s">
        <v>42</v>
      </c>
      <c r="E187" s="20">
        <v>4327280</v>
      </c>
      <c r="F187" s="20">
        <v>10818200</v>
      </c>
      <c r="G187" s="20">
        <v>1531754</v>
      </c>
      <c r="H187" s="20">
        <v>3829352</v>
      </c>
      <c r="I187" s="20">
        <v>1399505</v>
      </c>
      <c r="J187" s="20">
        <v>3498761</v>
      </c>
      <c r="K187" s="20">
        <v>25203</v>
      </c>
      <c r="L187" s="20">
        <v>62974</v>
      </c>
      <c r="M187" s="20"/>
      <c r="N187" s="20"/>
      <c r="O187" s="20"/>
      <c r="P187" s="20"/>
      <c r="Q187" s="20">
        <v>25540</v>
      </c>
      <c r="R187" s="20">
        <v>63850</v>
      </c>
      <c r="S187" s="20">
        <v>4428</v>
      </c>
      <c r="T187" s="20">
        <v>11070</v>
      </c>
      <c r="U187" s="20"/>
      <c r="V187" s="20"/>
      <c r="W187" s="20"/>
      <c r="X187" s="20"/>
      <c r="Y187" s="20"/>
      <c r="Z187" s="20"/>
      <c r="AA187" s="20">
        <v>76</v>
      </c>
      <c r="AB187" s="20">
        <v>190</v>
      </c>
      <c r="AC187" s="22">
        <f t="shared" si="7"/>
        <v>7313786</v>
      </c>
      <c r="AD187" s="22">
        <f t="shared" si="8"/>
        <v>18284397</v>
      </c>
    </row>
    <row r="188" spans="1:30" x14ac:dyDescent="0.25">
      <c r="A188" s="13">
        <v>227</v>
      </c>
      <c r="B188" s="14" t="s">
        <v>414</v>
      </c>
      <c r="C188" s="26" t="s">
        <v>415</v>
      </c>
      <c r="D188" s="14" t="s">
        <v>42</v>
      </c>
      <c r="E188" s="20">
        <v>1315176</v>
      </c>
      <c r="F188" s="20">
        <v>3287936</v>
      </c>
      <c r="G188" s="20">
        <v>758706</v>
      </c>
      <c r="H188" s="20">
        <v>1896727</v>
      </c>
      <c r="I188" s="20">
        <v>1169854</v>
      </c>
      <c r="J188" s="20">
        <v>2924634</v>
      </c>
      <c r="K188" s="20">
        <v>24484</v>
      </c>
      <c r="L188" s="20">
        <v>61175</v>
      </c>
      <c r="M188" s="20"/>
      <c r="N188" s="20"/>
      <c r="O188" s="20"/>
      <c r="P188" s="20"/>
      <c r="Q188" s="20"/>
      <c r="R188" s="20"/>
      <c r="S188" s="20">
        <v>1932</v>
      </c>
      <c r="T188" s="20">
        <v>4830</v>
      </c>
      <c r="U188" s="20"/>
      <c r="V188" s="20"/>
      <c r="W188" s="20"/>
      <c r="X188" s="20"/>
      <c r="Y188" s="20"/>
      <c r="Z188" s="20"/>
      <c r="AA188" s="20"/>
      <c r="AB188" s="20"/>
      <c r="AC188" s="22">
        <f t="shared" si="7"/>
        <v>3270152</v>
      </c>
      <c r="AD188" s="22">
        <f t="shared" si="8"/>
        <v>8175302</v>
      </c>
    </row>
    <row r="189" spans="1:30" x14ac:dyDescent="0.25">
      <c r="A189" s="13">
        <v>228</v>
      </c>
      <c r="B189" s="14" t="s">
        <v>416</v>
      </c>
      <c r="C189" s="26" t="s">
        <v>417</v>
      </c>
      <c r="D189" s="14" t="s">
        <v>42</v>
      </c>
      <c r="E189" s="20">
        <v>201336</v>
      </c>
      <c r="F189" s="20">
        <v>503338</v>
      </c>
      <c r="G189" s="20">
        <v>94997</v>
      </c>
      <c r="H189" s="20">
        <v>237467</v>
      </c>
      <c r="I189" s="20">
        <v>7620</v>
      </c>
      <c r="J189" s="20">
        <v>19050</v>
      </c>
      <c r="K189" s="20">
        <v>16268</v>
      </c>
      <c r="L189" s="20">
        <v>40634</v>
      </c>
      <c r="M189" s="20"/>
      <c r="N189" s="20"/>
      <c r="O189" s="20"/>
      <c r="P189" s="20"/>
      <c r="Q189" s="20"/>
      <c r="R189" s="20"/>
      <c r="S189" s="20">
        <v>16</v>
      </c>
      <c r="T189" s="20">
        <v>40</v>
      </c>
      <c r="U189" s="20"/>
      <c r="V189" s="20"/>
      <c r="W189" s="20"/>
      <c r="X189" s="20"/>
      <c r="Y189" s="20"/>
      <c r="Z189" s="20"/>
      <c r="AA189" s="20"/>
      <c r="AB189" s="20"/>
      <c r="AC189" s="22">
        <f t="shared" si="7"/>
        <v>320237</v>
      </c>
      <c r="AD189" s="22">
        <f t="shared" si="8"/>
        <v>800529</v>
      </c>
    </row>
    <row r="190" spans="1:30" x14ac:dyDescent="0.25">
      <c r="A190" s="13">
        <v>229</v>
      </c>
      <c r="B190" s="14" t="s">
        <v>418</v>
      </c>
      <c r="C190" s="26" t="s">
        <v>419</v>
      </c>
      <c r="D190" s="14" t="s">
        <v>42</v>
      </c>
      <c r="E190" s="20">
        <v>65793</v>
      </c>
      <c r="F190" s="20">
        <v>164479</v>
      </c>
      <c r="G190" s="20">
        <v>5861</v>
      </c>
      <c r="H190" s="20">
        <v>14639</v>
      </c>
      <c r="I190" s="20">
        <v>9550</v>
      </c>
      <c r="J190" s="20">
        <v>23872</v>
      </c>
      <c r="K190" s="20">
        <v>3054</v>
      </c>
      <c r="L190" s="20">
        <v>7632</v>
      </c>
      <c r="M190" s="20"/>
      <c r="N190" s="20"/>
      <c r="O190" s="20"/>
      <c r="P190" s="20"/>
      <c r="Q190" s="20"/>
      <c r="R190" s="20"/>
      <c r="S190" s="20"/>
      <c r="T190" s="20"/>
      <c r="U190" s="20"/>
      <c r="V190" s="20"/>
      <c r="W190" s="20"/>
      <c r="X190" s="20"/>
      <c r="Y190" s="20"/>
      <c r="Z190" s="20"/>
      <c r="AA190" s="20">
        <v>8</v>
      </c>
      <c r="AB190" s="20">
        <v>20</v>
      </c>
      <c r="AC190" s="22">
        <f t="shared" si="7"/>
        <v>84266</v>
      </c>
      <c r="AD190" s="22">
        <f t="shared" si="8"/>
        <v>210642</v>
      </c>
    </row>
    <row r="191" spans="1:30" x14ac:dyDescent="0.25">
      <c r="A191" s="13">
        <v>230</v>
      </c>
      <c r="B191" s="14" t="s">
        <v>420</v>
      </c>
      <c r="C191" s="26" t="s">
        <v>421</v>
      </c>
      <c r="D191" s="14" t="s">
        <v>42</v>
      </c>
      <c r="E191" s="20">
        <v>1748</v>
      </c>
      <c r="F191" s="20">
        <v>4368</v>
      </c>
      <c r="G191" s="20">
        <v>11389</v>
      </c>
      <c r="H191" s="20">
        <v>28410</v>
      </c>
      <c r="I191" s="20">
        <v>27291</v>
      </c>
      <c r="J191" s="20">
        <v>68225</v>
      </c>
      <c r="K191" s="20">
        <v>18900</v>
      </c>
      <c r="L191" s="20">
        <v>47228</v>
      </c>
      <c r="M191" s="20"/>
      <c r="N191" s="20"/>
      <c r="O191" s="20"/>
      <c r="P191" s="20"/>
      <c r="Q191" s="20"/>
      <c r="R191" s="20"/>
      <c r="S191" s="20"/>
      <c r="T191" s="20"/>
      <c r="U191" s="20"/>
      <c r="V191" s="20"/>
      <c r="W191" s="20"/>
      <c r="X191" s="20"/>
      <c r="Y191" s="20"/>
      <c r="Z191" s="20"/>
      <c r="AA191" s="20">
        <v>48</v>
      </c>
      <c r="AB191" s="20">
        <v>120</v>
      </c>
      <c r="AC191" s="22">
        <f t="shared" si="7"/>
        <v>59376</v>
      </c>
      <c r="AD191" s="22">
        <f t="shared" si="8"/>
        <v>148351</v>
      </c>
    </row>
    <row r="192" spans="1:30" x14ac:dyDescent="0.25">
      <c r="A192" s="13">
        <v>231</v>
      </c>
      <c r="B192" s="14" t="s">
        <v>422</v>
      </c>
      <c r="C192" s="26" t="s">
        <v>423</v>
      </c>
      <c r="D192" s="14" t="s">
        <v>42</v>
      </c>
      <c r="E192" s="20">
        <v>1481</v>
      </c>
      <c r="F192" s="20">
        <v>3701</v>
      </c>
      <c r="G192" s="20">
        <v>32919</v>
      </c>
      <c r="H192" s="20">
        <v>82205</v>
      </c>
      <c r="I192" s="20"/>
      <c r="J192" s="20"/>
      <c r="K192" s="20">
        <v>12923</v>
      </c>
      <c r="L192" s="20">
        <v>32293</v>
      </c>
      <c r="M192" s="20"/>
      <c r="N192" s="20"/>
      <c r="O192" s="20"/>
      <c r="P192" s="20"/>
      <c r="Q192" s="20"/>
      <c r="R192" s="20"/>
      <c r="S192" s="20">
        <v>518</v>
      </c>
      <c r="T192" s="20">
        <v>1291</v>
      </c>
      <c r="U192" s="20"/>
      <c r="V192" s="20"/>
      <c r="W192" s="20"/>
      <c r="X192" s="20"/>
      <c r="Y192" s="20"/>
      <c r="Z192" s="20"/>
      <c r="AA192" s="20">
        <v>40</v>
      </c>
      <c r="AB192" s="20">
        <v>100</v>
      </c>
      <c r="AC192" s="22">
        <f t="shared" si="7"/>
        <v>47881</v>
      </c>
      <c r="AD192" s="22">
        <f t="shared" si="8"/>
        <v>119590</v>
      </c>
    </row>
    <row r="193" spans="1:30" x14ac:dyDescent="0.25">
      <c r="A193" s="13">
        <v>232</v>
      </c>
      <c r="B193" s="14" t="s">
        <v>424</v>
      </c>
      <c r="C193" s="26" t="s">
        <v>425</v>
      </c>
      <c r="D193" s="14" t="s">
        <v>42</v>
      </c>
      <c r="E193" s="20">
        <v>1622743</v>
      </c>
      <c r="F193" s="20">
        <v>4056855</v>
      </c>
      <c r="G193" s="20">
        <v>294465</v>
      </c>
      <c r="H193" s="20">
        <v>736115</v>
      </c>
      <c r="I193" s="20">
        <v>178546</v>
      </c>
      <c r="J193" s="20">
        <v>446364</v>
      </c>
      <c r="K193" s="20">
        <v>28751</v>
      </c>
      <c r="L193" s="20">
        <v>71849</v>
      </c>
      <c r="M193" s="20"/>
      <c r="N193" s="20"/>
      <c r="O193" s="20"/>
      <c r="P193" s="20"/>
      <c r="Q193" s="20"/>
      <c r="R193" s="20"/>
      <c r="S193" s="20">
        <v>4629</v>
      </c>
      <c r="T193" s="20">
        <v>11571</v>
      </c>
      <c r="U193" s="20"/>
      <c r="V193" s="20"/>
      <c r="W193" s="20"/>
      <c r="X193" s="20"/>
      <c r="Y193" s="20"/>
      <c r="Z193" s="20"/>
      <c r="AA193" s="20">
        <v>14135</v>
      </c>
      <c r="AB193" s="20">
        <v>35337</v>
      </c>
      <c r="AC193" s="22">
        <f t="shared" si="7"/>
        <v>2143269</v>
      </c>
      <c r="AD193" s="22">
        <f t="shared" si="8"/>
        <v>5358091</v>
      </c>
    </row>
    <row r="194" spans="1:30" x14ac:dyDescent="0.25">
      <c r="A194" s="13">
        <v>233</v>
      </c>
      <c r="B194" s="14" t="s">
        <v>426</v>
      </c>
      <c r="C194" s="26" t="s">
        <v>427</v>
      </c>
      <c r="D194" s="14" t="s">
        <v>42</v>
      </c>
      <c r="E194" s="20">
        <v>213602</v>
      </c>
      <c r="F194" s="20">
        <v>534004</v>
      </c>
      <c r="G194" s="20">
        <v>78114</v>
      </c>
      <c r="H194" s="20">
        <v>195155</v>
      </c>
      <c r="I194" s="20">
        <v>22508</v>
      </c>
      <c r="J194" s="20">
        <v>56270</v>
      </c>
      <c r="K194" s="20">
        <v>11064</v>
      </c>
      <c r="L194" s="20">
        <v>27637</v>
      </c>
      <c r="M194" s="20"/>
      <c r="N194" s="20"/>
      <c r="O194" s="20"/>
      <c r="P194" s="20"/>
      <c r="Q194" s="20"/>
      <c r="R194" s="20"/>
      <c r="S194" s="20"/>
      <c r="T194" s="20"/>
      <c r="U194" s="20"/>
      <c r="V194" s="20"/>
      <c r="W194" s="20"/>
      <c r="X194" s="20"/>
      <c r="Y194" s="20"/>
      <c r="Z194" s="20"/>
      <c r="AA194" s="20">
        <v>264</v>
      </c>
      <c r="AB194" s="20">
        <v>660</v>
      </c>
      <c r="AC194" s="22">
        <f t="shared" si="7"/>
        <v>325552</v>
      </c>
      <c r="AD194" s="22">
        <f t="shared" si="8"/>
        <v>813726</v>
      </c>
    </row>
    <row r="195" spans="1:30" x14ac:dyDescent="0.25">
      <c r="A195" s="13">
        <v>234</v>
      </c>
      <c r="B195" s="14" t="s">
        <v>428</v>
      </c>
      <c r="C195" s="26" t="s">
        <v>429</v>
      </c>
      <c r="D195" s="14" t="s">
        <v>42</v>
      </c>
      <c r="E195" s="20">
        <v>385652</v>
      </c>
      <c r="F195" s="20">
        <v>964126</v>
      </c>
      <c r="G195" s="20">
        <v>25459</v>
      </c>
      <c r="H195" s="20">
        <v>63630</v>
      </c>
      <c r="I195" s="20">
        <v>76810</v>
      </c>
      <c r="J195" s="20">
        <v>192024</v>
      </c>
      <c r="K195" s="20">
        <v>23103</v>
      </c>
      <c r="L195" s="20">
        <v>57748</v>
      </c>
      <c r="M195" s="20"/>
      <c r="N195" s="20"/>
      <c r="O195" s="20"/>
      <c r="P195" s="20"/>
      <c r="Q195" s="20"/>
      <c r="R195" s="20"/>
      <c r="S195" s="20">
        <v>1064</v>
      </c>
      <c r="T195" s="20">
        <v>2660</v>
      </c>
      <c r="U195" s="20"/>
      <c r="V195" s="20"/>
      <c r="W195" s="20"/>
      <c r="X195" s="20"/>
      <c r="Y195" s="20"/>
      <c r="Z195" s="20"/>
      <c r="AA195" s="20">
        <v>1040</v>
      </c>
      <c r="AB195" s="20">
        <v>2600</v>
      </c>
      <c r="AC195" s="22">
        <f t="shared" si="7"/>
        <v>513128</v>
      </c>
      <c r="AD195" s="22">
        <f t="shared" si="8"/>
        <v>1282788</v>
      </c>
    </row>
    <row r="196" spans="1:30" x14ac:dyDescent="0.25">
      <c r="A196" s="13">
        <v>235</v>
      </c>
      <c r="B196" s="14" t="s">
        <v>430</v>
      </c>
      <c r="C196" s="26" t="s">
        <v>431</v>
      </c>
      <c r="D196" s="14" t="s">
        <v>42</v>
      </c>
      <c r="E196" s="20">
        <v>27204</v>
      </c>
      <c r="F196" s="20">
        <v>68007</v>
      </c>
      <c r="G196" s="20">
        <v>2633</v>
      </c>
      <c r="H196" s="20">
        <v>6557</v>
      </c>
      <c r="I196" s="20"/>
      <c r="J196" s="20"/>
      <c r="K196" s="20">
        <v>3240</v>
      </c>
      <c r="L196" s="20">
        <v>8090</v>
      </c>
      <c r="M196" s="20">
        <v>1382</v>
      </c>
      <c r="N196" s="20">
        <v>3454</v>
      </c>
      <c r="O196" s="20"/>
      <c r="P196" s="20"/>
      <c r="Q196" s="20"/>
      <c r="R196" s="20"/>
      <c r="S196" s="20"/>
      <c r="T196" s="20"/>
      <c r="U196" s="20"/>
      <c r="V196" s="20"/>
      <c r="W196" s="20"/>
      <c r="X196" s="20"/>
      <c r="Y196" s="20"/>
      <c r="Z196" s="20"/>
      <c r="AA196" s="20">
        <v>60</v>
      </c>
      <c r="AB196" s="20">
        <v>150</v>
      </c>
      <c r="AC196" s="22">
        <f t="shared" si="7"/>
        <v>34519</v>
      </c>
      <c r="AD196" s="22">
        <f t="shared" si="8"/>
        <v>86258</v>
      </c>
    </row>
    <row r="197" spans="1:30" x14ac:dyDescent="0.25">
      <c r="A197" s="13">
        <v>239</v>
      </c>
      <c r="B197" s="14" t="s">
        <v>432</v>
      </c>
      <c r="C197" s="26" t="s">
        <v>433</v>
      </c>
      <c r="D197" s="14" t="s">
        <v>42</v>
      </c>
      <c r="E197" s="20">
        <v>279329</v>
      </c>
      <c r="F197" s="20">
        <v>698322</v>
      </c>
      <c r="G197" s="20">
        <v>34339</v>
      </c>
      <c r="H197" s="20">
        <v>85830</v>
      </c>
      <c r="I197" s="20">
        <v>142305</v>
      </c>
      <c r="J197" s="20">
        <v>355762</v>
      </c>
      <c r="K197" s="20">
        <v>2182</v>
      </c>
      <c r="L197" s="20">
        <v>5445</v>
      </c>
      <c r="M197" s="20"/>
      <c r="N197" s="20"/>
      <c r="O197" s="20"/>
      <c r="P197" s="20"/>
      <c r="Q197" s="20"/>
      <c r="R197" s="20"/>
      <c r="S197" s="20"/>
      <c r="T197" s="20"/>
      <c r="U197" s="20"/>
      <c r="V197" s="20"/>
      <c r="W197" s="20"/>
      <c r="X197" s="20"/>
      <c r="Y197" s="20"/>
      <c r="Z197" s="20"/>
      <c r="AA197" s="20"/>
      <c r="AB197" s="20"/>
      <c r="AC197" s="22">
        <f t="shared" si="7"/>
        <v>458155</v>
      </c>
      <c r="AD197" s="22">
        <f t="shared" si="8"/>
        <v>1145359</v>
      </c>
    </row>
    <row r="198" spans="1:30" x14ac:dyDescent="0.25">
      <c r="A198" s="13">
        <v>240</v>
      </c>
      <c r="B198" s="14" t="s">
        <v>434</v>
      </c>
      <c r="C198" s="26" t="s">
        <v>435</v>
      </c>
      <c r="D198" s="14" t="s">
        <v>42</v>
      </c>
      <c r="E198" s="20">
        <v>7963839</v>
      </c>
      <c r="F198" s="20">
        <v>19909595</v>
      </c>
      <c r="G198" s="20">
        <v>1868142</v>
      </c>
      <c r="H198" s="20">
        <v>4670308</v>
      </c>
      <c r="I198" s="20">
        <v>2002887</v>
      </c>
      <c r="J198" s="20">
        <v>5007216</v>
      </c>
      <c r="K198" s="20">
        <v>24261</v>
      </c>
      <c r="L198" s="20">
        <v>60620</v>
      </c>
      <c r="M198" s="20"/>
      <c r="N198" s="20"/>
      <c r="O198" s="20"/>
      <c r="P198" s="20"/>
      <c r="Q198" s="20">
        <v>98636</v>
      </c>
      <c r="R198" s="20">
        <v>246590</v>
      </c>
      <c r="S198" s="20">
        <v>10750</v>
      </c>
      <c r="T198" s="20">
        <v>26875</v>
      </c>
      <c r="U198" s="20"/>
      <c r="V198" s="20"/>
      <c r="W198" s="20"/>
      <c r="X198" s="20"/>
      <c r="Y198" s="20"/>
      <c r="Z198" s="20"/>
      <c r="AA198" s="20">
        <v>168</v>
      </c>
      <c r="AB198" s="20">
        <v>420</v>
      </c>
      <c r="AC198" s="22">
        <f t="shared" si="7"/>
        <v>11968683</v>
      </c>
      <c r="AD198" s="22">
        <f t="shared" si="8"/>
        <v>29921624</v>
      </c>
    </row>
    <row r="199" spans="1:30" x14ac:dyDescent="0.25">
      <c r="A199" s="13">
        <v>241</v>
      </c>
      <c r="B199" s="14" t="s">
        <v>436</v>
      </c>
      <c r="C199" s="26" t="s">
        <v>437</v>
      </c>
      <c r="D199" s="14" t="s">
        <v>42</v>
      </c>
      <c r="E199" s="20">
        <v>90230</v>
      </c>
      <c r="F199" s="20">
        <v>225575</v>
      </c>
      <c r="G199" s="20">
        <v>14727</v>
      </c>
      <c r="H199" s="20">
        <v>36790</v>
      </c>
      <c r="I199" s="20"/>
      <c r="J199" s="20"/>
      <c r="K199" s="20">
        <v>6417</v>
      </c>
      <c r="L199" s="20">
        <v>16023</v>
      </c>
      <c r="M199" s="20"/>
      <c r="N199" s="20"/>
      <c r="O199" s="20"/>
      <c r="P199" s="20"/>
      <c r="Q199" s="20"/>
      <c r="R199" s="20"/>
      <c r="S199" s="20">
        <v>1359</v>
      </c>
      <c r="T199" s="20">
        <v>3395</v>
      </c>
      <c r="U199" s="20"/>
      <c r="V199" s="20"/>
      <c r="W199" s="20"/>
      <c r="X199" s="20"/>
      <c r="Y199" s="20"/>
      <c r="Z199" s="20"/>
      <c r="AA199" s="20">
        <v>1</v>
      </c>
      <c r="AB199" s="20">
        <v>1</v>
      </c>
      <c r="AC199" s="22">
        <f t="shared" si="7"/>
        <v>112734</v>
      </c>
      <c r="AD199" s="22">
        <f t="shared" si="8"/>
        <v>281784</v>
      </c>
    </row>
    <row r="200" spans="1:30" x14ac:dyDescent="0.25">
      <c r="A200" s="13">
        <v>242</v>
      </c>
      <c r="B200" s="14" t="s">
        <v>438</v>
      </c>
      <c r="C200" s="26" t="s">
        <v>439</v>
      </c>
      <c r="D200" s="14" t="s">
        <v>42</v>
      </c>
      <c r="E200" s="20">
        <v>4112</v>
      </c>
      <c r="F200" s="20">
        <v>10276</v>
      </c>
      <c r="G200" s="20">
        <v>9897</v>
      </c>
      <c r="H200" s="20">
        <v>24734</v>
      </c>
      <c r="I200" s="20"/>
      <c r="J200" s="20"/>
      <c r="K200" s="20">
        <v>7124</v>
      </c>
      <c r="L200" s="20">
        <v>17806</v>
      </c>
      <c r="M200" s="20"/>
      <c r="N200" s="20"/>
      <c r="O200" s="20"/>
      <c r="P200" s="20"/>
      <c r="Q200" s="20"/>
      <c r="R200" s="20"/>
      <c r="S200" s="20">
        <v>82</v>
      </c>
      <c r="T200" s="20">
        <v>203</v>
      </c>
      <c r="U200" s="20"/>
      <c r="V200" s="20"/>
      <c r="W200" s="20"/>
      <c r="X200" s="20"/>
      <c r="Y200" s="20"/>
      <c r="Z200" s="20"/>
      <c r="AA200" s="20"/>
      <c r="AB200" s="20"/>
      <c r="AC200" s="22">
        <f t="shared" si="7"/>
        <v>21215</v>
      </c>
      <c r="AD200" s="22">
        <f t="shared" si="8"/>
        <v>53019</v>
      </c>
    </row>
    <row r="201" spans="1:30" x14ac:dyDescent="0.25">
      <c r="A201" s="13">
        <v>244</v>
      </c>
      <c r="B201" s="14" t="s">
        <v>440</v>
      </c>
      <c r="C201" s="26" t="s">
        <v>441</v>
      </c>
      <c r="D201" s="14" t="s">
        <v>42</v>
      </c>
      <c r="E201" s="20">
        <v>471356</v>
      </c>
      <c r="F201" s="20">
        <v>1178388</v>
      </c>
      <c r="G201" s="20">
        <v>79307</v>
      </c>
      <c r="H201" s="20">
        <v>198246</v>
      </c>
      <c r="I201" s="20">
        <v>395103</v>
      </c>
      <c r="J201" s="20">
        <v>987756</v>
      </c>
      <c r="K201" s="20">
        <v>15936</v>
      </c>
      <c r="L201" s="20">
        <v>39829</v>
      </c>
      <c r="M201" s="20"/>
      <c r="N201" s="20"/>
      <c r="O201" s="20"/>
      <c r="P201" s="20"/>
      <c r="Q201" s="20"/>
      <c r="R201" s="20"/>
      <c r="S201" s="20">
        <v>84</v>
      </c>
      <c r="T201" s="20">
        <v>210</v>
      </c>
      <c r="U201" s="20"/>
      <c r="V201" s="20"/>
      <c r="W201" s="20"/>
      <c r="X201" s="20"/>
      <c r="Y201" s="20"/>
      <c r="Z201" s="20"/>
      <c r="AA201" s="20">
        <v>408</v>
      </c>
      <c r="AB201" s="20">
        <v>1020</v>
      </c>
      <c r="AC201" s="22">
        <f t="shared" si="7"/>
        <v>962194</v>
      </c>
      <c r="AD201" s="22">
        <f t="shared" si="8"/>
        <v>2405449</v>
      </c>
    </row>
    <row r="202" spans="1:30" x14ac:dyDescent="0.25">
      <c r="A202" s="13">
        <v>245</v>
      </c>
      <c r="B202" s="14" t="s">
        <v>442</v>
      </c>
      <c r="C202" s="26" t="s">
        <v>443</v>
      </c>
      <c r="D202" s="14" t="s">
        <v>42</v>
      </c>
      <c r="E202" s="20">
        <v>27487</v>
      </c>
      <c r="F202" s="20">
        <v>68715</v>
      </c>
      <c r="G202" s="20">
        <v>32507</v>
      </c>
      <c r="H202" s="20">
        <v>81158</v>
      </c>
      <c r="I202" s="20">
        <v>7651</v>
      </c>
      <c r="J202" s="20">
        <v>19126</v>
      </c>
      <c r="K202" s="20">
        <v>13981</v>
      </c>
      <c r="L202" s="20">
        <v>34939</v>
      </c>
      <c r="M202" s="20"/>
      <c r="N202" s="20"/>
      <c r="O202" s="20"/>
      <c r="P202" s="20"/>
      <c r="Q202" s="20"/>
      <c r="R202" s="20"/>
      <c r="S202" s="20"/>
      <c r="T202" s="20"/>
      <c r="U202" s="20"/>
      <c r="V202" s="20"/>
      <c r="W202" s="20"/>
      <c r="X202" s="20"/>
      <c r="Y202" s="20"/>
      <c r="Z202" s="20"/>
      <c r="AA202" s="20"/>
      <c r="AB202" s="20"/>
      <c r="AC202" s="22">
        <f t="shared" si="7"/>
        <v>81626</v>
      </c>
      <c r="AD202" s="22">
        <f t="shared" si="8"/>
        <v>203938</v>
      </c>
    </row>
    <row r="203" spans="1:30" x14ac:dyDescent="0.25">
      <c r="A203" s="13">
        <v>246</v>
      </c>
      <c r="B203" s="14" t="s">
        <v>444</v>
      </c>
      <c r="C203" s="26" t="s">
        <v>445</v>
      </c>
      <c r="D203" s="14" t="s">
        <v>42</v>
      </c>
      <c r="E203" s="20"/>
      <c r="F203" s="20"/>
      <c r="G203" s="20">
        <v>1119</v>
      </c>
      <c r="H203" s="20">
        <v>2796</v>
      </c>
      <c r="I203" s="20"/>
      <c r="J203" s="20"/>
      <c r="K203" s="20">
        <v>3320</v>
      </c>
      <c r="L203" s="20">
        <v>8300</v>
      </c>
      <c r="M203" s="20"/>
      <c r="N203" s="20"/>
      <c r="O203" s="20"/>
      <c r="P203" s="20"/>
      <c r="Q203" s="20"/>
      <c r="R203" s="20"/>
      <c r="S203" s="20"/>
      <c r="T203" s="20"/>
      <c r="U203" s="20"/>
      <c r="V203" s="20"/>
      <c r="W203" s="20"/>
      <c r="X203" s="20"/>
      <c r="Y203" s="20"/>
      <c r="Z203" s="20"/>
      <c r="AA203" s="20"/>
      <c r="AB203" s="20"/>
      <c r="AC203" s="22">
        <f t="shared" si="7"/>
        <v>4439</v>
      </c>
      <c r="AD203" s="22">
        <f t="shared" si="8"/>
        <v>11096</v>
      </c>
    </row>
    <row r="204" spans="1:30" x14ac:dyDescent="0.25">
      <c r="A204" s="13">
        <v>247</v>
      </c>
      <c r="B204" s="14" t="s">
        <v>446</v>
      </c>
      <c r="C204" s="26" t="s">
        <v>447</v>
      </c>
      <c r="D204" s="14" t="s">
        <v>42</v>
      </c>
      <c r="E204" s="20">
        <v>45253</v>
      </c>
      <c r="F204" s="20">
        <v>113130</v>
      </c>
      <c r="G204" s="20">
        <v>2901</v>
      </c>
      <c r="H204" s="20">
        <v>7235</v>
      </c>
      <c r="I204" s="20"/>
      <c r="J204" s="20"/>
      <c r="K204" s="20">
        <v>849</v>
      </c>
      <c r="L204" s="20">
        <v>2115</v>
      </c>
      <c r="M204" s="20"/>
      <c r="N204" s="20"/>
      <c r="O204" s="20"/>
      <c r="P204" s="20"/>
      <c r="Q204" s="20"/>
      <c r="R204" s="20"/>
      <c r="S204" s="20">
        <v>105</v>
      </c>
      <c r="T204" s="20">
        <v>262</v>
      </c>
      <c r="U204" s="20"/>
      <c r="V204" s="20"/>
      <c r="W204" s="20"/>
      <c r="X204" s="20"/>
      <c r="Y204" s="20"/>
      <c r="Z204" s="20"/>
      <c r="AA204" s="20"/>
      <c r="AB204" s="20"/>
      <c r="AC204" s="22">
        <f t="shared" ref="AC204:AC267" si="9">SUM(E204+G204+I204+K204+M204+O204+Q204+S204+U204+W204+Y204+AA204)</f>
        <v>49108</v>
      </c>
      <c r="AD204" s="22">
        <f t="shared" ref="AD204:AD267" si="10">SUM(F204+H204+J204+L204+N204+P204+R204+T204+V204+X204+Z204+AB204)</f>
        <v>122742</v>
      </c>
    </row>
    <row r="205" spans="1:30" x14ac:dyDescent="0.25">
      <c r="A205" s="13">
        <v>248</v>
      </c>
      <c r="B205" s="14" t="s">
        <v>448</v>
      </c>
      <c r="C205" s="26" t="s">
        <v>449</v>
      </c>
      <c r="D205" s="14" t="s">
        <v>42</v>
      </c>
      <c r="E205" s="20">
        <v>387392</v>
      </c>
      <c r="F205" s="20">
        <v>968477</v>
      </c>
      <c r="G205" s="20">
        <v>58802</v>
      </c>
      <c r="H205" s="20">
        <v>146970</v>
      </c>
      <c r="I205" s="20">
        <v>91440</v>
      </c>
      <c r="J205" s="20">
        <v>228600</v>
      </c>
      <c r="K205" s="20">
        <v>552</v>
      </c>
      <c r="L205" s="20">
        <v>1374</v>
      </c>
      <c r="M205" s="20">
        <v>22916</v>
      </c>
      <c r="N205" s="20">
        <v>57286</v>
      </c>
      <c r="O205" s="20"/>
      <c r="P205" s="20"/>
      <c r="Q205" s="20"/>
      <c r="R205" s="20"/>
      <c r="S205" s="20">
        <v>2204</v>
      </c>
      <c r="T205" s="20">
        <v>5510</v>
      </c>
      <c r="U205" s="20">
        <v>12960</v>
      </c>
      <c r="V205" s="20">
        <v>32400</v>
      </c>
      <c r="W205" s="20"/>
      <c r="X205" s="20"/>
      <c r="Y205" s="20"/>
      <c r="Z205" s="20"/>
      <c r="AA205" s="20"/>
      <c r="AB205" s="20"/>
      <c r="AC205" s="22">
        <f t="shared" si="9"/>
        <v>576266</v>
      </c>
      <c r="AD205" s="22">
        <f t="shared" si="10"/>
        <v>1440617</v>
      </c>
    </row>
    <row r="206" spans="1:30" x14ac:dyDescent="0.25">
      <c r="A206" s="13">
        <v>249</v>
      </c>
      <c r="B206" s="14" t="s">
        <v>450</v>
      </c>
      <c r="C206" s="26" t="s">
        <v>451</v>
      </c>
      <c r="D206" s="14" t="s">
        <v>42</v>
      </c>
      <c r="E206" s="20">
        <v>483542</v>
      </c>
      <c r="F206" s="20">
        <v>1208851</v>
      </c>
      <c r="G206" s="20">
        <v>36189</v>
      </c>
      <c r="H206" s="20">
        <v>90446</v>
      </c>
      <c r="I206" s="20">
        <v>41802</v>
      </c>
      <c r="J206" s="20">
        <v>104504</v>
      </c>
      <c r="K206" s="20">
        <v>478</v>
      </c>
      <c r="L206" s="20">
        <v>1188</v>
      </c>
      <c r="M206" s="20"/>
      <c r="N206" s="20"/>
      <c r="O206" s="20"/>
      <c r="P206" s="20"/>
      <c r="Q206" s="20"/>
      <c r="R206" s="20"/>
      <c r="S206" s="20">
        <v>708</v>
      </c>
      <c r="T206" s="20">
        <v>1770</v>
      </c>
      <c r="U206" s="20"/>
      <c r="V206" s="20"/>
      <c r="W206" s="20"/>
      <c r="X206" s="20"/>
      <c r="Y206" s="20"/>
      <c r="Z206" s="20"/>
      <c r="AA206" s="20"/>
      <c r="AB206" s="20"/>
      <c r="AC206" s="22">
        <f t="shared" si="9"/>
        <v>562719</v>
      </c>
      <c r="AD206" s="22">
        <f t="shared" si="10"/>
        <v>1406759</v>
      </c>
    </row>
    <row r="207" spans="1:30" x14ac:dyDescent="0.25">
      <c r="A207" s="13">
        <v>250</v>
      </c>
      <c r="B207" s="14" t="s">
        <v>452</v>
      </c>
      <c r="C207" s="26" t="s">
        <v>453</v>
      </c>
      <c r="D207" s="14" t="s">
        <v>42</v>
      </c>
      <c r="E207" s="20">
        <v>6621318</v>
      </c>
      <c r="F207" s="20">
        <v>16553293</v>
      </c>
      <c r="G207" s="20">
        <v>78676</v>
      </c>
      <c r="H207" s="20">
        <v>196629</v>
      </c>
      <c r="I207" s="20">
        <v>712400</v>
      </c>
      <c r="J207" s="20">
        <v>1781000</v>
      </c>
      <c r="K207" s="20">
        <v>17842</v>
      </c>
      <c r="L207" s="20">
        <v>44576</v>
      </c>
      <c r="M207" s="20"/>
      <c r="N207" s="20"/>
      <c r="O207" s="20">
        <v>8950</v>
      </c>
      <c r="P207" s="20">
        <v>22374</v>
      </c>
      <c r="Q207" s="20">
        <v>48240</v>
      </c>
      <c r="R207" s="20">
        <v>120600</v>
      </c>
      <c r="S207" s="20">
        <v>4051</v>
      </c>
      <c r="T207" s="20">
        <v>10127</v>
      </c>
      <c r="U207" s="20"/>
      <c r="V207" s="20"/>
      <c r="W207" s="20"/>
      <c r="X207" s="20"/>
      <c r="Y207" s="20"/>
      <c r="Z207" s="20"/>
      <c r="AA207" s="20">
        <v>28</v>
      </c>
      <c r="AB207" s="20">
        <v>70</v>
      </c>
      <c r="AC207" s="22">
        <f t="shared" si="9"/>
        <v>7491505</v>
      </c>
      <c r="AD207" s="22">
        <f t="shared" si="10"/>
        <v>18728669</v>
      </c>
    </row>
    <row r="208" spans="1:30" x14ac:dyDescent="0.25">
      <c r="A208" s="13">
        <v>251</v>
      </c>
      <c r="B208" s="14" t="s">
        <v>454</v>
      </c>
      <c r="C208" s="26" t="s">
        <v>455</v>
      </c>
      <c r="D208" s="14" t="s">
        <v>42</v>
      </c>
      <c r="E208" s="20">
        <v>485030</v>
      </c>
      <c r="F208" s="20">
        <v>1212575</v>
      </c>
      <c r="G208" s="20">
        <v>159966</v>
      </c>
      <c r="H208" s="20">
        <v>399864</v>
      </c>
      <c r="I208" s="20">
        <v>71240</v>
      </c>
      <c r="J208" s="20">
        <v>178100</v>
      </c>
      <c r="K208" s="20">
        <v>5336</v>
      </c>
      <c r="L208" s="20">
        <v>13315</v>
      </c>
      <c r="M208" s="20"/>
      <c r="N208" s="20"/>
      <c r="O208" s="20"/>
      <c r="P208" s="20"/>
      <c r="Q208" s="20">
        <v>31440</v>
      </c>
      <c r="R208" s="20">
        <v>78600</v>
      </c>
      <c r="S208" s="20">
        <v>636</v>
      </c>
      <c r="T208" s="20">
        <v>1586</v>
      </c>
      <c r="U208" s="20">
        <v>6480</v>
      </c>
      <c r="V208" s="20">
        <v>16200</v>
      </c>
      <c r="W208" s="20"/>
      <c r="X208" s="20"/>
      <c r="Y208" s="20"/>
      <c r="Z208" s="20"/>
      <c r="AA208" s="20">
        <v>20</v>
      </c>
      <c r="AB208" s="20">
        <v>50</v>
      </c>
      <c r="AC208" s="22">
        <f t="shared" si="9"/>
        <v>760148</v>
      </c>
      <c r="AD208" s="22">
        <f t="shared" si="10"/>
        <v>1900290</v>
      </c>
    </row>
    <row r="209" spans="1:30" x14ac:dyDescent="0.25">
      <c r="A209" s="13">
        <v>252</v>
      </c>
      <c r="B209" s="14" t="s">
        <v>456</v>
      </c>
      <c r="C209" s="26" t="s">
        <v>457</v>
      </c>
      <c r="D209" s="14" t="s">
        <v>42</v>
      </c>
      <c r="E209" s="20">
        <v>335445</v>
      </c>
      <c r="F209" s="20">
        <v>838611</v>
      </c>
      <c r="G209" s="20">
        <v>22672</v>
      </c>
      <c r="H209" s="20">
        <v>56645</v>
      </c>
      <c r="I209" s="20"/>
      <c r="J209" s="20"/>
      <c r="K209" s="20">
        <v>5017</v>
      </c>
      <c r="L209" s="20">
        <v>12517</v>
      </c>
      <c r="M209" s="20"/>
      <c r="N209" s="20"/>
      <c r="O209" s="20"/>
      <c r="P209" s="20"/>
      <c r="Q209" s="20">
        <v>22088</v>
      </c>
      <c r="R209" s="20">
        <v>55220</v>
      </c>
      <c r="S209" s="20">
        <v>171</v>
      </c>
      <c r="T209" s="20">
        <v>426</v>
      </c>
      <c r="U209" s="20"/>
      <c r="V209" s="20"/>
      <c r="W209" s="20"/>
      <c r="X209" s="20"/>
      <c r="Y209" s="20"/>
      <c r="Z209" s="20"/>
      <c r="AA209" s="20">
        <v>6</v>
      </c>
      <c r="AB209" s="20">
        <v>13</v>
      </c>
      <c r="AC209" s="22">
        <f t="shared" si="9"/>
        <v>385399</v>
      </c>
      <c r="AD209" s="22">
        <f t="shared" si="10"/>
        <v>963432</v>
      </c>
    </row>
    <row r="210" spans="1:30" x14ac:dyDescent="0.25">
      <c r="A210" s="13">
        <v>253</v>
      </c>
      <c r="B210" s="14" t="s">
        <v>458</v>
      </c>
      <c r="C210" s="26" t="s">
        <v>459</v>
      </c>
      <c r="D210" s="14" t="s">
        <v>42</v>
      </c>
      <c r="E210" s="20">
        <v>312664</v>
      </c>
      <c r="F210" s="20">
        <v>781658</v>
      </c>
      <c r="G210" s="20">
        <v>93572</v>
      </c>
      <c r="H210" s="20">
        <v>233902</v>
      </c>
      <c r="I210" s="20">
        <v>60280</v>
      </c>
      <c r="J210" s="20">
        <v>150700</v>
      </c>
      <c r="K210" s="20">
        <v>1609</v>
      </c>
      <c r="L210" s="20">
        <v>4008</v>
      </c>
      <c r="M210" s="20"/>
      <c r="N210" s="20"/>
      <c r="O210" s="20">
        <v>2636</v>
      </c>
      <c r="P210" s="20">
        <v>6589</v>
      </c>
      <c r="Q210" s="20"/>
      <c r="R210" s="20"/>
      <c r="S210" s="20">
        <v>1434</v>
      </c>
      <c r="T210" s="20">
        <v>3585</v>
      </c>
      <c r="U210" s="20">
        <v>6480</v>
      </c>
      <c r="V210" s="20">
        <v>16200</v>
      </c>
      <c r="W210" s="20"/>
      <c r="X210" s="20"/>
      <c r="Y210" s="20"/>
      <c r="Z210" s="20"/>
      <c r="AA210" s="20"/>
      <c r="AB210" s="20"/>
      <c r="AC210" s="22">
        <f t="shared" si="9"/>
        <v>478675</v>
      </c>
      <c r="AD210" s="22">
        <f t="shared" si="10"/>
        <v>1196642</v>
      </c>
    </row>
    <row r="211" spans="1:30" x14ac:dyDescent="0.25">
      <c r="A211" s="13">
        <v>254</v>
      </c>
      <c r="B211" s="14" t="s">
        <v>460</v>
      </c>
      <c r="C211" s="26" t="s">
        <v>461</v>
      </c>
      <c r="D211" s="14" t="s">
        <v>42</v>
      </c>
      <c r="E211" s="20">
        <v>84907</v>
      </c>
      <c r="F211" s="20">
        <v>212266</v>
      </c>
      <c r="G211" s="20">
        <v>43360</v>
      </c>
      <c r="H211" s="20">
        <v>108361</v>
      </c>
      <c r="I211" s="20">
        <v>28560</v>
      </c>
      <c r="J211" s="20">
        <v>71400</v>
      </c>
      <c r="K211" s="20">
        <v>1568</v>
      </c>
      <c r="L211" s="20">
        <v>3903</v>
      </c>
      <c r="M211" s="20"/>
      <c r="N211" s="20"/>
      <c r="O211" s="20"/>
      <c r="P211" s="20"/>
      <c r="Q211" s="20"/>
      <c r="R211" s="20"/>
      <c r="S211" s="20">
        <v>388</v>
      </c>
      <c r="T211" s="20">
        <v>967</v>
      </c>
      <c r="U211" s="20"/>
      <c r="V211" s="20"/>
      <c r="W211" s="20"/>
      <c r="X211" s="20"/>
      <c r="Y211" s="20"/>
      <c r="Z211" s="20"/>
      <c r="AA211" s="20">
        <v>11</v>
      </c>
      <c r="AB211" s="20">
        <v>25</v>
      </c>
      <c r="AC211" s="22">
        <f t="shared" si="9"/>
        <v>158794</v>
      </c>
      <c r="AD211" s="22">
        <f t="shared" si="10"/>
        <v>396922</v>
      </c>
    </row>
    <row r="212" spans="1:30" x14ac:dyDescent="0.25">
      <c r="A212" s="13">
        <v>255</v>
      </c>
      <c r="B212" s="14" t="s">
        <v>462</v>
      </c>
      <c r="C212" s="26" t="s">
        <v>463</v>
      </c>
      <c r="D212" s="14" t="s">
        <v>42</v>
      </c>
      <c r="E212" s="20">
        <v>349405</v>
      </c>
      <c r="F212" s="20">
        <v>873511</v>
      </c>
      <c r="G212" s="20">
        <v>27271</v>
      </c>
      <c r="H212" s="20">
        <v>68136</v>
      </c>
      <c r="I212" s="20">
        <v>70283</v>
      </c>
      <c r="J212" s="20">
        <v>175707</v>
      </c>
      <c r="K212" s="20">
        <v>5070</v>
      </c>
      <c r="L212" s="20">
        <v>12666</v>
      </c>
      <c r="M212" s="20"/>
      <c r="N212" s="20"/>
      <c r="O212" s="20"/>
      <c r="P212" s="20"/>
      <c r="Q212" s="20"/>
      <c r="R212" s="20"/>
      <c r="S212" s="20">
        <v>334</v>
      </c>
      <c r="T212" s="20">
        <v>835</v>
      </c>
      <c r="U212" s="20"/>
      <c r="V212" s="20"/>
      <c r="W212" s="20"/>
      <c r="X212" s="20"/>
      <c r="Y212" s="20"/>
      <c r="Z212" s="20"/>
      <c r="AA212" s="20">
        <v>2</v>
      </c>
      <c r="AB212" s="20">
        <v>2</v>
      </c>
      <c r="AC212" s="22">
        <f t="shared" si="9"/>
        <v>452365</v>
      </c>
      <c r="AD212" s="22">
        <f t="shared" si="10"/>
        <v>1130857</v>
      </c>
    </row>
    <row r="213" spans="1:30" x14ac:dyDescent="0.25">
      <c r="A213" s="13">
        <v>256</v>
      </c>
      <c r="B213" s="14" t="s">
        <v>464</v>
      </c>
      <c r="C213" s="26" t="s">
        <v>465</v>
      </c>
      <c r="D213" s="14" t="s">
        <v>42</v>
      </c>
      <c r="E213" s="20">
        <v>9905</v>
      </c>
      <c r="F213" s="20">
        <v>24760</v>
      </c>
      <c r="G213" s="20">
        <v>1698</v>
      </c>
      <c r="H213" s="20">
        <v>4211</v>
      </c>
      <c r="I213" s="20"/>
      <c r="J213" s="20"/>
      <c r="K213" s="20">
        <v>499</v>
      </c>
      <c r="L213" s="20">
        <v>1232</v>
      </c>
      <c r="M213" s="20"/>
      <c r="N213" s="20"/>
      <c r="O213" s="20"/>
      <c r="P213" s="20"/>
      <c r="Q213" s="20"/>
      <c r="R213" s="20"/>
      <c r="S213" s="20"/>
      <c r="T213" s="20"/>
      <c r="U213" s="20"/>
      <c r="V213" s="20"/>
      <c r="W213" s="20"/>
      <c r="X213" s="20"/>
      <c r="Y213" s="20"/>
      <c r="Z213" s="20"/>
      <c r="AA213" s="20"/>
      <c r="AB213" s="20"/>
      <c r="AC213" s="22">
        <f t="shared" si="9"/>
        <v>12102</v>
      </c>
      <c r="AD213" s="22">
        <f t="shared" si="10"/>
        <v>30203</v>
      </c>
    </row>
    <row r="214" spans="1:30" x14ac:dyDescent="0.25">
      <c r="A214" s="13">
        <v>257</v>
      </c>
      <c r="B214" s="14" t="s">
        <v>466</v>
      </c>
      <c r="C214" s="26" t="s">
        <v>467</v>
      </c>
      <c r="D214" s="14" t="s">
        <v>42</v>
      </c>
      <c r="E214" s="20">
        <v>540230</v>
      </c>
      <c r="F214" s="20">
        <v>1350575</v>
      </c>
      <c r="G214" s="20">
        <v>25908</v>
      </c>
      <c r="H214" s="20">
        <v>64723</v>
      </c>
      <c r="I214" s="20">
        <v>153603</v>
      </c>
      <c r="J214" s="20">
        <v>384006</v>
      </c>
      <c r="K214" s="20">
        <v>3395</v>
      </c>
      <c r="L214" s="20">
        <v>8466</v>
      </c>
      <c r="M214" s="20"/>
      <c r="N214" s="20"/>
      <c r="O214" s="20"/>
      <c r="P214" s="20"/>
      <c r="Q214" s="20"/>
      <c r="R214" s="20"/>
      <c r="S214" s="20">
        <v>305</v>
      </c>
      <c r="T214" s="20">
        <v>759</v>
      </c>
      <c r="U214" s="20"/>
      <c r="V214" s="20"/>
      <c r="W214" s="20"/>
      <c r="X214" s="20"/>
      <c r="Y214" s="20"/>
      <c r="Z214" s="20"/>
      <c r="AA214" s="20">
        <v>2</v>
      </c>
      <c r="AB214" s="20">
        <v>3</v>
      </c>
      <c r="AC214" s="22">
        <f t="shared" si="9"/>
        <v>723443</v>
      </c>
      <c r="AD214" s="22">
        <f t="shared" si="10"/>
        <v>1808532</v>
      </c>
    </row>
    <row r="215" spans="1:30" x14ac:dyDescent="0.25">
      <c r="A215" s="13">
        <v>258</v>
      </c>
      <c r="B215" s="14" t="s">
        <v>468</v>
      </c>
      <c r="C215" s="26" t="s">
        <v>469</v>
      </c>
      <c r="D215" s="14" t="s">
        <v>42</v>
      </c>
      <c r="E215" s="20">
        <v>17874</v>
      </c>
      <c r="F215" s="20">
        <v>44684</v>
      </c>
      <c r="G215" s="20">
        <v>2449</v>
      </c>
      <c r="H215" s="20">
        <v>6087</v>
      </c>
      <c r="I215" s="20"/>
      <c r="J215" s="20"/>
      <c r="K215" s="20">
        <v>1266</v>
      </c>
      <c r="L215" s="20">
        <v>3147</v>
      </c>
      <c r="M215" s="20"/>
      <c r="N215" s="20"/>
      <c r="O215" s="20"/>
      <c r="P215" s="20"/>
      <c r="Q215" s="20"/>
      <c r="R215" s="20"/>
      <c r="S215" s="20">
        <v>94</v>
      </c>
      <c r="T215" s="20">
        <v>232</v>
      </c>
      <c r="U215" s="20"/>
      <c r="V215" s="20"/>
      <c r="W215" s="20"/>
      <c r="X215" s="20"/>
      <c r="Y215" s="20"/>
      <c r="Z215" s="20"/>
      <c r="AA215" s="20"/>
      <c r="AB215" s="20"/>
      <c r="AC215" s="22">
        <f t="shared" si="9"/>
        <v>21683</v>
      </c>
      <c r="AD215" s="22">
        <f t="shared" si="10"/>
        <v>54150</v>
      </c>
    </row>
    <row r="216" spans="1:30" x14ac:dyDescent="0.25">
      <c r="A216" s="13">
        <v>259</v>
      </c>
      <c r="B216" s="14" t="s">
        <v>470</v>
      </c>
      <c r="C216" s="26" t="s">
        <v>471</v>
      </c>
      <c r="D216" s="14" t="s">
        <v>42</v>
      </c>
      <c r="E216" s="20">
        <v>56685</v>
      </c>
      <c r="F216" s="20">
        <v>141710</v>
      </c>
      <c r="G216" s="20">
        <v>4236</v>
      </c>
      <c r="H216" s="20">
        <v>10541</v>
      </c>
      <c r="I216" s="20"/>
      <c r="J216" s="20"/>
      <c r="K216" s="20">
        <v>2239</v>
      </c>
      <c r="L216" s="20">
        <v>5579</v>
      </c>
      <c r="M216" s="20"/>
      <c r="N216" s="20"/>
      <c r="O216" s="20"/>
      <c r="P216" s="20"/>
      <c r="Q216" s="20"/>
      <c r="R216" s="20"/>
      <c r="S216" s="20">
        <v>80</v>
      </c>
      <c r="T216" s="20">
        <v>199</v>
      </c>
      <c r="U216" s="20"/>
      <c r="V216" s="20"/>
      <c r="W216" s="20"/>
      <c r="X216" s="20"/>
      <c r="Y216" s="20"/>
      <c r="Z216" s="20"/>
      <c r="AA216" s="20">
        <v>2</v>
      </c>
      <c r="AB216" s="20">
        <v>2</v>
      </c>
      <c r="AC216" s="22">
        <f t="shared" si="9"/>
        <v>63242</v>
      </c>
      <c r="AD216" s="22">
        <f t="shared" si="10"/>
        <v>158031</v>
      </c>
    </row>
    <row r="217" spans="1:30" x14ac:dyDescent="0.25">
      <c r="A217" s="13">
        <v>260</v>
      </c>
      <c r="B217" s="14" t="s">
        <v>472</v>
      </c>
      <c r="C217" s="26" t="s">
        <v>473</v>
      </c>
      <c r="D217" s="14" t="s">
        <v>42</v>
      </c>
      <c r="E217" s="20">
        <v>68960</v>
      </c>
      <c r="F217" s="20">
        <v>172398</v>
      </c>
      <c r="G217" s="20">
        <v>11390</v>
      </c>
      <c r="H217" s="20">
        <v>28444</v>
      </c>
      <c r="I217" s="20">
        <v>12826</v>
      </c>
      <c r="J217" s="20">
        <v>32065</v>
      </c>
      <c r="K217" s="20">
        <v>5973</v>
      </c>
      <c r="L217" s="20">
        <v>14898</v>
      </c>
      <c r="M217" s="20"/>
      <c r="N217" s="20"/>
      <c r="O217" s="20"/>
      <c r="P217" s="20"/>
      <c r="Q217" s="20">
        <v>34210</v>
      </c>
      <c r="R217" s="20">
        <v>85522</v>
      </c>
      <c r="S217" s="20">
        <v>792</v>
      </c>
      <c r="T217" s="20">
        <v>1980</v>
      </c>
      <c r="U217" s="20"/>
      <c r="V217" s="20"/>
      <c r="W217" s="20"/>
      <c r="X217" s="20"/>
      <c r="Y217" s="20"/>
      <c r="Z217" s="20"/>
      <c r="AA217" s="20">
        <v>2</v>
      </c>
      <c r="AB217" s="20">
        <v>2</v>
      </c>
      <c r="AC217" s="22">
        <f t="shared" si="9"/>
        <v>134153</v>
      </c>
      <c r="AD217" s="22">
        <f t="shared" si="10"/>
        <v>335309</v>
      </c>
    </row>
    <row r="218" spans="1:30" x14ac:dyDescent="0.25">
      <c r="A218" s="13">
        <v>261</v>
      </c>
      <c r="B218" s="14" t="s">
        <v>474</v>
      </c>
      <c r="C218" s="26" t="s">
        <v>475</v>
      </c>
      <c r="D218" s="14" t="s">
        <v>42</v>
      </c>
      <c r="E218" s="20">
        <v>23608</v>
      </c>
      <c r="F218" s="20">
        <v>59018</v>
      </c>
      <c r="G218" s="20">
        <v>3825</v>
      </c>
      <c r="H218" s="20">
        <v>9533</v>
      </c>
      <c r="I218" s="20">
        <v>1152</v>
      </c>
      <c r="J218" s="20">
        <v>2880</v>
      </c>
      <c r="K218" s="20">
        <v>90</v>
      </c>
      <c r="L218" s="20">
        <v>213</v>
      </c>
      <c r="M218" s="20"/>
      <c r="N218" s="20"/>
      <c r="O218" s="20"/>
      <c r="P218" s="20"/>
      <c r="Q218" s="20"/>
      <c r="R218" s="20"/>
      <c r="S218" s="20">
        <v>268</v>
      </c>
      <c r="T218" s="20">
        <v>670</v>
      </c>
      <c r="U218" s="20"/>
      <c r="V218" s="20"/>
      <c r="W218" s="20"/>
      <c r="X218" s="20"/>
      <c r="Y218" s="20"/>
      <c r="Z218" s="20"/>
      <c r="AA218" s="20">
        <v>4</v>
      </c>
      <c r="AB218" s="20">
        <v>10</v>
      </c>
      <c r="AC218" s="22">
        <f t="shared" si="9"/>
        <v>28947</v>
      </c>
      <c r="AD218" s="22">
        <f t="shared" si="10"/>
        <v>72324</v>
      </c>
    </row>
    <row r="219" spans="1:30" x14ac:dyDescent="0.25">
      <c r="A219" s="13">
        <v>262</v>
      </c>
      <c r="B219" s="14" t="s">
        <v>476</v>
      </c>
      <c r="C219" s="26" t="s">
        <v>477</v>
      </c>
      <c r="D219" s="14" t="s">
        <v>43</v>
      </c>
      <c r="E219" s="20">
        <v>15794</v>
      </c>
      <c r="F219" s="20">
        <v>39482</v>
      </c>
      <c r="G219" s="20">
        <v>6509</v>
      </c>
      <c r="H219" s="20">
        <v>16169</v>
      </c>
      <c r="I219" s="20">
        <v>4224</v>
      </c>
      <c r="J219" s="20">
        <v>10560</v>
      </c>
      <c r="K219" s="20">
        <v>4415</v>
      </c>
      <c r="L219" s="20">
        <v>11010</v>
      </c>
      <c r="M219" s="20"/>
      <c r="N219" s="20"/>
      <c r="O219" s="20"/>
      <c r="P219" s="20"/>
      <c r="Q219" s="20"/>
      <c r="R219" s="20"/>
      <c r="S219" s="20"/>
      <c r="T219" s="20"/>
      <c r="U219" s="20"/>
      <c r="V219" s="20"/>
      <c r="W219" s="20"/>
      <c r="X219" s="20"/>
      <c r="Y219" s="20"/>
      <c r="Z219" s="20"/>
      <c r="AA219" s="20"/>
      <c r="AB219" s="20"/>
      <c r="AC219" s="22">
        <f t="shared" si="9"/>
        <v>30942</v>
      </c>
      <c r="AD219" s="22">
        <f t="shared" si="10"/>
        <v>77221</v>
      </c>
    </row>
    <row r="220" spans="1:30" x14ac:dyDescent="0.25">
      <c r="A220" s="13">
        <v>263</v>
      </c>
      <c r="B220" s="14" t="s">
        <v>478</v>
      </c>
      <c r="C220" s="26" t="s">
        <v>479</v>
      </c>
      <c r="D220" s="14" t="s">
        <v>42</v>
      </c>
      <c r="E220" s="20">
        <v>9188</v>
      </c>
      <c r="F220" s="20">
        <v>22970</v>
      </c>
      <c r="G220" s="20">
        <v>7507</v>
      </c>
      <c r="H220" s="20">
        <v>18689</v>
      </c>
      <c r="I220" s="20">
        <v>4713</v>
      </c>
      <c r="J220" s="20">
        <v>11782</v>
      </c>
      <c r="K220" s="20">
        <v>2322</v>
      </c>
      <c r="L220" s="20">
        <v>5786</v>
      </c>
      <c r="M220" s="20"/>
      <c r="N220" s="20"/>
      <c r="O220" s="20"/>
      <c r="P220" s="20"/>
      <c r="Q220" s="20"/>
      <c r="R220" s="20"/>
      <c r="S220" s="20"/>
      <c r="T220" s="20"/>
      <c r="U220" s="20"/>
      <c r="V220" s="20"/>
      <c r="W220" s="20"/>
      <c r="X220" s="20"/>
      <c r="Y220" s="20"/>
      <c r="Z220" s="20"/>
      <c r="AA220" s="20"/>
      <c r="AB220" s="20"/>
      <c r="AC220" s="22">
        <f t="shared" si="9"/>
        <v>23730</v>
      </c>
      <c r="AD220" s="22">
        <f t="shared" si="10"/>
        <v>59227</v>
      </c>
    </row>
    <row r="221" spans="1:30" x14ac:dyDescent="0.25">
      <c r="A221" s="13">
        <v>264</v>
      </c>
      <c r="B221" s="14" t="s">
        <v>480</v>
      </c>
      <c r="C221" s="26" t="s">
        <v>481</v>
      </c>
      <c r="D221" s="14" t="s">
        <v>42</v>
      </c>
      <c r="E221" s="20">
        <v>7559</v>
      </c>
      <c r="F221" s="20">
        <v>18896</v>
      </c>
      <c r="G221" s="20">
        <v>1028</v>
      </c>
      <c r="H221" s="20">
        <v>2545</v>
      </c>
      <c r="I221" s="20">
        <v>7333</v>
      </c>
      <c r="J221" s="20">
        <v>18331</v>
      </c>
      <c r="K221" s="20">
        <v>851</v>
      </c>
      <c r="L221" s="20">
        <v>2115</v>
      </c>
      <c r="M221" s="20"/>
      <c r="N221" s="20"/>
      <c r="O221" s="20"/>
      <c r="P221" s="20"/>
      <c r="Q221" s="20"/>
      <c r="R221" s="20"/>
      <c r="S221" s="20"/>
      <c r="T221" s="20"/>
      <c r="U221" s="20"/>
      <c r="V221" s="20"/>
      <c r="W221" s="20"/>
      <c r="X221" s="20"/>
      <c r="Y221" s="20"/>
      <c r="Z221" s="20"/>
      <c r="AA221" s="20"/>
      <c r="AB221" s="20"/>
      <c r="AC221" s="22">
        <f t="shared" si="9"/>
        <v>16771</v>
      </c>
      <c r="AD221" s="22">
        <f t="shared" si="10"/>
        <v>41887</v>
      </c>
    </row>
    <row r="222" spans="1:30" x14ac:dyDescent="0.25">
      <c r="A222" s="13">
        <v>266</v>
      </c>
      <c r="B222" s="14" t="s">
        <v>482</v>
      </c>
      <c r="C222" s="26" t="s">
        <v>483</v>
      </c>
      <c r="D222" s="14" t="s">
        <v>43</v>
      </c>
      <c r="E222" s="20">
        <v>119220</v>
      </c>
      <c r="F222" s="20">
        <v>298047</v>
      </c>
      <c r="G222" s="20">
        <v>47626</v>
      </c>
      <c r="H222" s="20">
        <v>118974</v>
      </c>
      <c r="I222" s="20">
        <v>24288</v>
      </c>
      <c r="J222" s="20">
        <v>60720</v>
      </c>
      <c r="K222" s="20">
        <v>30500</v>
      </c>
      <c r="L222" s="20">
        <v>76229</v>
      </c>
      <c r="M222" s="20"/>
      <c r="N222" s="20"/>
      <c r="O222" s="20"/>
      <c r="P222" s="20"/>
      <c r="Q222" s="20"/>
      <c r="R222" s="20"/>
      <c r="S222" s="20"/>
      <c r="T222" s="20"/>
      <c r="U222" s="20"/>
      <c r="V222" s="20"/>
      <c r="W222" s="20"/>
      <c r="X222" s="20"/>
      <c r="Y222" s="20"/>
      <c r="Z222" s="20"/>
      <c r="AA222" s="20"/>
      <c r="AB222" s="20"/>
      <c r="AC222" s="22">
        <f t="shared" si="9"/>
        <v>221634</v>
      </c>
      <c r="AD222" s="22">
        <f t="shared" si="10"/>
        <v>553970</v>
      </c>
    </row>
    <row r="223" spans="1:30" x14ac:dyDescent="0.25">
      <c r="A223" s="13">
        <v>267</v>
      </c>
      <c r="B223" s="14" t="s">
        <v>484</v>
      </c>
      <c r="C223" s="26" t="s">
        <v>485</v>
      </c>
      <c r="D223" s="14" t="s">
        <v>42</v>
      </c>
      <c r="E223" s="20">
        <v>217134</v>
      </c>
      <c r="F223" s="20">
        <v>542833</v>
      </c>
      <c r="G223" s="20">
        <v>67377</v>
      </c>
      <c r="H223" s="20">
        <v>168399</v>
      </c>
      <c r="I223" s="20">
        <v>49320</v>
      </c>
      <c r="J223" s="20">
        <v>123300</v>
      </c>
      <c r="K223" s="20">
        <v>24726</v>
      </c>
      <c r="L223" s="20">
        <v>61806</v>
      </c>
      <c r="M223" s="20">
        <v>4656</v>
      </c>
      <c r="N223" s="20">
        <v>11638</v>
      </c>
      <c r="O223" s="20"/>
      <c r="P223" s="20"/>
      <c r="Q223" s="20"/>
      <c r="R223" s="20"/>
      <c r="S223" s="20">
        <v>4</v>
      </c>
      <c r="T223" s="20">
        <v>10</v>
      </c>
      <c r="U223" s="20"/>
      <c r="V223" s="20"/>
      <c r="W223" s="20"/>
      <c r="X223" s="20"/>
      <c r="Y223" s="20"/>
      <c r="Z223" s="20"/>
      <c r="AA223" s="20"/>
      <c r="AB223" s="20"/>
      <c r="AC223" s="22">
        <f t="shared" si="9"/>
        <v>363217</v>
      </c>
      <c r="AD223" s="22">
        <f t="shared" si="10"/>
        <v>907986</v>
      </c>
    </row>
    <row r="224" spans="1:30" x14ac:dyDescent="0.25">
      <c r="A224" s="13">
        <v>270</v>
      </c>
      <c r="B224" s="14" t="s">
        <v>486</v>
      </c>
      <c r="C224" s="26" t="s">
        <v>487</v>
      </c>
      <c r="D224" s="14" t="s">
        <v>42</v>
      </c>
      <c r="E224" s="20">
        <v>13930</v>
      </c>
      <c r="F224" s="20">
        <v>34822</v>
      </c>
      <c r="G224" s="20">
        <v>1110</v>
      </c>
      <c r="H224" s="20">
        <v>2759</v>
      </c>
      <c r="I224" s="20"/>
      <c r="J224" s="20"/>
      <c r="K224" s="20">
        <v>760</v>
      </c>
      <c r="L224" s="20">
        <v>1896</v>
      </c>
      <c r="M224" s="20"/>
      <c r="N224" s="20"/>
      <c r="O224" s="20"/>
      <c r="P224" s="20"/>
      <c r="Q224" s="20"/>
      <c r="R224" s="20"/>
      <c r="S224" s="20"/>
      <c r="T224" s="20"/>
      <c r="U224" s="20"/>
      <c r="V224" s="20"/>
      <c r="W224" s="20"/>
      <c r="X224" s="20"/>
      <c r="Y224" s="20"/>
      <c r="Z224" s="20"/>
      <c r="AA224" s="20"/>
      <c r="AB224" s="20"/>
      <c r="AC224" s="22">
        <f t="shared" si="9"/>
        <v>15800</v>
      </c>
      <c r="AD224" s="22">
        <f t="shared" si="10"/>
        <v>39477</v>
      </c>
    </row>
    <row r="225" spans="1:30" x14ac:dyDescent="0.25">
      <c r="A225" s="13">
        <v>271</v>
      </c>
      <c r="B225" s="14" t="s">
        <v>488</v>
      </c>
      <c r="C225" s="26" t="s">
        <v>489</v>
      </c>
      <c r="D225" s="14" t="s">
        <v>42</v>
      </c>
      <c r="E225" s="20">
        <v>1510260</v>
      </c>
      <c r="F225" s="20">
        <v>3775647</v>
      </c>
      <c r="G225" s="20">
        <v>299316</v>
      </c>
      <c r="H225" s="20">
        <v>748249</v>
      </c>
      <c r="I225" s="20">
        <v>267020</v>
      </c>
      <c r="J225" s="20">
        <v>667547</v>
      </c>
      <c r="K225" s="20">
        <v>590</v>
      </c>
      <c r="L225" s="20">
        <v>1451</v>
      </c>
      <c r="M225" s="20"/>
      <c r="N225" s="20"/>
      <c r="O225" s="20"/>
      <c r="P225" s="20"/>
      <c r="Q225" s="20">
        <v>24424</v>
      </c>
      <c r="R225" s="20">
        <v>61056</v>
      </c>
      <c r="S225" s="20">
        <v>1111</v>
      </c>
      <c r="T225" s="20">
        <v>2777</v>
      </c>
      <c r="U225" s="20"/>
      <c r="V225" s="20"/>
      <c r="W225" s="20"/>
      <c r="X225" s="20"/>
      <c r="Y225" s="20"/>
      <c r="Z225" s="20"/>
      <c r="AA225" s="20">
        <v>49</v>
      </c>
      <c r="AB225" s="20">
        <v>119</v>
      </c>
      <c r="AC225" s="22">
        <f t="shared" si="9"/>
        <v>2102770</v>
      </c>
      <c r="AD225" s="22">
        <f t="shared" si="10"/>
        <v>5256846</v>
      </c>
    </row>
    <row r="226" spans="1:30" x14ac:dyDescent="0.25">
      <c r="A226" s="13">
        <v>272</v>
      </c>
      <c r="B226" s="14" t="s">
        <v>490</v>
      </c>
      <c r="C226" s="26" t="s">
        <v>491</v>
      </c>
      <c r="D226" s="14" t="s">
        <v>42</v>
      </c>
      <c r="E226" s="20">
        <v>540590</v>
      </c>
      <c r="F226" s="20">
        <v>1351472</v>
      </c>
      <c r="G226" s="20">
        <v>132068</v>
      </c>
      <c r="H226" s="20">
        <v>330112</v>
      </c>
      <c r="I226" s="20">
        <v>63704</v>
      </c>
      <c r="J226" s="20">
        <v>159258</v>
      </c>
      <c r="K226" s="20">
        <v>4277</v>
      </c>
      <c r="L226" s="20">
        <v>10668</v>
      </c>
      <c r="M226" s="20"/>
      <c r="N226" s="20"/>
      <c r="O226" s="20"/>
      <c r="P226" s="20"/>
      <c r="Q226" s="20">
        <v>40650</v>
      </c>
      <c r="R226" s="20">
        <v>101622</v>
      </c>
      <c r="S226" s="20">
        <v>680</v>
      </c>
      <c r="T226" s="20">
        <v>1700</v>
      </c>
      <c r="U226" s="20"/>
      <c r="V226" s="20"/>
      <c r="W226" s="20"/>
      <c r="X226" s="20"/>
      <c r="Y226" s="20"/>
      <c r="Z226" s="20"/>
      <c r="AA226" s="20">
        <v>22</v>
      </c>
      <c r="AB226" s="20">
        <v>52</v>
      </c>
      <c r="AC226" s="22">
        <f t="shared" si="9"/>
        <v>781991</v>
      </c>
      <c r="AD226" s="22">
        <f t="shared" si="10"/>
        <v>1954884</v>
      </c>
    </row>
    <row r="227" spans="1:30" x14ac:dyDescent="0.25">
      <c r="A227" s="13">
        <v>274</v>
      </c>
      <c r="B227" s="14" t="s">
        <v>492</v>
      </c>
      <c r="C227" s="26" t="s">
        <v>493</v>
      </c>
      <c r="D227" s="14" t="s">
        <v>42</v>
      </c>
      <c r="E227" s="20">
        <v>2491364</v>
      </c>
      <c r="F227" s="20">
        <v>6228406</v>
      </c>
      <c r="G227" s="20">
        <v>47061</v>
      </c>
      <c r="H227" s="20">
        <v>117641</v>
      </c>
      <c r="I227" s="20">
        <v>127343</v>
      </c>
      <c r="J227" s="20">
        <v>318354</v>
      </c>
      <c r="K227" s="20">
        <v>577</v>
      </c>
      <c r="L227" s="20">
        <v>1435</v>
      </c>
      <c r="M227" s="20">
        <v>7922</v>
      </c>
      <c r="N227" s="20">
        <v>19802</v>
      </c>
      <c r="O227" s="20"/>
      <c r="P227" s="20"/>
      <c r="Q227" s="20"/>
      <c r="R227" s="20"/>
      <c r="S227" s="20">
        <v>40</v>
      </c>
      <c r="T227" s="20">
        <v>100</v>
      </c>
      <c r="U227" s="20"/>
      <c r="V227" s="20"/>
      <c r="W227" s="20"/>
      <c r="X227" s="20"/>
      <c r="Y227" s="20"/>
      <c r="Z227" s="20"/>
      <c r="AA227" s="20"/>
      <c r="AB227" s="20"/>
      <c r="AC227" s="22">
        <f t="shared" si="9"/>
        <v>2674307</v>
      </c>
      <c r="AD227" s="22">
        <f t="shared" si="10"/>
        <v>6685738</v>
      </c>
    </row>
    <row r="228" spans="1:30" x14ac:dyDescent="0.25">
      <c r="A228" s="13">
        <v>275</v>
      </c>
      <c r="B228" s="14" t="s">
        <v>494</v>
      </c>
      <c r="C228" s="26" t="s">
        <v>495</v>
      </c>
      <c r="D228" s="14" t="s">
        <v>42</v>
      </c>
      <c r="E228" s="20">
        <v>33635</v>
      </c>
      <c r="F228" s="20">
        <v>84086</v>
      </c>
      <c r="G228" s="20">
        <v>4233</v>
      </c>
      <c r="H228" s="20">
        <v>10570</v>
      </c>
      <c r="I228" s="20">
        <v>333178</v>
      </c>
      <c r="J228" s="20">
        <v>832942</v>
      </c>
      <c r="K228" s="20">
        <v>2095</v>
      </c>
      <c r="L228" s="20">
        <v>5233</v>
      </c>
      <c r="M228" s="20"/>
      <c r="N228" s="20"/>
      <c r="O228" s="20"/>
      <c r="P228" s="20"/>
      <c r="Q228" s="20"/>
      <c r="R228" s="20"/>
      <c r="S228" s="20">
        <v>340</v>
      </c>
      <c r="T228" s="20">
        <v>848</v>
      </c>
      <c r="U228" s="20"/>
      <c r="V228" s="20"/>
      <c r="W228" s="20"/>
      <c r="X228" s="20"/>
      <c r="Y228" s="20"/>
      <c r="Z228" s="20"/>
      <c r="AA228" s="20"/>
      <c r="AB228" s="20"/>
      <c r="AC228" s="22">
        <f t="shared" si="9"/>
        <v>373481</v>
      </c>
      <c r="AD228" s="22">
        <f t="shared" si="10"/>
        <v>933679</v>
      </c>
    </row>
    <row r="229" spans="1:30" x14ac:dyDescent="0.25">
      <c r="A229" s="13">
        <v>277</v>
      </c>
      <c r="B229" s="14" t="s">
        <v>496</v>
      </c>
      <c r="C229" s="26" t="s">
        <v>497</v>
      </c>
      <c r="D229" s="14" t="s">
        <v>42</v>
      </c>
      <c r="E229" s="20">
        <v>896</v>
      </c>
      <c r="F229" s="20">
        <v>2238</v>
      </c>
      <c r="G229" s="20">
        <v>224</v>
      </c>
      <c r="H229" s="20">
        <v>549</v>
      </c>
      <c r="I229" s="20"/>
      <c r="J229" s="20"/>
      <c r="K229" s="20">
        <v>115</v>
      </c>
      <c r="L229" s="20">
        <v>286</v>
      </c>
      <c r="M229" s="20"/>
      <c r="N229" s="20"/>
      <c r="O229" s="20"/>
      <c r="P229" s="20"/>
      <c r="Q229" s="20"/>
      <c r="R229" s="20"/>
      <c r="S229" s="20"/>
      <c r="T229" s="20"/>
      <c r="U229" s="20"/>
      <c r="V229" s="20"/>
      <c r="W229" s="20"/>
      <c r="X229" s="20"/>
      <c r="Y229" s="20"/>
      <c r="Z229" s="20"/>
      <c r="AA229" s="20">
        <v>20</v>
      </c>
      <c r="AB229" s="20">
        <v>50</v>
      </c>
      <c r="AC229" s="22">
        <f t="shared" si="9"/>
        <v>1255</v>
      </c>
      <c r="AD229" s="22">
        <f t="shared" si="10"/>
        <v>3123</v>
      </c>
    </row>
    <row r="230" spans="1:30" x14ac:dyDescent="0.25">
      <c r="A230" s="13">
        <v>278</v>
      </c>
      <c r="B230" s="14" t="s">
        <v>498</v>
      </c>
      <c r="C230" s="26" t="s">
        <v>499</v>
      </c>
      <c r="D230" s="14" t="s">
        <v>42</v>
      </c>
      <c r="E230" s="20">
        <v>996</v>
      </c>
      <c r="F230" s="20">
        <v>2486</v>
      </c>
      <c r="G230" s="20">
        <v>457</v>
      </c>
      <c r="H230" s="20">
        <v>1139</v>
      </c>
      <c r="I230" s="20">
        <v>4106</v>
      </c>
      <c r="J230" s="20">
        <v>10264</v>
      </c>
      <c r="K230" s="20">
        <v>51</v>
      </c>
      <c r="L230" s="20">
        <v>126</v>
      </c>
      <c r="M230" s="20"/>
      <c r="N230" s="20"/>
      <c r="O230" s="20"/>
      <c r="P230" s="20"/>
      <c r="Q230" s="20"/>
      <c r="R230" s="20"/>
      <c r="S230" s="20"/>
      <c r="T230" s="20"/>
      <c r="U230" s="20"/>
      <c r="V230" s="20"/>
      <c r="W230" s="20"/>
      <c r="X230" s="20"/>
      <c r="Y230" s="20"/>
      <c r="Z230" s="20"/>
      <c r="AA230" s="20">
        <v>20</v>
      </c>
      <c r="AB230" s="20">
        <v>50</v>
      </c>
      <c r="AC230" s="22">
        <f t="shared" si="9"/>
        <v>5630</v>
      </c>
      <c r="AD230" s="22">
        <f t="shared" si="10"/>
        <v>14065</v>
      </c>
    </row>
    <row r="231" spans="1:30" x14ac:dyDescent="0.25">
      <c r="A231" s="13">
        <v>279</v>
      </c>
      <c r="B231" s="14" t="s">
        <v>500</v>
      </c>
      <c r="C231" s="26" t="s">
        <v>501</v>
      </c>
      <c r="D231" s="14" t="s">
        <v>42</v>
      </c>
      <c r="E231" s="20">
        <v>164</v>
      </c>
      <c r="F231" s="20">
        <v>408</v>
      </c>
      <c r="G231" s="20">
        <v>1381</v>
      </c>
      <c r="H231" s="20">
        <v>3449</v>
      </c>
      <c r="I231" s="20">
        <v>988471</v>
      </c>
      <c r="J231" s="20">
        <v>2471175</v>
      </c>
      <c r="K231" s="20">
        <v>2804</v>
      </c>
      <c r="L231" s="20">
        <v>7004</v>
      </c>
      <c r="M231" s="20"/>
      <c r="N231" s="20"/>
      <c r="O231" s="20"/>
      <c r="P231" s="20"/>
      <c r="Q231" s="20"/>
      <c r="R231" s="20"/>
      <c r="S231" s="20">
        <v>4164</v>
      </c>
      <c r="T231" s="20">
        <v>10410</v>
      </c>
      <c r="U231" s="20"/>
      <c r="V231" s="20"/>
      <c r="W231" s="20"/>
      <c r="X231" s="20"/>
      <c r="Y231" s="20"/>
      <c r="Z231" s="20"/>
      <c r="AA231" s="20"/>
      <c r="AB231" s="20"/>
      <c r="AC231" s="22">
        <f t="shared" si="9"/>
        <v>996984</v>
      </c>
      <c r="AD231" s="22">
        <f t="shared" si="10"/>
        <v>2492446</v>
      </c>
    </row>
    <row r="232" spans="1:30" x14ac:dyDescent="0.25">
      <c r="A232" s="13">
        <v>280</v>
      </c>
      <c r="B232" s="14" t="s">
        <v>502</v>
      </c>
      <c r="C232" s="26" t="s">
        <v>503</v>
      </c>
      <c r="D232" s="14" t="s">
        <v>42</v>
      </c>
      <c r="E232" s="20">
        <v>58072</v>
      </c>
      <c r="F232" s="20">
        <v>145180</v>
      </c>
      <c r="G232" s="20">
        <v>24329</v>
      </c>
      <c r="H232" s="20">
        <v>60796</v>
      </c>
      <c r="I232" s="20">
        <v>10960</v>
      </c>
      <c r="J232" s="20">
        <v>27400</v>
      </c>
      <c r="K232" s="20">
        <v>2874</v>
      </c>
      <c r="L232" s="20">
        <v>7175</v>
      </c>
      <c r="M232" s="20"/>
      <c r="N232" s="20"/>
      <c r="O232" s="20"/>
      <c r="P232" s="20"/>
      <c r="Q232" s="20"/>
      <c r="R232" s="20"/>
      <c r="S232" s="20">
        <v>4</v>
      </c>
      <c r="T232" s="20">
        <v>10</v>
      </c>
      <c r="U232" s="20"/>
      <c r="V232" s="20"/>
      <c r="W232" s="20"/>
      <c r="X232" s="20"/>
      <c r="Y232" s="20"/>
      <c r="Z232" s="20"/>
      <c r="AA232" s="20"/>
      <c r="AB232" s="20"/>
      <c r="AC232" s="22">
        <f t="shared" si="9"/>
        <v>96239</v>
      </c>
      <c r="AD232" s="22">
        <f t="shared" si="10"/>
        <v>240561</v>
      </c>
    </row>
    <row r="233" spans="1:30" x14ac:dyDescent="0.25">
      <c r="A233" s="13">
        <v>281</v>
      </c>
      <c r="B233" s="14" t="s">
        <v>504</v>
      </c>
      <c r="C233" s="26" t="s">
        <v>505</v>
      </c>
      <c r="D233" s="14" t="s">
        <v>42</v>
      </c>
      <c r="E233" s="20">
        <v>10290498</v>
      </c>
      <c r="F233" s="20">
        <v>25726243</v>
      </c>
      <c r="G233" s="20">
        <v>1836521</v>
      </c>
      <c r="H233" s="20">
        <v>4591254</v>
      </c>
      <c r="I233" s="20">
        <v>1446720</v>
      </c>
      <c r="J233" s="20">
        <v>3616800</v>
      </c>
      <c r="K233" s="20">
        <v>5595</v>
      </c>
      <c r="L233" s="20">
        <v>13957</v>
      </c>
      <c r="M233" s="20">
        <v>80396</v>
      </c>
      <c r="N233" s="20">
        <v>200988</v>
      </c>
      <c r="O233" s="20">
        <v>25468</v>
      </c>
      <c r="P233" s="20">
        <v>63668</v>
      </c>
      <c r="Q233" s="20">
        <v>129204</v>
      </c>
      <c r="R233" s="20">
        <v>323010</v>
      </c>
      <c r="S233" s="20">
        <v>14258</v>
      </c>
      <c r="T233" s="20">
        <v>35645</v>
      </c>
      <c r="U233" s="20">
        <v>1296</v>
      </c>
      <c r="V233" s="20">
        <v>3240</v>
      </c>
      <c r="W233" s="20"/>
      <c r="X233" s="20"/>
      <c r="Y233" s="20"/>
      <c r="Z233" s="20"/>
      <c r="AA233" s="20">
        <v>342</v>
      </c>
      <c r="AB233" s="20">
        <v>854</v>
      </c>
      <c r="AC233" s="22">
        <f t="shared" si="9"/>
        <v>13830298</v>
      </c>
      <c r="AD233" s="22">
        <f t="shared" si="10"/>
        <v>34575659</v>
      </c>
    </row>
    <row r="234" spans="1:30" x14ac:dyDescent="0.25">
      <c r="A234" s="13">
        <v>282</v>
      </c>
      <c r="B234" s="14" t="s">
        <v>506</v>
      </c>
      <c r="C234" s="26" t="s">
        <v>507</v>
      </c>
      <c r="D234" s="14" t="s">
        <v>42</v>
      </c>
      <c r="E234" s="20">
        <v>6057516</v>
      </c>
      <c r="F234" s="20">
        <v>15143788</v>
      </c>
      <c r="G234" s="20">
        <v>1927330</v>
      </c>
      <c r="H234" s="20">
        <v>4818169</v>
      </c>
      <c r="I234" s="20">
        <v>976701</v>
      </c>
      <c r="J234" s="20">
        <v>2441751</v>
      </c>
      <c r="K234" s="20">
        <v>142633</v>
      </c>
      <c r="L234" s="20">
        <v>356553</v>
      </c>
      <c r="M234" s="20">
        <v>66504</v>
      </c>
      <c r="N234" s="20">
        <v>166258</v>
      </c>
      <c r="O234" s="20">
        <v>16923</v>
      </c>
      <c r="P234" s="20">
        <v>42306</v>
      </c>
      <c r="Q234" s="20">
        <v>71936</v>
      </c>
      <c r="R234" s="20">
        <v>179840</v>
      </c>
      <c r="S234" s="20">
        <v>9349</v>
      </c>
      <c r="T234" s="20">
        <v>23372</v>
      </c>
      <c r="U234" s="20"/>
      <c r="V234" s="20"/>
      <c r="W234" s="20"/>
      <c r="X234" s="20"/>
      <c r="Y234" s="20"/>
      <c r="Z234" s="20"/>
      <c r="AA234" s="20">
        <v>36</v>
      </c>
      <c r="AB234" s="20">
        <v>90</v>
      </c>
      <c r="AC234" s="22">
        <f t="shared" si="9"/>
        <v>9268928</v>
      </c>
      <c r="AD234" s="22">
        <f t="shared" si="10"/>
        <v>23172127</v>
      </c>
    </row>
    <row r="235" spans="1:30" x14ac:dyDescent="0.25">
      <c r="A235" s="13">
        <v>284</v>
      </c>
      <c r="B235" s="14" t="s">
        <v>508</v>
      </c>
      <c r="C235" s="26" t="s">
        <v>509</v>
      </c>
      <c r="D235" s="14" t="s">
        <v>42</v>
      </c>
      <c r="E235" s="20">
        <v>243110</v>
      </c>
      <c r="F235" s="20">
        <v>607772</v>
      </c>
      <c r="G235" s="20">
        <v>8450</v>
      </c>
      <c r="H235" s="20">
        <v>21096</v>
      </c>
      <c r="I235" s="20">
        <v>46244</v>
      </c>
      <c r="J235" s="20">
        <v>115606</v>
      </c>
      <c r="K235" s="20">
        <v>16595</v>
      </c>
      <c r="L235" s="20">
        <v>41470</v>
      </c>
      <c r="M235" s="20"/>
      <c r="N235" s="20"/>
      <c r="O235" s="20"/>
      <c r="P235" s="20"/>
      <c r="Q235" s="20"/>
      <c r="R235" s="20"/>
      <c r="S235" s="20"/>
      <c r="T235" s="20"/>
      <c r="U235" s="20"/>
      <c r="V235" s="20"/>
      <c r="W235" s="20"/>
      <c r="X235" s="20"/>
      <c r="Y235" s="20"/>
      <c r="Z235" s="20"/>
      <c r="AA235" s="20"/>
      <c r="AB235" s="20"/>
      <c r="AC235" s="22">
        <f t="shared" si="9"/>
        <v>314399</v>
      </c>
      <c r="AD235" s="22">
        <f t="shared" si="10"/>
        <v>785944</v>
      </c>
    </row>
    <row r="236" spans="1:30" x14ac:dyDescent="0.25">
      <c r="A236" s="13">
        <v>286</v>
      </c>
      <c r="B236" s="14" t="s">
        <v>510</v>
      </c>
      <c r="C236" s="26" t="s">
        <v>511</v>
      </c>
      <c r="D236" s="14" t="s">
        <v>42</v>
      </c>
      <c r="E236" s="20">
        <v>417130</v>
      </c>
      <c r="F236" s="20">
        <v>1042823</v>
      </c>
      <c r="G236" s="20">
        <v>570</v>
      </c>
      <c r="H236" s="20">
        <v>1424</v>
      </c>
      <c r="I236" s="20">
        <v>57752</v>
      </c>
      <c r="J236" s="20">
        <v>144379</v>
      </c>
      <c r="K236" s="20">
        <v>1943</v>
      </c>
      <c r="L236" s="20">
        <v>4854</v>
      </c>
      <c r="M236" s="20"/>
      <c r="N236" s="20"/>
      <c r="O236" s="20"/>
      <c r="P236" s="20"/>
      <c r="Q236" s="20"/>
      <c r="R236" s="20"/>
      <c r="S236" s="20">
        <v>40</v>
      </c>
      <c r="T236" s="20">
        <v>100</v>
      </c>
      <c r="U236" s="20"/>
      <c r="V236" s="20"/>
      <c r="W236" s="20"/>
      <c r="X236" s="20"/>
      <c r="Y236" s="20">
        <v>462595</v>
      </c>
      <c r="Z236" s="20">
        <v>1156455</v>
      </c>
      <c r="AA236" s="20"/>
      <c r="AB236" s="20"/>
      <c r="AC236" s="22">
        <f t="shared" si="9"/>
        <v>940030</v>
      </c>
      <c r="AD236" s="22">
        <f t="shared" si="10"/>
        <v>2350035</v>
      </c>
    </row>
    <row r="237" spans="1:30" x14ac:dyDescent="0.25">
      <c r="A237" s="13">
        <v>288</v>
      </c>
      <c r="B237" s="14" t="s">
        <v>512</v>
      </c>
      <c r="C237" s="26" t="s">
        <v>513</v>
      </c>
      <c r="D237" s="14" t="s">
        <v>42</v>
      </c>
      <c r="E237" s="20">
        <v>553246</v>
      </c>
      <c r="F237" s="20">
        <v>1383112</v>
      </c>
      <c r="G237" s="20">
        <v>834</v>
      </c>
      <c r="H237" s="20">
        <v>2084</v>
      </c>
      <c r="I237" s="20">
        <v>26322</v>
      </c>
      <c r="J237" s="20">
        <v>65805</v>
      </c>
      <c r="K237" s="20">
        <v>132</v>
      </c>
      <c r="L237" s="20">
        <v>326</v>
      </c>
      <c r="M237" s="20">
        <v>7708</v>
      </c>
      <c r="N237" s="20">
        <v>19270</v>
      </c>
      <c r="O237" s="20"/>
      <c r="P237" s="20"/>
      <c r="Q237" s="20"/>
      <c r="R237" s="20"/>
      <c r="S237" s="20">
        <v>20</v>
      </c>
      <c r="T237" s="20">
        <v>50</v>
      </c>
      <c r="U237" s="20"/>
      <c r="V237" s="20"/>
      <c r="W237" s="20"/>
      <c r="X237" s="20"/>
      <c r="Y237" s="20">
        <v>697168</v>
      </c>
      <c r="Z237" s="20">
        <v>1742872</v>
      </c>
      <c r="AA237" s="20"/>
      <c r="AB237" s="20"/>
      <c r="AC237" s="22">
        <f t="shared" si="9"/>
        <v>1285430</v>
      </c>
      <c r="AD237" s="22">
        <f t="shared" si="10"/>
        <v>3213519</v>
      </c>
    </row>
    <row r="238" spans="1:30" x14ac:dyDescent="0.25">
      <c r="A238" s="13">
        <v>291</v>
      </c>
      <c r="B238" s="14" t="s">
        <v>514</v>
      </c>
      <c r="C238" s="26" t="s">
        <v>515</v>
      </c>
      <c r="D238" s="14" t="s">
        <v>42</v>
      </c>
      <c r="E238" s="20">
        <v>340514</v>
      </c>
      <c r="F238" s="20">
        <v>851282</v>
      </c>
      <c r="G238" s="20">
        <v>1110</v>
      </c>
      <c r="H238" s="20">
        <v>2775</v>
      </c>
      <c r="I238" s="20">
        <v>21936</v>
      </c>
      <c r="J238" s="20">
        <v>54838</v>
      </c>
      <c r="K238" s="20">
        <v>108</v>
      </c>
      <c r="L238" s="20">
        <v>266</v>
      </c>
      <c r="M238" s="20">
        <v>13480</v>
      </c>
      <c r="N238" s="20">
        <v>33700</v>
      </c>
      <c r="O238" s="20"/>
      <c r="P238" s="20"/>
      <c r="Q238" s="20"/>
      <c r="R238" s="20"/>
      <c r="S238" s="20"/>
      <c r="T238" s="20"/>
      <c r="U238" s="20"/>
      <c r="V238" s="20"/>
      <c r="W238" s="20"/>
      <c r="X238" s="20"/>
      <c r="Y238" s="20">
        <v>298550</v>
      </c>
      <c r="Z238" s="20">
        <v>746341</v>
      </c>
      <c r="AA238" s="20"/>
      <c r="AB238" s="20"/>
      <c r="AC238" s="22">
        <f t="shared" si="9"/>
        <v>675698</v>
      </c>
      <c r="AD238" s="22">
        <f t="shared" si="10"/>
        <v>1689202</v>
      </c>
    </row>
    <row r="239" spans="1:30" x14ac:dyDescent="0.25">
      <c r="A239" s="13">
        <v>292</v>
      </c>
      <c r="B239" s="14" t="s">
        <v>516</v>
      </c>
      <c r="C239" s="26" t="s">
        <v>517</v>
      </c>
      <c r="D239" s="14" t="s">
        <v>42</v>
      </c>
      <c r="E239" s="20">
        <v>1872452</v>
      </c>
      <c r="F239" s="20">
        <v>4681126</v>
      </c>
      <c r="G239" s="20">
        <v>556374</v>
      </c>
      <c r="H239" s="20">
        <v>1390835</v>
      </c>
      <c r="I239" s="20">
        <v>193040</v>
      </c>
      <c r="J239" s="20">
        <v>482600</v>
      </c>
      <c r="K239" s="20">
        <v>198719</v>
      </c>
      <c r="L239" s="20">
        <v>496781</v>
      </c>
      <c r="M239" s="20"/>
      <c r="N239" s="20"/>
      <c r="O239" s="20"/>
      <c r="P239" s="20"/>
      <c r="Q239" s="20">
        <v>12566</v>
      </c>
      <c r="R239" s="20">
        <v>31412</v>
      </c>
      <c r="S239" s="20">
        <v>258</v>
      </c>
      <c r="T239" s="20">
        <v>643</v>
      </c>
      <c r="U239" s="20"/>
      <c r="V239" s="20"/>
      <c r="W239" s="20"/>
      <c r="X239" s="20"/>
      <c r="Y239" s="20"/>
      <c r="Z239" s="20"/>
      <c r="AA239" s="20">
        <v>11</v>
      </c>
      <c r="AB239" s="20">
        <v>25</v>
      </c>
      <c r="AC239" s="22">
        <f t="shared" si="9"/>
        <v>2833420</v>
      </c>
      <c r="AD239" s="22">
        <f t="shared" si="10"/>
        <v>7083422</v>
      </c>
    </row>
    <row r="240" spans="1:30" x14ac:dyDescent="0.25">
      <c r="A240" s="13">
        <v>293</v>
      </c>
      <c r="B240" s="14" t="s">
        <v>518</v>
      </c>
      <c r="C240" s="26" t="s">
        <v>519</v>
      </c>
      <c r="D240" s="14" t="s">
        <v>42</v>
      </c>
      <c r="E240" s="20">
        <v>1562536</v>
      </c>
      <c r="F240" s="20">
        <v>3906340</v>
      </c>
      <c r="G240" s="20">
        <v>778160</v>
      </c>
      <c r="H240" s="20">
        <v>1945361</v>
      </c>
      <c r="I240" s="20">
        <v>175708</v>
      </c>
      <c r="J240" s="20">
        <v>439266</v>
      </c>
      <c r="K240" s="20">
        <v>90466</v>
      </c>
      <c r="L240" s="20">
        <v>226153</v>
      </c>
      <c r="M240" s="20">
        <v>9010</v>
      </c>
      <c r="N240" s="20">
        <v>22524</v>
      </c>
      <c r="O240" s="20">
        <v>7172</v>
      </c>
      <c r="P240" s="20">
        <v>17930</v>
      </c>
      <c r="Q240" s="20"/>
      <c r="R240" s="20"/>
      <c r="S240" s="20">
        <v>565</v>
      </c>
      <c r="T240" s="20">
        <v>1409</v>
      </c>
      <c r="U240" s="20"/>
      <c r="V240" s="20"/>
      <c r="W240" s="20"/>
      <c r="X240" s="20"/>
      <c r="Y240" s="20"/>
      <c r="Z240" s="20"/>
      <c r="AA240" s="20">
        <v>128</v>
      </c>
      <c r="AB240" s="20">
        <v>320</v>
      </c>
      <c r="AC240" s="22">
        <f t="shared" si="9"/>
        <v>2623745</v>
      </c>
      <c r="AD240" s="22">
        <f t="shared" si="10"/>
        <v>6559303</v>
      </c>
    </row>
    <row r="241" spans="1:30" x14ac:dyDescent="0.25">
      <c r="A241" s="13">
        <v>294</v>
      </c>
      <c r="B241" s="14" t="s">
        <v>520</v>
      </c>
      <c r="C241" s="26" t="s">
        <v>521</v>
      </c>
      <c r="D241" s="14" t="s">
        <v>42</v>
      </c>
      <c r="E241" s="20">
        <v>584284</v>
      </c>
      <c r="F241" s="20">
        <v>1460710</v>
      </c>
      <c r="G241" s="20">
        <v>469440</v>
      </c>
      <c r="H241" s="20">
        <v>1173499</v>
      </c>
      <c r="I241" s="20"/>
      <c r="J241" s="20"/>
      <c r="K241" s="20">
        <v>76895</v>
      </c>
      <c r="L241" s="20">
        <v>192221</v>
      </c>
      <c r="M241" s="20">
        <v>11546</v>
      </c>
      <c r="N241" s="20">
        <v>28862</v>
      </c>
      <c r="O241" s="20"/>
      <c r="P241" s="20"/>
      <c r="Q241" s="20"/>
      <c r="R241" s="20"/>
      <c r="S241" s="20">
        <v>287</v>
      </c>
      <c r="T241" s="20">
        <v>717</v>
      </c>
      <c r="U241" s="20"/>
      <c r="V241" s="20"/>
      <c r="W241" s="20"/>
      <c r="X241" s="20"/>
      <c r="Y241" s="20"/>
      <c r="Z241" s="20"/>
      <c r="AA241" s="20">
        <v>8</v>
      </c>
      <c r="AB241" s="20">
        <v>20</v>
      </c>
      <c r="AC241" s="22">
        <f t="shared" si="9"/>
        <v>1142460</v>
      </c>
      <c r="AD241" s="22">
        <f t="shared" si="10"/>
        <v>2856029</v>
      </c>
    </row>
    <row r="242" spans="1:30" x14ac:dyDescent="0.25">
      <c r="A242" s="13">
        <v>295</v>
      </c>
      <c r="B242" s="14" t="s">
        <v>522</v>
      </c>
      <c r="C242" s="26" t="s">
        <v>523</v>
      </c>
      <c r="D242" s="14" t="s">
        <v>42</v>
      </c>
      <c r="E242" s="20">
        <v>301846</v>
      </c>
      <c r="F242" s="20">
        <v>754612</v>
      </c>
      <c r="G242" s="20">
        <v>152240</v>
      </c>
      <c r="H242" s="20">
        <v>380568</v>
      </c>
      <c r="I242" s="20">
        <v>66557</v>
      </c>
      <c r="J242" s="20">
        <v>166392</v>
      </c>
      <c r="K242" s="20">
        <v>7815</v>
      </c>
      <c r="L242" s="20">
        <v>19522</v>
      </c>
      <c r="M242" s="20">
        <v>3516</v>
      </c>
      <c r="N242" s="20">
        <v>8786</v>
      </c>
      <c r="O242" s="20">
        <v>4893</v>
      </c>
      <c r="P242" s="20">
        <v>12232</v>
      </c>
      <c r="Q242" s="20"/>
      <c r="R242" s="20"/>
      <c r="S242" s="20">
        <v>366</v>
      </c>
      <c r="T242" s="20">
        <v>911</v>
      </c>
      <c r="U242" s="20"/>
      <c r="V242" s="20"/>
      <c r="W242" s="20"/>
      <c r="X242" s="20"/>
      <c r="Y242" s="20"/>
      <c r="Z242" s="20"/>
      <c r="AA242" s="20">
        <v>70</v>
      </c>
      <c r="AB242" s="20">
        <v>172</v>
      </c>
      <c r="AC242" s="22">
        <f t="shared" si="9"/>
        <v>537303</v>
      </c>
      <c r="AD242" s="22">
        <f t="shared" si="10"/>
        <v>1343195</v>
      </c>
    </row>
    <row r="243" spans="1:30" x14ac:dyDescent="0.25">
      <c r="A243" s="13">
        <v>296</v>
      </c>
      <c r="B243" s="14" t="s">
        <v>524</v>
      </c>
      <c r="C243" s="26" t="s">
        <v>525</v>
      </c>
      <c r="D243" s="14" t="s">
        <v>42</v>
      </c>
      <c r="E243" s="20">
        <v>10802444</v>
      </c>
      <c r="F243" s="20">
        <v>27006107</v>
      </c>
      <c r="G243" s="20">
        <v>2226258</v>
      </c>
      <c r="H243" s="20">
        <v>5565539</v>
      </c>
      <c r="I243" s="20">
        <v>2696073</v>
      </c>
      <c r="J243" s="20">
        <v>6740181</v>
      </c>
      <c r="K243" s="20">
        <v>964140</v>
      </c>
      <c r="L243" s="20">
        <v>2410326</v>
      </c>
      <c r="M243" s="20"/>
      <c r="N243" s="20"/>
      <c r="O243" s="20">
        <v>20438</v>
      </c>
      <c r="P243" s="20">
        <v>51095</v>
      </c>
      <c r="Q243" s="20">
        <v>37440</v>
      </c>
      <c r="R243" s="20">
        <v>93596</v>
      </c>
      <c r="S243" s="20">
        <v>686</v>
      </c>
      <c r="T243" s="20">
        <v>1714</v>
      </c>
      <c r="U243" s="20"/>
      <c r="V243" s="20"/>
      <c r="W243" s="20"/>
      <c r="X243" s="20"/>
      <c r="Y243" s="20"/>
      <c r="Z243" s="20"/>
      <c r="AA243" s="20">
        <v>650</v>
      </c>
      <c r="AB243" s="20">
        <v>1625</v>
      </c>
      <c r="AC243" s="22">
        <f t="shared" si="9"/>
        <v>16748129</v>
      </c>
      <c r="AD243" s="22">
        <f t="shared" si="10"/>
        <v>41870183</v>
      </c>
    </row>
    <row r="244" spans="1:30" x14ac:dyDescent="0.25">
      <c r="A244" s="13">
        <v>297</v>
      </c>
      <c r="B244" s="14" t="s">
        <v>526</v>
      </c>
      <c r="C244" s="26" t="s">
        <v>527</v>
      </c>
      <c r="D244" s="14" t="s">
        <v>42</v>
      </c>
      <c r="E244" s="20">
        <v>6847570</v>
      </c>
      <c r="F244" s="20">
        <v>17118924</v>
      </c>
      <c r="G244" s="20">
        <v>2099831</v>
      </c>
      <c r="H244" s="20">
        <v>5249480</v>
      </c>
      <c r="I244" s="20">
        <v>1156289</v>
      </c>
      <c r="J244" s="20">
        <v>2890721</v>
      </c>
      <c r="K244" s="20">
        <v>596258</v>
      </c>
      <c r="L244" s="20">
        <v>1490621</v>
      </c>
      <c r="M244" s="20">
        <v>85612</v>
      </c>
      <c r="N244" s="20">
        <v>214030</v>
      </c>
      <c r="O244" s="20">
        <v>31873</v>
      </c>
      <c r="P244" s="20">
        <v>79679</v>
      </c>
      <c r="Q244" s="20">
        <v>67014</v>
      </c>
      <c r="R244" s="20">
        <v>167532</v>
      </c>
      <c r="S244" s="20">
        <v>1293</v>
      </c>
      <c r="T244" s="20">
        <v>3232</v>
      </c>
      <c r="U244" s="20"/>
      <c r="V244" s="20"/>
      <c r="W244" s="20"/>
      <c r="X244" s="20"/>
      <c r="Y244" s="20"/>
      <c r="Z244" s="20"/>
      <c r="AA244" s="20">
        <v>1376</v>
      </c>
      <c r="AB244" s="20">
        <v>3440</v>
      </c>
      <c r="AC244" s="22">
        <f t="shared" si="9"/>
        <v>10887116</v>
      </c>
      <c r="AD244" s="22">
        <f t="shared" si="10"/>
        <v>27217659</v>
      </c>
    </row>
    <row r="245" spans="1:30" x14ac:dyDescent="0.25">
      <c r="A245" s="13">
        <v>298</v>
      </c>
      <c r="B245" s="14" t="s">
        <v>528</v>
      </c>
      <c r="C245" s="26" t="s">
        <v>529</v>
      </c>
      <c r="D245" s="14" t="s">
        <v>42</v>
      </c>
      <c r="E245" s="20">
        <v>10388984</v>
      </c>
      <c r="F245" s="20">
        <v>25972456</v>
      </c>
      <c r="G245" s="20">
        <v>2015872</v>
      </c>
      <c r="H245" s="20">
        <v>5039628</v>
      </c>
      <c r="I245" s="20">
        <v>1628511</v>
      </c>
      <c r="J245" s="20">
        <v>4071276</v>
      </c>
      <c r="K245" s="20">
        <v>512569</v>
      </c>
      <c r="L245" s="20">
        <v>1281409</v>
      </c>
      <c r="M245" s="20"/>
      <c r="N245" s="20"/>
      <c r="O245" s="20">
        <v>38495</v>
      </c>
      <c r="P245" s="20">
        <v>96236</v>
      </c>
      <c r="Q245" s="20"/>
      <c r="R245" s="20"/>
      <c r="S245" s="20">
        <v>2223</v>
      </c>
      <c r="T245" s="20">
        <v>5557</v>
      </c>
      <c r="U245" s="20"/>
      <c r="V245" s="20"/>
      <c r="W245" s="20"/>
      <c r="X245" s="20"/>
      <c r="Y245" s="20"/>
      <c r="Z245" s="20"/>
      <c r="AA245" s="20">
        <v>1724</v>
      </c>
      <c r="AB245" s="20">
        <v>4306</v>
      </c>
      <c r="AC245" s="22">
        <f t="shared" si="9"/>
        <v>14588378</v>
      </c>
      <c r="AD245" s="22">
        <f t="shared" si="10"/>
        <v>36470868</v>
      </c>
    </row>
    <row r="246" spans="1:30" x14ac:dyDescent="0.25">
      <c r="A246" s="13">
        <v>299</v>
      </c>
      <c r="B246" s="14" t="s">
        <v>530</v>
      </c>
      <c r="C246" s="26" t="s">
        <v>531</v>
      </c>
      <c r="D246" s="14" t="s">
        <v>42</v>
      </c>
      <c r="E246" s="20">
        <v>1000342</v>
      </c>
      <c r="F246" s="20">
        <v>2500854</v>
      </c>
      <c r="G246" s="20">
        <v>479229</v>
      </c>
      <c r="H246" s="20">
        <v>1197995</v>
      </c>
      <c r="I246" s="20">
        <v>153440</v>
      </c>
      <c r="J246" s="20">
        <v>383600</v>
      </c>
      <c r="K246" s="20">
        <v>163673</v>
      </c>
      <c r="L246" s="20">
        <v>409167</v>
      </c>
      <c r="M246" s="20"/>
      <c r="N246" s="20"/>
      <c r="O246" s="20">
        <v>5929</v>
      </c>
      <c r="P246" s="20">
        <v>14819</v>
      </c>
      <c r="Q246" s="20"/>
      <c r="R246" s="20"/>
      <c r="S246" s="20">
        <v>544</v>
      </c>
      <c r="T246" s="20">
        <v>1356</v>
      </c>
      <c r="U246" s="20"/>
      <c r="V246" s="20"/>
      <c r="W246" s="20"/>
      <c r="X246" s="20"/>
      <c r="Y246" s="20"/>
      <c r="Z246" s="20"/>
      <c r="AA246" s="20">
        <v>146</v>
      </c>
      <c r="AB246" s="20">
        <v>364</v>
      </c>
      <c r="AC246" s="22">
        <f t="shared" si="9"/>
        <v>1803303</v>
      </c>
      <c r="AD246" s="22">
        <f t="shared" si="10"/>
        <v>4508155</v>
      </c>
    </row>
    <row r="247" spans="1:30" x14ac:dyDescent="0.25">
      <c r="A247" s="13">
        <v>300</v>
      </c>
      <c r="B247" s="14" t="s">
        <v>532</v>
      </c>
      <c r="C247" s="26" t="s">
        <v>533</v>
      </c>
      <c r="D247" s="14" t="s">
        <v>42</v>
      </c>
      <c r="E247" s="20">
        <v>1616058</v>
      </c>
      <c r="F247" s="20">
        <v>4040142</v>
      </c>
      <c r="G247" s="20">
        <v>675804</v>
      </c>
      <c r="H247" s="20">
        <v>1689480</v>
      </c>
      <c r="I247" s="20">
        <v>215718</v>
      </c>
      <c r="J247" s="20">
        <v>539293</v>
      </c>
      <c r="K247" s="20">
        <v>109322</v>
      </c>
      <c r="L247" s="20">
        <v>273296</v>
      </c>
      <c r="M247" s="20">
        <v>34746</v>
      </c>
      <c r="N247" s="20">
        <v>86862</v>
      </c>
      <c r="O247" s="20">
        <v>8560</v>
      </c>
      <c r="P247" s="20">
        <v>21397</v>
      </c>
      <c r="Q247" s="20"/>
      <c r="R247" s="20"/>
      <c r="S247" s="20">
        <v>641</v>
      </c>
      <c r="T247" s="20">
        <v>1600</v>
      </c>
      <c r="U247" s="20"/>
      <c r="V247" s="20"/>
      <c r="W247" s="20"/>
      <c r="X247" s="20"/>
      <c r="Y247" s="20"/>
      <c r="Z247" s="20"/>
      <c r="AA247" s="20">
        <v>86</v>
      </c>
      <c r="AB247" s="20">
        <v>214</v>
      </c>
      <c r="AC247" s="22">
        <f t="shared" si="9"/>
        <v>2660935</v>
      </c>
      <c r="AD247" s="22">
        <f t="shared" si="10"/>
        <v>6652284</v>
      </c>
    </row>
    <row r="248" spans="1:30" x14ac:dyDescent="0.25">
      <c r="A248" s="13">
        <v>301</v>
      </c>
      <c r="B248" s="14" t="s">
        <v>534</v>
      </c>
      <c r="C248" s="26" t="s">
        <v>535</v>
      </c>
      <c r="D248" s="14" t="s">
        <v>42</v>
      </c>
      <c r="E248" s="20">
        <v>3450508</v>
      </c>
      <c r="F248" s="20">
        <v>8626266</v>
      </c>
      <c r="G248" s="20">
        <v>1115429</v>
      </c>
      <c r="H248" s="20">
        <v>2788512</v>
      </c>
      <c r="I248" s="20">
        <v>720072</v>
      </c>
      <c r="J248" s="20">
        <v>1800180</v>
      </c>
      <c r="K248" s="20">
        <v>272243</v>
      </c>
      <c r="L248" s="20">
        <v>680601</v>
      </c>
      <c r="M248" s="20"/>
      <c r="N248" s="20"/>
      <c r="O248" s="20">
        <v>16046</v>
      </c>
      <c r="P248" s="20">
        <v>40114</v>
      </c>
      <c r="Q248" s="20">
        <v>32000</v>
      </c>
      <c r="R248" s="20">
        <v>80000</v>
      </c>
      <c r="S248" s="20">
        <v>818</v>
      </c>
      <c r="T248" s="20">
        <v>2042</v>
      </c>
      <c r="U248" s="20"/>
      <c r="V248" s="20"/>
      <c r="W248" s="20"/>
      <c r="X248" s="20"/>
      <c r="Y248" s="20"/>
      <c r="Z248" s="20"/>
      <c r="AA248" s="20">
        <v>64</v>
      </c>
      <c r="AB248" s="20">
        <v>156</v>
      </c>
      <c r="AC248" s="22">
        <f t="shared" si="9"/>
        <v>5607180</v>
      </c>
      <c r="AD248" s="22">
        <f t="shared" si="10"/>
        <v>14017871</v>
      </c>
    </row>
    <row r="249" spans="1:30" x14ac:dyDescent="0.25">
      <c r="A249" s="13">
        <v>302</v>
      </c>
      <c r="B249" s="14" t="s">
        <v>536</v>
      </c>
      <c r="C249" s="26" t="s">
        <v>537</v>
      </c>
      <c r="D249" s="14" t="s">
        <v>42</v>
      </c>
      <c r="E249" s="20">
        <v>7320050</v>
      </c>
      <c r="F249" s="20">
        <v>18300122</v>
      </c>
      <c r="G249" s="20">
        <v>1991415</v>
      </c>
      <c r="H249" s="20">
        <v>4978475</v>
      </c>
      <c r="I249" s="20">
        <v>997887</v>
      </c>
      <c r="J249" s="20">
        <v>2494716</v>
      </c>
      <c r="K249" s="20">
        <v>339928</v>
      </c>
      <c r="L249" s="20">
        <v>849802</v>
      </c>
      <c r="M249" s="20">
        <v>83752</v>
      </c>
      <c r="N249" s="20">
        <v>209376</v>
      </c>
      <c r="O249" s="20">
        <v>23637</v>
      </c>
      <c r="P249" s="20">
        <v>59092</v>
      </c>
      <c r="Q249" s="20">
        <v>36000</v>
      </c>
      <c r="R249" s="20">
        <v>90000</v>
      </c>
      <c r="S249" s="20">
        <v>1060</v>
      </c>
      <c r="T249" s="20">
        <v>2650</v>
      </c>
      <c r="U249" s="20"/>
      <c r="V249" s="20"/>
      <c r="W249" s="20"/>
      <c r="X249" s="20"/>
      <c r="Y249" s="20"/>
      <c r="Z249" s="20"/>
      <c r="AA249" s="20">
        <v>132</v>
      </c>
      <c r="AB249" s="20">
        <v>330</v>
      </c>
      <c r="AC249" s="22">
        <f t="shared" si="9"/>
        <v>10793861</v>
      </c>
      <c r="AD249" s="22">
        <f t="shared" si="10"/>
        <v>26984563</v>
      </c>
    </row>
    <row r="250" spans="1:30" x14ac:dyDescent="0.25">
      <c r="A250" s="13">
        <v>303</v>
      </c>
      <c r="B250" s="14" t="s">
        <v>538</v>
      </c>
      <c r="C250" s="26" t="s">
        <v>539</v>
      </c>
      <c r="D250" s="14" t="s">
        <v>42</v>
      </c>
      <c r="E250" s="20">
        <v>145739</v>
      </c>
      <c r="F250" s="20">
        <v>364344</v>
      </c>
      <c r="G250" s="20">
        <v>127497</v>
      </c>
      <c r="H250" s="20">
        <v>318684</v>
      </c>
      <c r="I250" s="20">
        <v>64080</v>
      </c>
      <c r="J250" s="20">
        <v>160197</v>
      </c>
      <c r="K250" s="20">
        <v>29486</v>
      </c>
      <c r="L250" s="20">
        <v>73702</v>
      </c>
      <c r="M250" s="20">
        <v>2838</v>
      </c>
      <c r="N250" s="20">
        <v>7092</v>
      </c>
      <c r="O250" s="20"/>
      <c r="P250" s="20"/>
      <c r="Q250" s="20"/>
      <c r="R250" s="20"/>
      <c r="S250" s="20">
        <v>3</v>
      </c>
      <c r="T250" s="20">
        <v>7</v>
      </c>
      <c r="U250" s="20"/>
      <c r="V250" s="20"/>
      <c r="W250" s="20"/>
      <c r="X250" s="20"/>
      <c r="Y250" s="20"/>
      <c r="Z250" s="20"/>
      <c r="AA250" s="20">
        <v>2</v>
      </c>
      <c r="AB250" s="20">
        <v>3</v>
      </c>
      <c r="AC250" s="22">
        <f t="shared" si="9"/>
        <v>369645</v>
      </c>
      <c r="AD250" s="22">
        <f t="shared" si="10"/>
        <v>924029</v>
      </c>
    </row>
    <row r="251" spans="1:30" x14ac:dyDescent="0.25">
      <c r="A251" s="13">
        <v>304</v>
      </c>
      <c r="B251" s="14" t="s">
        <v>540</v>
      </c>
      <c r="C251" s="26" t="s">
        <v>541</v>
      </c>
      <c r="D251" s="14" t="s">
        <v>42</v>
      </c>
      <c r="E251" s="20">
        <v>59910</v>
      </c>
      <c r="F251" s="20">
        <v>149772</v>
      </c>
      <c r="G251" s="20">
        <v>30391</v>
      </c>
      <c r="H251" s="20">
        <v>75732</v>
      </c>
      <c r="I251" s="20">
        <v>5148</v>
      </c>
      <c r="J251" s="20">
        <v>12870</v>
      </c>
      <c r="K251" s="20">
        <v>6231</v>
      </c>
      <c r="L251" s="20">
        <v>15544</v>
      </c>
      <c r="M251" s="20"/>
      <c r="N251" s="20"/>
      <c r="O251" s="20"/>
      <c r="P251" s="20"/>
      <c r="Q251" s="20"/>
      <c r="R251" s="20"/>
      <c r="S251" s="20">
        <v>8</v>
      </c>
      <c r="T251" s="20">
        <v>20</v>
      </c>
      <c r="U251" s="20"/>
      <c r="V251" s="20"/>
      <c r="W251" s="20"/>
      <c r="X251" s="20"/>
      <c r="Y251" s="20"/>
      <c r="Z251" s="20"/>
      <c r="AA251" s="20">
        <v>3</v>
      </c>
      <c r="AB251" s="20">
        <v>3</v>
      </c>
      <c r="AC251" s="22">
        <f t="shared" si="9"/>
        <v>101691</v>
      </c>
      <c r="AD251" s="22">
        <f t="shared" si="10"/>
        <v>253941</v>
      </c>
    </row>
    <row r="252" spans="1:30" x14ac:dyDescent="0.25">
      <c r="A252" s="13">
        <v>305</v>
      </c>
      <c r="B252" s="14" t="s">
        <v>542</v>
      </c>
      <c r="C252" s="26" t="s">
        <v>543</v>
      </c>
      <c r="D252" s="14" t="s">
        <v>42</v>
      </c>
      <c r="E252" s="20">
        <v>34241</v>
      </c>
      <c r="F252" s="20">
        <v>85602</v>
      </c>
      <c r="G252" s="20">
        <v>49997</v>
      </c>
      <c r="H252" s="20">
        <v>124713</v>
      </c>
      <c r="I252" s="20">
        <v>5376</v>
      </c>
      <c r="J252" s="20">
        <v>13440</v>
      </c>
      <c r="K252" s="20">
        <v>11899</v>
      </c>
      <c r="L252" s="20">
        <v>29712</v>
      </c>
      <c r="M252" s="20">
        <v>2622</v>
      </c>
      <c r="N252" s="20">
        <v>6552</v>
      </c>
      <c r="O252" s="20"/>
      <c r="P252" s="20"/>
      <c r="Q252" s="20"/>
      <c r="R252" s="20"/>
      <c r="S252" s="20">
        <v>5</v>
      </c>
      <c r="T252" s="20">
        <v>12</v>
      </c>
      <c r="U252" s="20"/>
      <c r="V252" s="20"/>
      <c r="W252" s="20"/>
      <c r="X252" s="20"/>
      <c r="Y252" s="20"/>
      <c r="Z252" s="20"/>
      <c r="AA252" s="20">
        <v>3</v>
      </c>
      <c r="AB252" s="20">
        <v>5</v>
      </c>
      <c r="AC252" s="22">
        <f t="shared" si="9"/>
        <v>104143</v>
      </c>
      <c r="AD252" s="22">
        <f t="shared" si="10"/>
        <v>260036</v>
      </c>
    </row>
    <row r="253" spans="1:30" x14ac:dyDescent="0.25">
      <c r="A253" s="13">
        <v>306</v>
      </c>
      <c r="B253" s="14" t="s">
        <v>544</v>
      </c>
      <c r="C253" s="26" t="s">
        <v>545</v>
      </c>
      <c r="D253" s="14" t="s">
        <v>42</v>
      </c>
      <c r="E253" s="20">
        <v>3262864</v>
      </c>
      <c r="F253" s="20">
        <v>8157158</v>
      </c>
      <c r="G253" s="20">
        <v>1724790</v>
      </c>
      <c r="H253" s="20">
        <v>4311944</v>
      </c>
      <c r="I253" s="20">
        <v>3781200</v>
      </c>
      <c r="J253" s="20">
        <v>9453000</v>
      </c>
      <c r="K253" s="20">
        <v>1310761</v>
      </c>
      <c r="L253" s="20">
        <v>3276894</v>
      </c>
      <c r="M253" s="20">
        <v>8000</v>
      </c>
      <c r="N253" s="20">
        <v>20000</v>
      </c>
      <c r="O253" s="20">
        <v>29577</v>
      </c>
      <c r="P253" s="20">
        <v>73942</v>
      </c>
      <c r="Q253" s="20"/>
      <c r="R253" s="20"/>
      <c r="S253" s="20">
        <v>966</v>
      </c>
      <c r="T253" s="20">
        <v>2414</v>
      </c>
      <c r="U253" s="20"/>
      <c r="V253" s="20"/>
      <c r="W253" s="20"/>
      <c r="X253" s="20"/>
      <c r="Y253" s="20"/>
      <c r="Z253" s="20"/>
      <c r="AA253" s="20">
        <v>12</v>
      </c>
      <c r="AB253" s="20">
        <v>30</v>
      </c>
      <c r="AC253" s="22">
        <f t="shared" si="9"/>
        <v>10118170</v>
      </c>
      <c r="AD253" s="22">
        <f t="shared" si="10"/>
        <v>25295382</v>
      </c>
    </row>
    <row r="254" spans="1:30" x14ac:dyDescent="0.25">
      <c r="A254" s="13">
        <v>307</v>
      </c>
      <c r="B254" s="14" t="s">
        <v>546</v>
      </c>
      <c r="C254" s="26" t="s">
        <v>547</v>
      </c>
      <c r="D254" s="14" t="s">
        <v>42</v>
      </c>
      <c r="E254" s="20">
        <v>26121</v>
      </c>
      <c r="F254" s="20">
        <v>65301</v>
      </c>
      <c r="G254" s="20">
        <v>37751</v>
      </c>
      <c r="H254" s="20">
        <v>94071</v>
      </c>
      <c r="I254" s="20">
        <v>2758</v>
      </c>
      <c r="J254" s="20">
        <v>6894</v>
      </c>
      <c r="K254" s="20">
        <v>8606</v>
      </c>
      <c r="L254" s="20">
        <v>21475</v>
      </c>
      <c r="M254" s="20">
        <v>302</v>
      </c>
      <c r="N254" s="20">
        <v>754</v>
      </c>
      <c r="O254" s="20"/>
      <c r="P254" s="20"/>
      <c r="Q254" s="20"/>
      <c r="R254" s="20"/>
      <c r="S254" s="20">
        <v>8</v>
      </c>
      <c r="T254" s="20">
        <v>17</v>
      </c>
      <c r="U254" s="20"/>
      <c r="V254" s="20"/>
      <c r="W254" s="20"/>
      <c r="X254" s="20"/>
      <c r="Y254" s="20"/>
      <c r="Z254" s="20"/>
      <c r="AA254" s="20">
        <v>3</v>
      </c>
      <c r="AB254" s="20">
        <v>3</v>
      </c>
      <c r="AC254" s="22">
        <f t="shared" si="9"/>
        <v>75549</v>
      </c>
      <c r="AD254" s="22">
        <f t="shared" si="10"/>
        <v>188515</v>
      </c>
    </row>
    <row r="255" spans="1:30" x14ac:dyDescent="0.25">
      <c r="A255" s="13">
        <v>308</v>
      </c>
      <c r="B255" s="14" t="s">
        <v>548</v>
      </c>
      <c r="C255" s="26" t="s">
        <v>549</v>
      </c>
      <c r="D255" s="14" t="s">
        <v>42</v>
      </c>
      <c r="E255" s="20">
        <v>43008</v>
      </c>
      <c r="F255" s="20">
        <v>107516</v>
      </c>
      <c r="G255" s="20">
        <v>531111</v>
      </c>
      <c r="H255" s="20">
        <v>1327741</v>
      </c>
      <c r="I255" s="20"/>
      <c r="J255" s="20"/>
      <c r="K255" s="20">
        <v>134489</v>
      </c>
      <c r="L255" s="20">
        <v>336201</v>
      </c>
      <c r="M255" s="20"/>
      <c r="N255" s="20"/>
      <c r="O255" s="20">
        <v>5090</v>
      </c>
      <c r="P255" s="20">
        <v>12722</v>
      </c>
      <c r="Q255" s="20"/>
      <c r="R255" s="20"/>
      <c r="S255" s="20">
        <v>150</v>
      </c>
      <c r="T255" s="20">
        <v>371</v>
      </c>
      <c r="U255" s="20"/>
      <c r="V255" s="20"/>
      <c r="W255" s="20"/>
      <c r="X255" s="20"/>
      <c r="Y255" s="20"/>
      <c r="Z255" s="20"/>
      <c r="AA255" s="20">
        <v>20</v>
      </c>
      <c r="AB255" s="20">
        <v>50</v>
      </c>
      <c r="AC255" s="22">
        <f t="shared" si="9"/>
        <v>713868</v>
      </c>
      <c r="AD255" s="22">
        <f t="shared" si="10"/>
        <v>1784601</v>
      </c>
    </row>
    <row r="256" spans="1:30" x14ac:dyDescent="0.25">
      <c r="A256" s="13">
        <v>309</v>
      </c>
      <c r="B256" s="14" t="s">
        <v>550</v>
      </c>
      <c r="C256" s="26" t="s">
        <v>551</v>
      </c>
      <c r="D256" s="14" t="s">
        <v>42</v>
      </c>
      <c r="E256" s="20">
        <v>2961086</v>
      </c>
      <c r="F256" s="20">
        <v>7402712</v>
      </c>
      <c r="G256" s="20">
        <v>55768</v>
      </c>
      <c r="H256" s="20">
        <v>139411</v>
      </c>
      <c r="I256" s="20"/>
      <c r="J256" s="20"/>
      <c r="K256" s="20">
        <v>8980</v>
      </c>
      <c r="L256" s="20">
        <v>22446</v>
      </c>
      <c r="M256" s="20"/>
      <c r="N256" s="20"/>
      <c r="O256" s="20"/>
      <c r="P256" s="20"/>
      <c r="Q256" s="20"/>
      <c r="R256" s="20"/>
      <c r="S256" s="20">
        <v>28</v>
      </c>
      <c r="T256" s="20">
        <v>70</v>
      </c>
      <c r="U256" s="20"/>
      <c r="V256" s="20"/>
      <c r="W256" s="20"/>
      <c r="X256" s="20"/>
      <c r="Y256" s="20"/>
      <c r="Z256" s="20"/>
      <c r="AA256" s="20"/>
      <c r="AB256" s="20"/>
      <c r="AC256" s="22">
        <f t="shared" si="9"/>
        <v>3025862</v>
      </c>
      <c r="AD256" s="22">
        <f t="shared" si="10"/>
        <v>7564639</v>
      </c>
    </row>
    <row r="257" spans="1:30" x14ac:dyDescent="0.25">
      <c r="A257" s="13">
        <v>310</v>
      </c>
      <c r="B257" s="14" t="s">
        <v>552</v>
      </c>
      <c r="C257" s="26" t="s">
        <v>553</v>
      </c>
      <c r="D257" s="14" t="s">
        <v>42</v>
      </c>
      <c r="E257" s="20">
        <v>4944638</v>
      </c>
      <c r="F257" s="20">
        <v>12361594</v>
      </c>
      <c r="G257" s="20">
        <v>212098</v>
      </c>
      <c r="H257" s="20">
        <v>530224</v>
      </c>
      <c r="I257" s="20"/>
      <c r="J257" s="20"/>
      <c r="K257" s="20">
        <v>12568</v>
      </c>
      <c r="L257" s="20">
        <v>31420</v>
      </c>
      <c r="M257" s="20"/>
      <c r="N257" s="20"/>
      <c r="O257" s="20">
        <v>8853</v>
      </c>
      <c r="P257" s="20">
        <v>22132</v>
      </c>
      <c r="Q257" s="20"/>
      <c r="R257" s="20"/>
      <c r="S257" s="20">
        <v>12</v>
      </c>
      <c r="T257" s="20">
        <v>30</v>
      </c>
      <c r="U257" s="20"/>
      <c r="V257" s="20"/>
      <c r="W257" s="20"/>
      <c r="X257" s="20"/>
      <c r="Y257" s="20"/>
      <c r="Z257" s="20"/>
      <c r="AA257" s="20"/>
      <c r="AB257" s="20"/>
      <c r="AC257" s="22">
        <f t="shared" si="9"/>
        <v>5178169</v>
      </c>
      <c r="AD257" s="22">
        <f t="shared" si="10"/>
        <v>12945400</v>
      </c>
    </row>
    <row r="258" spans="1:30" x14ac:dyDescent="0.25">
      <c r="A258" s="13">
        <v>311</v>
      </c>
      <c r="B258" s="14" t="s">
        <v>554</v>
      </c>
      <c r="C258" s="26" t="s">
        <v>555</v>
      </c>
      <c r="D258" s="14" t="s">
        <v>42</v>
      </c>
      <c r="E258" s="20">
        <v>570468</v>
      </c>
      <c r="F258" s="20">
        <v>1426166</v>
      </c>
      <c r="G258" s="20">
        <v>115431</v>
      </c>
      <c r="H258" s="20">
        <v>288528</v>
      </c>
      <c r="I258" s="20">
        <v>103680</v>
      </c>
      <c r="J258" s="20">
        <v>259200</v>
      </c>
      <c r="K258" s="20">
        <v>45088</v>
      </c>
      <c r="L258" s="20">
        <v>112707</v>
      </c>
      <c r="M258" s="20"/>
      <c r="N258" s="20"/>
      <c r="O258" s="20"/>
      <c r="P258" s="20"/>
      <c r="Q258" s="20"/>
      <c r="R258" s="20"/>
      <c r="S258" s="20"/>
      <c r="T258" s="20"/>
      <c r="U258" s="20"/>
      <c r="V258" s="20"/>
      <c r="W258" s="20"/>
      <c r="X258" s="20"/>
      <c r="Y258" s="20"/>
      <c r="Z258" s="20"/>
      <c r="AA258" s="20"/>
      <c r="AB258" s="20"/>
      <c r="AC258" s="22">
        <f t="shared" si="9"/>
        <v>834667</v>
      </c>
      <c r="AD258" s="22">
        <f t="shared" si="10"/>
        <v>2086601</v>
      </c>
    </row>
    <row r="259" spans="1:30" x14ac:dyDescent="0.25">
      <c r="A259" s="13">
        <v>312</v>
      </c>
      <c r="B259" s="14" t="s">
        <v>556</v>
      </c>
      <c r="C259" s="26" t="s">
        <v>557</v>
      </c>
      <c r="D259" s="14" t="s">
        <v>42</v>
      </c>
      <c r="E259" s="20">
        <v>6390</v>
      </c>
      <c r="F259" s="20">
        <v>15972</v>
      </c>
      <c r="G259" s="20">
        <v>3055</v>
      </c>
      <c r="H259" s="20">
        <v>7619</v>
      </c>
      <c r="I259" s="20"/>
      <c r="J259" s="20"/>
      <c r="K259" s="20">
        <v>1556</v>
      </c>
      <c r="L259" s="20">
        <v>3885</v>
      </c>
      <c r="M259" s="20">
        <v>1886</v>
      </c>
      <c r="N259" s="20">
        <v>4712</v>
      </c>
      <c r="O259" s="20"/>
      <c r="P259" s="20"/>
      <c r="Q259" s="20"/>
      <c r="R259" s="20"/>
      <c r="S259" s="20">
        <v>4</v>
      </c>
      <c r="T259" s="20">
        <v>8</v>
      </c>
      <c r="U259" s="20"/>
      <c r="V259" s="20"/>
      <c r="W259" s="20"/>
      <c r="X259" s="20"/>
      <c r="Y259" s="20"/>
      <c r="Z259" s="20"/>
      <c r="AA259" s="20"/>
      <c r="AB259" s="20"/>
      <c r="AC259" s="22">
        <f t="shared" si="9"/>
        <v>12891</v>
      </c>
      <c r="AD259" s="22">
        <f t="shared" si="10"/>
        <v>32196</v>
      </c>
    </row>
    <row r="260" spans="1:30" x14ac:dyDescent="0.25">
      <c r="A260" s="13">
        <v>313</v>
      </c>
      <c r="B260" s="14" t="s">
        <v>558</v>
      </c>
      <c r="C260" s="26" t="s">
        <v>559</v>
      </c>
      <c r="D260" s="14" t="s">
        <v>42</v>
      </c>
      <c r="E260" s="20">
        <v>12194</v>
      </c>
      <c r="F260" s="20">
        <v>30484</v>
      </c>
      <c r="G260" s="20">
        <v>15294</v>
      </c>
      <c r="H260" s="20">
        <v>38203</v>
      </c>
      <c r="I260" s="20"/>
      <c r="J260" s="20"/>
      <c r="K260" s="20">
        <v>563</v>
      </c>
      <c r="L260" s="20">
        <v>1399</v>
      </c>
      <c r="M260" s="20">
        <v>1796</v>
      </c>
      <c r="N260" s="20">
        <v>4486</v>
      </c>
      <c r="O260" s="20"/>
      <c r="P260" s="20"/>
      <c r="Q260" s="20"/>
      <c r="R260" s="20"/>
      <c r="S260" s="20">
        <v>4</v>
      </c>
      <c r="T260" s="20">
        <v>10</v>
      </c>
      <c r="U260" s="20"/>
      <c r="V260" s="20"/>
      <c r="W260" s="20"/>
      <c r="X260" s="20"/>
      <c r="Y260" s="20"/>
      <c r="Z260" s="20"/>
      <c r="AA260" s="20">
        <v>4</v>
      </c>
      <c r="AB260" s="20">
        <v>6</v>
      </c>
      <c r="AC260" s="22">
        <f t="shared" si="9"/>
        <v>29855</v>
      </c>
      <c r="AD260" s="22">
        <f t="shared" si="10"/>
        <v>74588</v>
      </c>
    </row>
    <row r="261" spans="1:30" x14ac:dyDescent="0.25">
      <c r="A261" s="13">
        <v>315</v>
      </c>
      <c r="B261" s="14" t="s">
        <v>560</v>
      </c>
      <c r="C261" s="26" t="s">
        <v>561</v>
      </c>
      <c r="D261" s="14" t="s">
        <v>42</v>
      </c>
      <c r="E261" s="20">
        <v>73026</v>
      </c>
      <c r="F261" s="20">
        <v>182562</v>
      </c>
      <c r="G261" s="20">
        <v>33063</v>
      </c>
      <c r="H261" s="20">
        <v>82599</v>
      </c>
      <c r="I261" s="20">
        <v>8762</v>
      </c>
      <c r="J261" s="20">
        <v>21905</v>
      </c>
      <c r="K261" s="20">
        <v>32611</v>
      </c>
      <c r="L261" s="20">
        <v>81496</v>
      </c>
      <c r="M261" s="20"/>
      <c r="N261" s="20"/>
      <c r="O261" s="20"/>
      <c r="P261" s="20"/>
      <c r="Q261" s="20"/>
      <c r="R261" s="20"/>
      <c r="S261" s="20">
        <v>14</v>
      </c>
      <c r="T261" s="20">
        <v>33</v>
      </c>
      <c r="U261" s="20"/>
      <c r="V261" s="20"/>
      <c r="W261" s="20"/>
      <c r="X261" s="20"/>
      <c r="Y261" s="20"/>
      <c r="Z261" s="20"/>
      <c r="AA261" s="20">
        <v>12</v>
      </c>
      <c r="AB261" s="20">
        <v>29</v>
      </c>
      <c r="AC261" s="22">
        <f t="shared" si="9"/>
        <v>147488</v>
      </c>
      <c r="AD261" s="22">
        <f t="shared" si="10"/>
        <v>368624</v>
      </c>
    </row>
    <row r="262" spans="1:30" x14ac:dyDescent="0.25">
      <c r="A262" s="13">
        <v>317</v>
      </c>
      <c r="B262" s="14" t="s">
        <v>562</v>
      </c>
      <c r="C262" s="26" t="s">
        <v>563</v>
      </c>
      <c r="D262" s="14" t="s">
        <v>42</v>
      </c>
      <c r="E262" s="20">
        <v>6074</v>
      </c>
      <c r="F262" s="20">
        <v>15184</v>
      </c>
      <c r="G262" s="20">
        <v>1287</v>
      </c>
      <c r="H262" s="20">
        <v>3204</v>
      </c>
      <c r="I262" s="20">
        <v>191262</v>
      </c>
      <c r="J262" s="20">
        <v>478155</v>
      </c>
      <c r="K262" s="20">
        <v>5240</v>
      </c>
      <c r="L262" s="20">
        <v>13100</v>
      </c>
      <c r="M262" s="20"/>
      <c r="N262" s="20"/>
      <c r="O262" s="20"/>
      <c r="P262" s="20"/>
      <c r="Q262" s="20"/>
      <c r="R262" s="20"/>
      <c r="S262" s="20"/>
      <c r="T262" s="20"/>
      <c r="U262" s="20"/>
      <c r="V262" s="20"/>
      <c r="W262" s="20"/>
      <c r="X262" s="20"/>
      <c r="Y262" s="20"/>
      <c r="Z262" s="20"/>
      <c r="AA262" s="20"/>
      <c r="AB262" s="20"/>
      <c r="AC262" s="22">
        <f t="shared" si="9"/>
        <v>203863</v>
      </c>
      <c r="AD262" s="22">
        <f t="shared" si="10"/>
        <v>509643</v>
      </c>
    </row>
    <row r="263" spans="1:30" x14ac:dyDescent="0.25">
      <c r="A263" s="13">
        <v>318</v>
      </c>
      <c r="B263" s="14" t="s">
        <v>564</v>
      </c>
      <c r="C263" s="26" t="s">
        <v>565</v>
      </c>
      <c r="D263" s="14" t="s">
        <v>42</v>
      </c>
      <c r="E263" s="20">
        <v>442</v>
      </c>
      <c r="F263" s="20">
        <v>1104</v>
      </c>
      <c r="G263" s="20">
        <v>22721</v>
      </c>
      <c r="H263" s="20">
        <v>56783</v>
      </c>
      <c r="I263" s="20">
        <v>55896</v>
      </c>
      <c r="J263" s="20">
        <v>139740</v>
      </c>
      <c r="K263" s="20">
        <v>12733</v>
      </c>
      <c r="L263" s="20">
        <v>31822</v>
      </c>
      <c r="M263" s="20">
        <v>31970</v>
      </c>
      <c r="N263" s="20">
        <v>79922</v>
      </c>
      <c r="O263" s="20"/>
      <c r="P263" s="20"/>
      <c r="Q263" s="20"/>
      <c r="R263" s="20"/>
      <c r="S263" s="20">
        <v>348</v>
      </c>
      <c r="T263" s="20">
        <v>870</v>
      </c>
      <c r="U263" s="20"/>
      <c r="V263" s="20"/>
      <c r="W263" s="20"/>
      <c r="X263" s="20"/>
      <c r="Y263" s="20"/>
      <c r="Z263" s="20"/>
      <c r="AA263" s="20"/>
      <c r="AB263" s="20"/>
      <c r="AC263" s="22">
        <f t="shared" si="9"/>
        <v>124110</v>
      </c>
      <c r="AD263" s="22">
        <f t="shared" si="10"/>
        <v>310241</v>
      </c>
    </row>
    <row r="264" spans="1:30" x14ac:dyDescent="0.25">
      <c r="A264" s="13">
        <v>319</v>
      </c>
      <c r="B264" s="14" t="s">
        <v>566</v>
      </c>
      <c r="C264" s="26" t="s">
        <v>567</v>
      </c>
      <c r="D264" s="14" t="s">
        <v>42</v>
      </c>
      <c r="E264" s="20">
        <v>416920</v>
      </c>
      <c r="F264" s="20">
        <v>1042298</v>
      </c>
      <c r="G264" s="20">
        <v>38373</v>
      </c>
      <c r="H264" s="20">
        <v>95908</v>
      </c>
      <c r="I264" s="20"/>
      <c r="J264" s="20"/>
      <c r="K264" s="20">
        <v>6189</v>
      </c>
      <c r="L264" s="20">
        <v>15456</v>
      </c>
      <c r="M264" s="20"/>
      <c r="N264" s="20"/>
      <c r="O264" s="20"/>
      <c r="P264" s="20"/>
      <c r="Q264" s="20"/>
      <c r="R264" s="20"/>
      <c r="S264" s="20">
        <v>646</v>
      </c>
      <c r="T264" s="20">
        <v>1615</v>
      </c>
      <c r="U264" s="20"/>
      <c r="V264" s="20"/>
      <c r="W264" s="20"/>
      <c r="X264" s="20"/>
      <c r="Y264" s="20"/>
      <c r="Z264" s="20"/>
      <c r="AA264" s="20"/>
      <c r="AB264" s="20"/>
      <c r="AC264" s="22">
        <f t="shared" si="9"/>
        <v>462128</v>
      </c>
      <c r="AD264" s="22">
        <f t="shared" si="10"/>
        <v>1155277</v>
      </c>
    </row>
    <row r="265" spans="1:30" x14ac:dyDescent="0.25">
      <c r="A265" s="13">
        <v>320</v>
      </c>
      <c r="B265" s="14" t="s">
        <v>568</v>
      </c>
      <c r="C265" s="26" t="s">
        <v>569</v>
      </c>
      <c r="D265" s="14" t="s">
        <v>42</v>
      </c>
      <c r="E265" s="20">
        <v>771730</v>
      </c>
      <c r="F265" s="20">
        <v>1929324</v>
      </c>
      <c r="G265" s="20">
        <v>104740</v>
      </c>
      <c r="H265" s="20">
        <v>261786</v>
      </c>
      <c r="I265" s="20">
        <v>109600</v>
      </c>
      <c r="J265" s="20">
        <v>274000</v>
      </c>
      <c r="K265" s="20">
        <v>31182</v>
      </c>
      <c r="L265" s="20">
        <v>77924</v>
      </c>
      <c r="M265" s="20"/>
      <c r="N265" s="20"/>
      <c r="O265" s="20">
        <v>2657</v>
      </c>
      <c r="P265" s="20">
        <v>6639</v>
      </c>
      <c r="Q265" s="20">
        <v>20798</v>
      </c>
      <c r="R265" s="20">
        <v>51992</v>
      </c>
      <c r="S265" s="20">
        <v>4888</v>
      </c>
      <c r="T265" s="20">
        <v>12220</v>
      </c>
      <c r="U265" s="20"/>
      <c r="V265" s="20"/>
      <c r="W265" s="20"/>
      <c r="X265" s="20"/>
      <c r="Y265" s="20"/>
      <c r="Z265" s="20"/>
      <c r="AA265" s="20"/>
      <c r="AB265" s="20"/>
      <c r="AC265" s="22">
        <f t="shared" si="9"/>
        <v>1045595</v>
      </c>
      <c r="AD265" s="22">
        <f t="shared" si="10"/>
        <v>2613885</v>
      </c>
    </row>
    <row r="266" spans="1:30" x14ac:dyDescent="0.25">
      <c r="A266" s="13">
        <v>321</v>
      </c>
      <c r="B266" s="14" t="s">
        <v>570</v>
      </c>
      <c r="C266" s="26" t="s">
        <v>571</v>
      </c>
      <c r="D266" s="14" t="s">
        <v>42</v>
      </c>
      <c r="E266" s="20">
        <v>14323</v>
      </c>
      <c r="F266" s="20">
        <v>35807</v>
      </c>
      <c r="G266" s="20">
        <v>16163</v>
      </c>
      <c r="H266" s="20">
        <v>40370</v>
      </c>
      <c r="I266" s="20"/>
      <c r="J266" s="20"/>
      <c r="K266" s="20">
        <v>5470</v>
      </c>
      <c r="L266" s="20">
        <v>13654</v>
      </c>
      <c r="M266" s="20">
        <v>746</v>
      </c>
      <c r="N266" s="20">
        <v>1862</v>
      </c>
      <c r="O266" s="20"/>
      <c r="P266" s="20"/>
      <c r="Q266" s="20"/>
      <c r="R266" s="20"/>
      <c r="S266" s="20">
        <v>2</v>
      </c>
      <c r="T266" s="20">
        <v>4</v>
      </c>
      <c r="U266" s="20"/>
      <c r="V266" s="20"/>
      <c r="W266" s="20"/>
      <c r="X266" s="20"/>
      <c r="Y266" s="20"/>
      <c r="Z266" s="20"/>
      <c r="AA266" s="20"/>
      <c r="AB266" s="20"/>
      <c r="AC266" s="22">
        <f t="shared" si="9"/>
        <v>36704</v>
      </c>
      <c r="AD266" s="22">
        <f t="shared" si="10"/>
        <v>91697</v>
      </c>
    </row>
    <row r="267" spans="1:30" x14ac:dyDescent="0.25">
      <c r="A267" s="13">
        <v>322</v>
      </c>
      <c r="B267" s="14" t="s">
        <v>572</v>
      </c>
      <c r="C267" s="26" t="s">
        <v>573</v>
      </c>
      <c r="D267" s="14" t="s">
        <v>42</v>
      </c>
      <c r="E267" s="20">
        <v>1162522</v>
      </c>
      <c r="F267" s="20">
        <v>2906303</v>
      </c>
      <c r="G267" s="20">
        <v>299073</v>
      </c>
      <c r="H267" s="20">
        <v>747641</v>
      </c>
      <c r="I267" s="20"/>
      <c r="J267" s="20"/>
      <c r="K267" s="20">
        <v>10723</v>
      </c>
      <c r="L267" s="20">
        <v>26784</v>
      </c>
      <c r="M267" s="20">
        <v>69168</v>
      </c>
      <c r="N267" s="20">
        <v>172916</v>
      </c>
      <c r="O267" s="20">
        <v>16096</v>
      </c>
      <c r="P267" s="20">
        <v>40238</v>
      </c>
      <c r="Q267" s="20"/>
      <c r="R267" s="20"/>
      <c r="S267" s="20">
        <v>530</v>
      </c>
      <c r="T267" s="20">
        <v>1325</v>
      </c>
      <c r="U267" s="20"/>
      <c r="V267" s="20"/>
      <c r="W267" s="20"/>
      <c r="X267" s="20"/>
      <c r="Y267" s="20"/>
      <c r="Z267" s="20"/>
      <c r="AA267" s="20">
        <v>8</v>
      </c>
      <c r="AB267" s="20">
        <v>20</v>
      </c>
      <c r="AC267" s="22">
        <f t="shared" si="9"/>
        <v>1558120</v>
      </c>
      <c r="AD267" s="22">
        <f t="shared" si="10"/>
        <v>3895227</v>
      </c>
    </row>
    <row r="268" spans="1:30" x14ac:dyDescent="0.25">
      <c r="A268" s="13">
        <v>323</v>
      </c>
      <c r="B268" s="14" t="s">
        <v>574</v>
      </c>
      <c r="C268" s="26" t="s">
        <v>575</v>
      </c>
      <c r="D268" s="14" t="s">
        <v>42</v>
      </c>
      <c r="E268" s="20">
        <v>254165</v>
      </c>
      <c r="F268" s="20">
        <v>635412</v>
      </c>
      <c r="G268" s="20">
        <v>176714</v>
      </c>
      <c r="H268" s="20">
        <v>441751</v>
      </c>
      <c r="I268" s="20"/>
      <c r="J268" s="20"/>
      <c r="K268" s="20">
        <v>5379</v>
      </c>
      <c r="L268" s="20">
        <v>13438</v>
      </c>
      <c r="M268" s="20">
        <v>55124</v>
      </c>
      <c r="N268" s="20">
        <v>137808</v>
      </c>
      <c r="O268" s="20">
        <v>5593</v>
      </c>
      <c r="P268" s="20">
        <v>13981</v>
      </c>
      <c r="Q268" s="20"/>
      <c r="R268" s="20"/>
      <c r="S268" s="20">
        <v>281</v>
      </c>
      <c r="T268" s="20">
        <v>700</v>
      </c>
      <c r="U268" s="20"/>
      <c r="V268" s="20"/>
      <c r="W268" s="20"/>
      <c r="X268" s="20"/>
      <c r="Y268" s="20"/>
      <c r="Z268" s="20"/>
      <c r="AA268" s="20">
        <v>4</v>
      </c>
      <c r="AB268" s="20">
        <v>10</v>
      </c>
      <c r="AC268" s="22">
        <f t="shared" ref="AC268:AC331" si="11">SUM(E268+G268+I268+K268+M268+O268+Q268+S268+U268+W268+Y268+AA268)</f>
        <v>497260</v>
      </c>
      <c r="AD268" s="22">
        <f t="shared" ref="AD268:AD331" si="12">SUM(F268+H268+J268+L268+N268+P268+R268+T268+V268+X268+Z268+AB268)</f>
        <v>1243100</v>
      </c>
    </row>
    <row r="269" spans="1:30" x14ac:dyDescent="0.25">
      <c r="A269" s="13">
        <v>324</v>
      </c>
      <c r="B269" s="14" t="s">
        <v>576</v>
      </c>
      <c r="C269" s="26" t="s">
        <v>577</v>
      </c>
      <c r="D269" s="14" t="s">
        <v>42</v>
      </c>
      <c r="E269" s="20">
        <v>966962</v>
      </c>
      <c r="F269" s="20">
        <v>2417402</v>
      </c>
      <c r="G269" s="20">
        <v>159112</v>
      </c>
      <c r="H269" s="20">
        <v>397762</v>
      </c>
      <c r="I269" s="20">
        <v>60774</v>
      </c>
      <c r="J269" s="20">
        <v>151933</v>
      </c>
      <c r="K269" s="20">
        <v>6841</v>
      </c>
      <c r="L269" s="20">
        <v>17086</v>
      </c>
      <c r="M269" s="20">
        <v>46380</v>
      </c>
      <c r="N269" s="20">
        <v>115950</v>
      </c>
      <c r="O269" s="20"/>
      <c r="P269" s="20"/>
      <c r="Q269" s="20"/>
      <c r="R269" s="20"/>
      <c r="S269" s="20">
        <v>455</v>
      </c>
      <c r="T269" s="20">
        <v>1136</v>
      </c>
      <c r="U269" s="20"/>
      <c r="V269" s="20"/>
      <c r="W269" s="20"/>
      <c r="X269" s="20"/>
      <c r="Y269" s="20"/>
      <c r="Z269" s="20"/>
      <c r="AA269" s="20">
        <v>4</v>
      </c>
      <c r="AB269" s="20">
        <v>10</v>
      </c>
      <c r="AC269" s="22">
        <f t="shared" si="11"/>
        <v>1240528</v>
      </c>
      <c r="AD269" s="22">
        <f t="shared" si="12"/>
        <v>3101279</v>
      </c>
    </row>
    <row r="270" spans="1:30" x14ac:dyDescent="0.25">
      <c r="A270" s="13">
        <v>325</v>
      </c>
      <c r="B270" s="14" t="s">
        <v>578</v>
      </c>
      <c r="C270" s="26" t="s">
        <v>579</v>
      </c>
      <c r="D270" s="14" t="s">
        <v>42</v>
      </c>
      <c r="E270" s="20">
        <v>190438</v>
      </c>
      <c r="F270" s="20">
        <v>476093</v>
      </c>
      <c r="G270" s="20">
        <v>91284</v>
      </c>
      <c r="H270" s="20">
        <v>228177</v>
      </c>
      <c r="I270" s="20"/>
      <c r="J270" s="20"/>
      <c r="K270" s="20">
        <v>5312</v>
      </c>
      <c r="L270" s="20">
        <v>13265</v>
      </c>
      <c r="M270" s="20"/>
      <c r="N270" s="20"/>
      <c r="O270" s="20"/>
      <c r="P270" s="20"/>
      <c r="Q270" s="20"/>
      <c r="R270" s="20"/>
      <c r="S270" s="20">
        <v>24</v>
      </c>
      <c r="T270" s="20">
        <v>60</v>
      </c>
      <c r="U270" s="20"/>
      <c r="V270" s="20"/>
      <c r="W270" s="20"/>
      <c r="X270" s="20"/>
      <c r="Y270" s="20"/>
      <c r="Z270" s="20"/>
      <c r="AA270" s="20">
        <v>12</v>
      </c>
      <c r="AB270" s="20">
        <v>30</v>
      </c>
      <c r="AC270" s="22">
        <f t="shared" si="11"/>
        <v>287070</v>
      </c>
      <c r="AD270" s="22">
        <f t="shared" si="12"/>
        <v>717625</v>
      </c>
    </row>
    <row r="271" spans="1:30" x14ac:dyDescent="0.25">
      <c r="A271" s="13">
        <v>326</v>
      </c>
      <c r="B271" s="14" t="s">
        <v>580</v>
      </c>
      <c r="C271" s="26" t="s">
        <v>581</v>
      </c>
      <c r="D271" s="14" t="s">
        <v>42</v>
      </c>
      <c r="E271" s="20">
        <v>487798</v>
      </c>
      <c r="F271" s="20">
        <v>1219492</v>
      </c>
      <c r="G271" s="20">
        <v>26162</v>
      </c>
      <c r="H271" s="20">
        <v>65345</v>
      </c>
      <c r="I271" s="20">
        <v>139965</v>
      </c>
      <c r="J271" s="20">
        <v>349911</v>
      </c>
      <c r="K271" s="20">
        <v>14937</v>
      </c>
      <c r="L271" s="20">
        <v>37308</v>
      </c>
      <c r="M271" s="20"/>
      <c r="N271" s="20"/>
      <c r="O271" s="20"/>
      <c r="P271" s="20"/>
      <c r="Q271" s="20"/>
      <c r="R271" s="20"/>
      <c r="S271" s="20">
        <v>72</v>
      </c>
      <c r="T271" s="20">
        <v>178</v>
      </c>
      <c r="U271" s="20"/>
      <c r="V271" s="20"/>
      <c r="W271" s="20"/>
      <c r="X271" s="20"/>
      <c r="Y271" s="20"/>
      <c r="Z271" s="20"/>
      <c r="AA271" s="20"/>
      <c r="AB271" s="20"/>
      <c r="AC271" s="22">
        <f t="shared" si="11"/>
        <v>668934</v>
      </c>
      <c r="AD271" s="22">
        <f t="shared" si="12"/>
        <v>1672234</v>
      </c>
    </row>
    <row r="272" spans="1:30" x14ac:dyDescent="0.25">
      <c r="A272" s="13">
        <v>327</v>
      </c>
      <c r="B272" s="14" t="s">
        <v>582</v>
      </c>
      <c r="C272" s="26" t="s">
        <v>583</v>
      </c>
      <c r="D272" s="14" t="s">
        <v>42</v>
      </c>
      <c r="E272" s="20">
        <v>301</v>
      </c>
      <c r="F272" s="20">
        <v>749</v>
      </c>
      <c r="G272" s="20">
        <v>206</v>
      </c>
      <c r="H272" s="20">
        <v>514</v>
      </c>
      <c r="I272" s="20"/>
      <c r="J272" s="20"/>
      <c r="K272" s="20">
        <v>40</v>
      </c>
      <c r="L272" s="20">
        <v>92</v>
      </c>
      <c r="M272" s="20"/>
      <c r="N272" s="20"/>
      <c r="O272" s="20"/>
      <c r="P272" s="20"/>
      <c r="Q272" s="20"/>
      <c r="R272" s="20"/>
      <c r="S272" s="20"/>
      <c r="T272" s="20"/>
      <c r="U272" s="20"/>
      <c r="V272" s="20"/>
      <c r="W272" s="20"/>
      <c r="X272" s="20"/>
      <c r="Y272" s="20"/>
      <c r="Z272" s="20"/>
      <c r="AA272" s="20"/>
      <c r="AB272" s="20"/>
      <c r="AC272" s="22">
        <f t="shared" si="11"/>
        <v>547</v>
      </c>
      <c r="AD272" s="22">
        <f t="shared" si="12"/>
        <v>1355</v>
      </c>
    </row>
    <row r="273" spans="1:30" x14ac:dyDescent="0.25">
      <c r="A273" s="13">
        <v>328</v>
      </c>
      <c r="B273" s="14" t="s">
        <v>584</v>
      </c>
      <c r="C273" s="26" t="s">
        <v>585</v>
      </c>
      <c r="D273" s="14" t="s">
        <v>42</v>
      </c>
      <c r="E273" s="20">
        <v>5037266</v>
      </c>
      <c r="F273" s="20">
        <v>12593162</v>
      </c>
      <c r="G273" s="20">
        <v>124436</v>
      </c>
      <c r="H273" s="20">
        <v>311054</v>
      </c>
      <c r="I273" s="20">
        <v>744424</v>
      </c>
      <c r="J273" s="20">
        <v>1861058</v>
      </c>
      <c r="K273" s="20">
        <v>3500</v>
      </c>
      <c r="L273" s="20">
        <v>8733</v>
      </c>
      <c r="M273" s="20"/>
      <c r="N273" s="20"/>
      <c r="O273" s="20"/>
      <c r="P273" s="20"/>
      <c r="Q273" s="20"/>
      <c r="R273" s="20"/>
      <c r="S273" s="20">
        <v>3848</v>
      </c>
      <c r="T273" s="20">
        <v>9620</v>
      </c>
      <c r="U273" s="20"/>
      <c r="V273" s="20"/>
      <c r="W273" s="20"/>
      <c r="X273" s="20"/>
      <c r="Y273" s="20"/>
      <c r="Z273" s="20"/>
      <c r="AA273" s="20">
        <v>32</v>
      </c>
      <c r="AB273" s="20">
        <v>80</v>
      </c>
      <c r="AC273" s="22">
        <f t="shared" si="11"/>
        <v>5913506</v>
      </c>
      <c r="AD273" s="22">
        <f t="shared" si="12"/>
        <v>14783707</v>
      </c>
    </row>
    <row r="274" spans="1:30" x14ac:dyDescent="0.25">
      <c r="A274" s="13">
        <v>329</v>
      </c>
      <c r="B274" s="14" t="s">
        <v>586</v>
      </c>
      <c r="C274" s="26" t="s">
        <v>587</v>
      </c>
      <c r="D274" s="14" t="s">
        <v>42</v>
      </c>
      <c r="E274" s="20">
        <v>250</v>
      </c>
      <c r="F274" s="20">
        <v>624</v>
      </c>
      <c r="G274" s="20">
        <v>4955</v>
      </c>
      <c r="H274" s="20">
        <v>12367</v>
      </c>
      <c r="I274" s="20"/>
      <c r="J274" s="20"/>
      <c r="K274" s="20">
        <v>2141</v>
      </c>
      <c r="L274" s="20">
        <v>5338</v>
      </c>
      <c r="M274" s="20"/>
      <c r="N274" s="20"/>
      <c r="O274" s="20"/>
      <c r="P274" s="20"/>
      <c r="Q274" s="20">
        <v>6058</v>
      </c>
      <c r="R274" s="20">
        <v>15142</v>
      </c>
      <c r="S274" s="20">
        <v>142</v>
      </c>
      <c r="T274" s="20">
        <v>354</v>
      </c>
      <c r="U274" s="20"/>
      <c r="V274" s="20"/>
      <c r="W274" s="20"/>
      <c r="X274" s="20"/>
      <c r="Y274" s="20"/>
      <c r="Z274" s="20"/>
      <c r="AA274" s="20"/>
      <c r="AB274" s="20"/>
      <c r="AC274" s="22">
        <f t="shared" si="11"/>
        <v>13546</v>
      </c>
      <c r="AD274" s="22">
        <f t="shared" si="12"/>
        <v>33825</v>
      </c>
    </row>
    <row r="275" spans="1:30" x14ac:dyDescent="0.25">
      <c r="A275" s="13">
        <v>330</v>
      </c>
      <c r="B275" s="14" t="s">
        <v>588</v>
      </c>
      <c r="C275" s="26" t="s">
        <v>589</v>
      </c>
      <c r="D275" s="14" t="s">
        <v>42</v>
      </c>
      <c r="E275" s="20">
        <v>69824</v>
      </c>
      <c r="F275" s="20">
        <v>174558</v>
      </c>
      <c r="G275" s="20">
        <v>279</v>
      </c>
      <c r="H275" s="20">
        <v>688</v>
      </c>
      <c r="I275" s="20">
        <v>59361</v>
      </c>
      <c r="J275" s="20">
        <v>148399</v>
      </c>
      <c r="K275" s="20">
        <v>2097</v>
      </c>
      <c r="L275" s="20">
        <v>5231</v>
      </c>
      <c r="M275" s="20"/>
      <c r="N275" s="20"/>
      <c r="O275" s="20"/>
      <c r="P275" s="20"/>
      <c r="Q275" s="20"/>
      <c r="R275" s="20"/>
      <c r="S275" s="20">
        <v>154</v>
      </c>
      <c r="T275" s="20">
        <v>385</v>
      </c>
      <c r="U275" s="20"/>
      <c r="V275" s="20"/>
      <c r="W275" s="20"/>
      <c r="X275" s="20"/>
      <c r="Y275" s="20"/>
      <c r="Z275" s="20"/>
      <c r="AA275" s="20"/>
      <c r="AB275" s="20"/>
      <c r="AC275" s="22">
        <f t="shared" si="11"/>
        <v>131715</v>
      </c>
      <c r="AD275" s="22">
        <f t="shared" si="12"/>
        <v>329261</v>
      </c>
    </row>
    <row r="276" spans="1:30" x14ac:dyDescent="0.25">
      <c r="A276" s="13">
        <v>331</v>
      </c>
      <c r="B276" s="14" t="s">
        <v>590</v>
      </c>
      <c r="C276" s="26" t="s">
        <v>591</v>
      </c>
      <c r="D276" s="14" t="s">
        <v>42</v>
      </c>
      <c r="E276" s="20">
        <v>112</v>
      </c>
      <c r="F276" s="20">
        <v>280</v>
      </c>
      <c r="G276" s="20">
        <v>2300</v>
      </c>
      <c r="H276" s="20">
        <v>5723</v>
      </c>
      <c r="I276" s="20"/>
      <c r="J276" s="20"/>
      <c r="K276" s="20">
        <v>3659</v>
      </c>
      <c r="L276" s="20">
        <v>9132</v>
      </c>
      <c r="M276" s="20"/>
      <c r="N276" s="20"/>
      <c r="O276" s="20"/>
      <c r="P276" s="20"/>
      <c r="Q276" s="20"/>
      <c r="R276" s="20"/>
      <c r="S276" s="20">
        <v>406</v>
      </c>
      <c r="T276" s="20">
        <v>1015</v>
      </c>
      <c r="U276" s="20"/>
      <c r="V276" s="20"/>
      <c r="W276" s="20"/>
      <c r="X276" s="20"/>
      <c r="Y276" s="20"/>
      <c r="Z276" s="20"/>
      <c r="AA276" s="20">
        <v>2</v>
      </c>
      <c r="AB276" s="20">
        <v>2</v>
      </c>
      <c r="AC276" s="22">
        <f t="shared" si="11"/>
        <v>6479</v>
      </c>
      <c r="AD276" s="22">
        <f t="shared" si="12"/>
        <v>16152</v>
      </c>
    </row>
    <row r="277" spans="1:30" x14ac:dyDescent="0.25">
      <c r="A277" s="13">
        <v>332</v>
      </c>
      <c r="B277" s="14" t="s">
        <v>592</v>
      </c>
      <c r="C277" s="26" t="s">
        <v>593</v>
      </c>
      <c r="D277" s="14" t="s">
        <v>42</v>
      </c>
      <c r="E277" s="20"/>
      <c r="F277" s="20"/>
      <c r="G277" s="20">
        <v>212</v>
      </c>
      <c r="H277" s="20">
        <v>523</v>
      </c>
      <c r="I277" s="20"/>
      <c r="J277" s="20"/>
      <c r="K277" s="20">
        <v>1215</v>
      </c>
      <c r="L277" s="20">
        <v>3035</v>
      </c>
      <c r="M277" s="20">
        <v>7832</v>
      </c>
      <c r="N277" s="20">
        <v>19578</v>
      </c>
      <c r="O277" s="20"/>
      <c r="P277" s="20"/>
      <c r="Q277" s="20"/>
      <c r="R277" s="20"/>
      <c r="S277" s="20">
        <v>870</v>
      </c>
      <c r="T277" s="20">
        <v>2174</v>
      </c>
      <c r="U277" s="20"/>
      <c r="V277" s="20"/>
      <c r="W277" s="20"/>
      <c r="X277" s="20"/>
      <c r="Y277" s="20"/>
      <c r="Z277" s="20"/>
      <c r="AA277" s="20"/>
      <c r="AB277" s="20"/>
      <c r="AC277" s="22">
        <f t="shared" si="11"/>
        <v>10129</v>
      </c>
      <c r="AD277" s="22">
        <f t="shared" si="12"/>
        <v>25310</v>
      </c>
    </row>
    <row r="278" spans="1:30" x14ac:dyDescent="0.25">
      <c r="A278" s="13">
        <v>333</v>
      </c>
      <c r="B278" s="14" t="s">
        <v>594</v>
      </c>
      <c r="C278" s="26" t="s">
        <v>595</v>
      </c>
      <c r="D278" s="14" t="s">
        <v>42</v>
      </c>
      <c r="E278" s="20">
        <v>6</v>
      </c>
      <c r="F278" s="20">
        <v>12</v>
      </c>
      <c r="G278" s="20">
        <v>676</v>
      </c>
      <c r="H278" s="20">
        <v>1672</v>
      </c>
      <c r="I278" s="20"/>
      <c r="J278" s="20"/>
      <c r="K278" s="20">
        <v>1182</v>
      </c>
      <c r="L278" s="20">
        <v>2946</v>
      </c>
      <c r="M278" s="20"/>
      <c r="N278" s="20"/>
      <c r="O278" s="20"/>
      <c r="P278" s="20"/>
      <c r="Q278" s="20"/>
      <c r="R278" s="20"/>
      <c r="S278" s="20">
        <v>72</v>
      </c>
      <c r="T278" s="20">
        <v>180</v>
      </c>
      <c r="U278" s="20"/>
      <c r="V278" s="20"/>
      <c r="W278" s="20"/>
      <c r="X278" s="20"/>
      <c r="Y278" s="20"/>
      <c r="Z278" s="20"/>
      <c r="AA278" s="20">
        <v>8</v>
      </c>
      <c r="AB278" s="20">
        <v>20</v>
      </c>
      <c r="AC278" s="22">
        <f t="shared" si="11"/>
        <v>1944</v>
      </c>
      <c r="AD278" s="22">
        <f t="shared" si="12"/>
        <v>4830</v>
      </c>
    </row>
    <row r="279" spans="1:30" x14ac:dyDescent="0.25">
      <c r="A279" s="13">
        <v>334</v>
      </c>
      <c r="B279" s="14" t="s">
        <v>596</v>
      </c>
      <c r="C279" s="26" t="s">
        <v>597</v>
      </c>
      <c r="D279" s="14" t="s">
        <v>42</v>
      </c>
      <c r="E279" s="20">
        <v>212</v>
      </c>
      <c r="F279" s="20">
        <v>528</v>
      </c>
      <c r="G279" s="20">
        <v>41</v>
      </c>
      <c r="H279" s="20">
        <v>99</v>
      </c>
      <c r="I279" s="20">
        <v>936</v>
      </c>
      <c r="J279" s="20">
        <v>2340</v>
      </c>
      <c r="K279" s="20">
        <v>384</v>
      </c>
      <c r="L279" s="20">
        <v>960</v>
      </c>
      <c r="M279" s="20"/>
      <c r="N279" s="20"/>
      <c r="O279" s="20"/>
      <c r="P279" s="20"/>
      <c r="Q279" s="20"/>
      <c r="R279" s="20"/>
      <c r="S279" s="20"/>
      <c r="T279" s="20"/>
      <c r="U279" s="20"/>
      <c r="V279" s="20"/>
      <c r="W279" s="20"/>
      <c r="X279" s="20"/>
      <c r="Y279" s="20"/>
      <c r="Z279" s="20"/>
      <c r="AA279" s="20"/>
      <c r="AB279" s="20"/>
      <c r="AC279" s="22">
        <f t="shared" si="11"/>
        <v>1573</v>
      </c>
      <c r="AD279" s="22">
        <f t="shared" si="12"/>
        <v>3927</v>
      </c>
    </row>
    <row r="280" spans="1:30" x14ac:dyDescent="0.25">
      <c r="A280" s="13">
        <v>337</v>
      </c>
      <c r="B280" s="14" t="s">
        <v>598</v>
      </c>
      <c r="C280" s="26" t="s">
        <v>599</v>
      </c>
      <c r="D280" s="14" t="s">
        <v>42</v>
      </c>
      <c r="E280" s="20">
        <v>6839568</v>
      </c>
      <c r="F280" s="20">
        <v>17098918</v>
      </c>
      <c r="G280" s="20">
        <v>648567</v>
      </c>
      <c r="H280" s="20">
        <v>1621401</v>
      </c>
      <c r="I280" s="20">
        <v>1788696</v>
      </c>
      <c r="J280" s="20">
        <v>4471738</v>
      </c>
      <c r="K280" s="20">
        <v>7661</v>
      </c>
      <c r="L280" s="20">
        <v>19139</v>
      </c>
      <c r="M280" s="20"/>
      <c r="N280" s="20"/>
      <c r="O280" s="20">
        <v>933</v>
      </c>
      <c r="P280" s="20">
        <v>2332</v>
      </c>
      <c r="Q280" s="20"/>
      <c r="R280" s="20"/>
      <c r="S280" s="20">
        <v>256</v>
      </c>
      <c r="T280" s="20">
        <v>640</v>
      </c>
      <c r="U280" s="20"/>
      <c r="V280" s="20"/>
      <c r="W280" s="20"/>
      <c r="X280" s="20"/>
      <c r="Y280" s="20"/>
      <c r="Z280" s="20"/>
      <c r="AA280" s="20"/>
      <c r="AB280" s="20"/>
      <c r="AC280" s="22">
        <f t="shared" si="11"/>
        <v>9285681</v>
      </c>
      <c r="AD280" s="22">
        <f t="shared" si="12"/>
        <v>23214168</v>
      </c>
    </row>
    <row r="281" spans="1:30" x14ac:dyDescent="0.25">
      <c r="A281" s="13">
        <v>338</v>
      </c>
      <c r="B281" s="14" t="s">
        <v>600</v>
      </c>
      <c r="C281" s="26" t="s">
        <v>601</v>
      </c>
      <c r="D281" s="14" t="s">
        <v>42</v>
      </c>
      <c r="E281" s="20">
        <v>1789828</v>
      </c>
      <c r="F281" s="20">
        <v>4474566</v>
      </c>
      <c r="G281" s="20">
        <v>277767</v>
      </c>
      <c r="H281" s="20">
        <v>694389</v>
      </c>
      <c r="I281" s="20">
        <v>789034</v>
      </c>
      <c r="J281" s="20">
        <v>1972582</v>
      </c>
      <c r="K281" s="20">
        <v>7373</v>
      </c>
      <c r="L281" s="20">
        <v>18428</v>
      </c>
      <c r="M281" s="20"/>
      <c r="N281" s="20"/>
      <c r="O281" s="20">
        <v>8686</v>
      </c>
      <c r="P281" s="20">
        <v>21714</v>
      </c>
      <c r="Q281" s="20"/>
      <c r="R281" s="20"/>
      <c r="S281" s="20">
        <v>339</v>
      </c>
      <c r="T281" s="20">
        <v>847</v>
      </c>
      <c r="U281" s="20"/>
      <c r="V281" s="20"/>
      <c r="W281" s="20"/>
      <c r="X281" s="20"/>
      <c r="Y281" s="20"/>
      <c r="Z281" s="20"/>
      <c r="AA281" s="20"/>
      <c r="AB281" s="20"/>
      <c r="AC281" s="22">
        <f t="shared" si="11"/>
        <v>2873027</v>
      </c>
      <c r="AD281" s="22">
        <f t="shared" si="12"/>
        <v>7182526</v>
      </c>
    </row>
    <row r="282" spans="1:30" x14ac:dyDescent="0.25">
      <c r="A282" s="13">
        <v>339</v>
      </c>
      <c r="B282" s="14" t="s">
        <v>602</v>
      </c>
      <c r="C282" s="26" t="s">
        <v>603</v>
      </c>
      <c r="D282" s="14" t="s">
        <v>42</v>
      </c>
      <c r="E282" s="20"/>
      <c r="F282" s="20"/>
      <c r="G282" s="20">
        <v>7167</v>
      </c>
      <c r="H282" s="20">
        <v>17910</v>
      </c>
      <c r="I282" s="20"/>
      <c r="J282" s="20"/>
      <c r="K282" s="20">
        <v>6365</v>
      </c>
      <c r="L282" s="20">
        <v>15905</v>
      </c>
      <c r="M282" s="20"/>
      <c r="N282" s="20"/>
      <c r="O282" s="20">
        <v>6268</v>
      </c>
      <c r="P282" s="20">
        <v>15668</v>
      </c>
      <c r="Q282" s="20"/>
      <c r="R282" s="20"/>
      <c r="S282" s="20"/>
      <c r="T282" s="20"/>
      <c r="U282" s="20"/>
      <c r="V282" s="20"/>
      <c r="W282" s="20"/>
      <c r="X282" s="20"/>
      <c r="Y282" s="20"/>
      <c r="Z282" s="20"/>
      <c r="AA282" s="20"/>
      <c r="AB282" s="20"/>
      <c r="AC282" s="22">
        <f t="shared" si="11"/>
        <v>19800</v>
      </c>
      <c r="AD282" s="22">
        <f t="shared" si="12"/>
        <v>49483</v>
      </c>
    </row>
    <row r="283" spans="1:30" x14ac:dyDescent="0.25">
      <c r="A283" s="13">
        <v>340</v>
      </c>
      <c r="B283" s="14" t="s">
        <v>604</v>
      </c>
      <c r="C283" s="26" t="s">
        <v>605</v>
      </c>
      <c r="D283" s="14" t="s">
        <v>42</v>
      </c>
      <c r="E283" s="20">
        <v>19432</v>
      </c>
      <c r="F283" s="20">
        <v>48580</v>
      </c>
      <c r="G283" s="20">
        <v>8537</v>
      </c>
      <c r="H283" s="20">
        <v>21315</v>
      </c>
      <c r="I283" s="20">
        <v>2740</v>
      </c>
      <c r="J283" s="20">
        <v>6850</v>
      </c>
      <c r="K283" s="20">
        <v>24612</v>
      </c>
      <c r="L283" s="20">
        <v>61509</v>
      </c>
      <c r="M283" s="20"/>
      <c r="N283" s="20"/>
      <c r="O283" s="20"/>
      <c r="P283" s="20"/>
      <c r="Q283" s="20"/>
      <c r="R283" s="20"/>
      <c r="S283" s="20"/>
      <c r="T283" s="20"/>
      <c r="U283" s="20"/>
      <c r="V283" s="20"/>
      <c r="W283" s="20"/>
      <c r="X283" s="20"/>
      <c r="Y283" s="20"/>
      <c r="Z283" s="20"/>
      <c r="AA283" s="20"/>
      <c r="AB283" s="20"/>
      <c r="AC283" s="22">
        <f t="shared" si="11"/>
        <v>55321</v>
      </c>
      <c r="AD283" s="22">
        <f t="shared" si="12"/>
        <v>138254</v>
      </c>
    </row>
    <row r="284" spans="1:30" x14ac:dyDescent="0.25">
      <c r="A284" s="13">
        <v>341</v>
      </c>
      <c r="B284" s="14" t="s">
        <v>606</v>
      </c>
      <c r="C284" s="26" t="s">
        <v>607</v>
      </c>
      <c r="D284" s="14" t="s">
        <v>42</v>
      </c>
      <c r="E284" s="20">
        <v>298</v>
      </c>
      <c r="F284" s="20">
        <v>745</v>
      </c>
      <c r="G284" s="20">
        <v>204</v>
      </c>
      <c r="H284" s="20">
        <v>508</v>
      </c>
      <c r="I284" s="20"/>
      <c r="J284" s="20"/>
      <c r="K284" s="20">
        <v>732</v>
      </c>
      <c r="L284" s="20">
        <v>1828</v>
      </c>
      <c r="M284" s="20"/>
      <c r="N284" s="20"/>
      <c r="O284" s="20"/>
      <c r="P284" s="20"/>
      <c r="Q284" s="20"/>
      <c r="R284" s="20"/>
      <c r="S284" s="20"/>
      <c r="T284" s="20"/>
      <c r="U284" s="20"/>
      <c r="V284" s="20"/>
      <c r="W284" s="20"/>
      <c r="X284" s="20"/>
      <c r="Y284" s="20"/>
      <c r="Z284" s="20"/>
      <c r="AA284" s="20"/>
      <c r="AB284" s="20"/>
      <c r="AC284" s="22">
        <f t="shared" si="11"/>
        <v>1234</v>
      </c>
      <c r="AD284" s="22">
        <f t="shared" si="12"/>
        <v>3081</v>
      </c>
    </row>
    <row r="285" spans="1:30" x14ac:dyDescent="0.25">
      <c r="A285" s="13">
        <v>342</v>
      </c>
      <c r="B285" s="14" t="s">
        <v>608</v>
      </c>
      <c r="C285" s="26" t="s">
        <v>609</v>
      </c>
      <c r="D285" s="14" t="s">
        <v>42</v>
      </c>
      <c r="E285" s="20">
        <v>5184686</v>
      </c>
      <c r="F285" s="20">
        <v>12961712</v>
      </c>
      <c r="G285" s="20">
        <v>567353</v>
      </c>
      <c r="H285" s="20">
        <v>1418335</v>
      </c>
      <c r="I285" s="20">
        <v>1001902</v>
      </c>
      <c r="J285" s="20">
        <v>2504753</v>
      </c>
      <c r="K285" s="20">
        <v>21982</v>
      </c>
      <c r="L285" s="20">
        <v>54934</v>
      </c>
      <c r="M285" s="20">
        <v>56572</v>
      </c>
      <c r="N285" s="20">
        <v>141428</v>
      </c>
      <c r="O285" s="20">
        <v>7489</v>
      </c>
      <c r="P285" s="20">
        <v>18722</v>
      </c>
      <c r="Q285" s="20"/>
      <c r="R285" s="20"/>
      <c r="S285" s="20">
        <v>775</v>
      </c>
      <c r="T285" s="20">
        <v>1935</v>
      </c>
      <c r="U285" s="20"/>
      <c r="V285" s="20"/>
      <c r="W285" s="20"/>
      <c r="X285" s="20"/>
      <c r="Y285" s="20"/>
      <c r="Z285" s="20"/>
      <c r="AA285" s="20"/>
      <c r="AB285" s="20"/>
      <c r="AC285" s="22">
        <f t="shared" si="11"/>
        <v>6840759</v>
      </c>
      <c r="AD285" s="22">
        <f t="shared" si="12"/>
        <v>17101819</v>
      </c>
    </row>
    <row r="286" spans="1:30" x14ac:dyDescent="0.25">
      <c r="A286" s="13">
        <v>343</v>
      </c>
      <c r="B286" s="14" t="s">
        <v>610</v>
      </c>
      <c r="C286" s="26" t="s">
        <v>611</v>
      </c>
      <c r="D286" s="14" t="s">
        <v>42</v>
      </c>
      <c r="E286" s="20"/>
      <c r="F286" s="20"/>
      <c r="G286" s="20">
        <v>103718</v>
      </c>
      <c r="H286" s="20">
        <v>259271</v>
      </c>
      <c r="I286" s="20"/>
      <c r="J286" s="20"/>
      <c r="K286" s="20">
        <v>10810</v>
      </c>
      <c r="L286" s="20">
        <v>27009</v>
      </c>
      <c r="M286" s="20"/>
      <c r="N286" s="20"/>
      <c r="O286" s="20"/>
      <c r="P286" s="20"/>
      <c r="Q286" s="20"/>
      <c r="R286" s="20"/>
      <c r="S286" s="20"/>
      <c r="T286" s="20"/>
      <c r="U286" s="20"/>
      <c r="V286" s="20"/>
      <c r="W286" s="20"/>
      <c r="X286" s="20"/>
      <c r="Y286" s="20"/>
      <c r="Z286" s="20"/>
      <c r="AA286" s="20"/>
      <c r="AB286" s="20"/>
      <c r="AC286" s="22">
        <f t="shared" si="11"/>
        <v>114528</v>
      </c>
      <c r="AD286" s="22">
        <f t="shared" si="12"/>
        <v>286280</v>
      </c>
    </row>
    <row r="287" spans="1:30" x14ac:dyDescent="0.25">
      <c r="A287" s="13">
        <v>344</v>
      </c>
      <c r="B287" s="14" t="s">
        <v>612</v>
      </c>
      <c r="C287" s="26" t="s">
        <v>613</v>
      </c>
      <c r="D287" s="14" t="s">
        <v>42</v>
      </c>
      <c r="E287" s="20">
        <v>4264</v>
      </c>
      <c r="F287" s="20">
        <v>10658</v>
      </c>
      <c r="G287" s="20">
        <v>972</v>
      </c>
      <c r="H287" s="20">
        <v>2417</v>
      </c>
      <c r="I287" s="20"/>
      <c r="J287" s="20"/>
      <c r="K287" s="20">
        <v>5300</v>
      </c>
      <c r="L287" s="20">
        <v>13242</v>
      </c>
      <c r="M287" s="20"/>
      <c r="N287" s="20"/>
      <c r="O287" s="20"/>
      <c r="P287" s="20"/>
      <c r="Q287" s="20"/>
      <c r="R287" s="20"/>
      <c r="S287" s="20">
        <v>4</v>
      </c>
      <c r="T287" s="20">
        <v>10</v>
      </c>
      <c r="U287" s="20"/>
      <c r="V287" s="20"/>
      <c r="W287" s="20"/>
      <c r="X287" s="20"/>
      <c r="Y287" s="20"/>
      <c r="Z287" s="20"/>
      <c r="AA287" s="20"/>
      <c r="AB287" s="20"/>
      <c r="AC287" s="22">
        <f t="shared" si="11"/>
        <v>10540</v>
      </c>
      <c r="AD287" s="22">
        <f t="shared" si="12"/>
        <v>26327</v>
      </c>
    </row>
    <row r="288" spans="1:30" x14ac:dyDescent="0.25">
      <c r="A288" s="13">
        <v>345</v>
      </c>
      <c r="B288" s="14" t="s">
        <v>614</v>
      </c>
      <c r="C288" s="26" t="s">
        <v>615</v>
      </c>
      <c r="D288" s="14" t="s">
        <v>42</v>
      </c>
      <c r="E288" s="20">
        <v>231105</v>
      </c>
      <c r="F288" s="20">
        <v>577761</v>
      </c>
      <c r="G288" s="20">
        <v>20100</v>
      </c>
      <c r="H288" s="20">
        <v>50219</v>
      </c>
      <c r="I288" s="20">
        <v>55239</v>
      </c>
      <c r="J288" s="20">
        <v>138096</v>
      </c>
      <c r="K288" s="20">
        <v>223</v>
      </c>
      <c r="L288" s="20">
        <v>552</v>
      </c>
      <c r="M288" s="20"/>
      <c r="N288" s="20"/>
      <c r="O288" s="20"/>
      <c r="P288" s="20"/>
      <c r="Q288" s="20"/>
      <c r="R288" s="20"/>
      <c r="S288" s="20"/>
      <c r="T288" s="20"/>
      <c r="U288" s="20"/>
      <c r="V288" s="20"/>
      <c r="W288" s="20"/>
      <c r="X288" s="20"/>
      <c r="Y288" s="20"/>
      <c r="Z288" s="20"/>
      <c r="AA288" s="20"/>
      <c r="AB288" s="20"/>
      <c r="AC288" s="22">
        <f t="shared" si="11"/>
        <v>306667</v>
      </c>
      <c r="AD288" s="22">
        <f t="shared" si="12"/>
        <v>766628</v>
      </c>
    </row>
    <row r="289" spans="1:30" x14ac:dyDescent="0.25">
      <c r="A289" s="13">
        <v>347</v>
      </c>
      <c r="B289" s="14" t="s">
        <v>616</v>
      </c>
      <c r="C289" s="26" t="s">
        <v>617</v>
      </c>
      <c r="D289" s="14" t="s">
        <v>42</v>
      </c>
      <c r="E289" s="20">
        <v>740</v>
      </c>
      <c r="F289" s="20">
        <v>1849</v>
      </c>
      <c r="G289" s="20">
        <v>643</v>
      </c>
      <c r="H289" s="20">
        <v>1605</v>
      </c>
      <c r="I289" s="20">
        <v>120560</v>
      </c>
      <c r="J289" s="20">
        <v>301400</v>
      </c>
      <c r="K289" s="20">
        <v>776</v>
      </c>
      <c r="L289" s="20">
        <v>1940</v>
      </c>
      <c r="M289" s="20"/>
      <c r="N289" s="20"/>
      <c r="O289" s="20"/>
      <c r="P289" s="20"/>
      <c r="Q289" s="20"/>
      <c r="R289" s="20"/>
      <c r="S289" s="20"/>
      <c r="T289" s="20"/>
      <c r="U289" s="20"/>
      <c r="V289" s="20"/>
      <c r="W289" s="20"/>
      <c r="X289" s="20"/>
      <c r="Y289" s="20"/>
      <c r="Z289" s="20"/>
      <c r="AA289" s="20"/>
      <c r="AB289" s="20"/>
      <c r="AC289" s="22">
        <f t="shared" si="11"/>
        <v>122719</v>
      </c>
      <c r="AD289" s="22">
        <f t="shared" si="12"/>
        <v>306794</v>
      </c>
    </row>
    <row r="290" spans="1:30" x14ac:dyDescent="0.25">
      <c r="A290" s="13">
        <v>348</v>
      </c>
      <c r="B290" s="14" t="s">
        <v>618</v>
      </c>
      <c r="C290" s="26" t="s">
        <v>619</v>
      </c>
      <c r="D290" s="14" t="s">
        <v>42</v>
      </c>
      <c r="E290" s="20">
        <v>337429</v>
      </c>
      <c r="F290" s="20">
        <v>843570</v>
      </c>
      <c r="G290" s="20">
        <v>1643</v>
      </c>
      <c r="H290" s="20">
        <v>4095</v>
      </c>
      <c r="I290" s="20"/>
      <c r="J290" s="20"/>
      <c r="K290" s="20">
        <v>417</v>
      </c>
      <c r="L290" s="20">
        <v>1036</v>
      </c>
      <c r="M290" s="20">
        <v>2064</v>
      </c>
      <c r="N290" s="20">
        <v>5156</v>
      </c>
      <c r="O290" s="20"/>
      <c r="P290" s="20"/>
      <c r="Q290" s="20"/>
      <c r="R290" s="20"/>
      <c r="S290" s="20"/>
      <c r="T290" s="20"/>
      <c r="U290" s="20"/>
      <c r="V290" s="20"/>
      <c r="W290" s="20"/>
      <c r="X290" s="20"/>
      <c r="Y290" s="20"/>
      <c r="Z290" s="20"/>
      <c r="AA290" s="20"/>
      <c r="AB290" s="20"/>
      <c r="AC290" s="22">
        <f t="shared" si="11"/>
        <v>341553</v>
      </c>
      <c r="AD290" s="22">
        <f t="shared" si="12"/>
        <v>853857</v>
      </c>
    </row>
    <row r="291" spans="1:30" x14ac:dyDescent="0.25">
      <c r="A291" s="13">
        <v>350</v>
      </c>
      <c r="B291" s="14" t="s">
        <v>620</v>
      </c>
      <c r="C291" s="26" t="s">
        <v>621</v>
      </c>
      <c r="D291" s="14" t="s">
        <v>42</v>
      </c>
      <c r="E291" s="20"/>
      <c r="F291" s="20"/>
      <c r="G291" s="20">
        <v>134</v>
      </c>
      <c r="H291" s="20">
        <v>329</v>
      </c>
      <c r="I291" s="20"/>
      <c r="J291" s="20"/>
      <c r="K291" s="20">
        <v>3191</v>
      </c>
      <c r="L291" s="20">
        <v>7964</v>
      </c>
      <c r="M291" s="20"/>
      <c r="N291" s="20"/>
      <c r="O291" s="20"/>
      <c r="P291" s="20"/>
      <c r="Q291" s="20"/>
      <c r="R291" s="20"/>
      <c r="S291" s="20">
        <v>128</v>
      </c>
      <c r="T291" s="20">
        <v>319</v>
      </c>
      <c r="U291" s="20"/>
      <c r="V291" s="20"/>
      <c r="W291" s="20"/>
      <c r="X291" s="20"/>
      <c r="Y291" s="20"/>
      <c r="Z291" s="20"/>
      <c r="AA291" s="20"/>
      <c r="AB291" s="20"/>
      <c r="AC291" s="22">
        <f t="shared" si="11"/>
        <v>3453</v>
      </c>
      <c r="AD291" s="22">
        <f t="shared" si="12"/>
        <v>8612</v>
      </c>
    </row>
    <row r="292" spans="1:30" x14ac:dyDescent="0.25">
      <c r="A292" s="13">
        <v>351</v>
      </c>
      <c r="B292" s="14" t="s">
        <v>622</v>
      </c>
      <c r="C292" s="26" t="s">
        <v>623</v>
      </c>
      <c r="D292" s="14" t="s">
        <v>42</v>
      </c>
      <c r="E292" s="20">
        <v>53450</v>
      </c>
      <c r="F292" s="20">
        <v>133622</v>
      </c>
      <c r="G292" s="20">
        <v>7966</v>
      </c>
      <c r="H292" s="20">
        <v>19875</v>
      </c>
      <c r="I292" s="20">
        <v>17019</v>
      </c>
      <c r="J292" s="20">
        <v>42547</v>
      </c>
      <c r="K292" s="20">
        <v>1764</v>
      </c>
      <c r="L292" s="20">
        <v>4386</v>
      </c>
      <c r="M292" s="20"/>
      <c r="N292" s="20"/>
      <c r="O292" s="20"/>
      <c r="P292" s="20"/>
      <c r="Q292" s="20"/>
      <c r="R292" s="20"/>
      <c r="S292" s="20">
        <v>672</v>
      </c>
      <c r="T292" s="20">
        <v>1680</v>
      </c>
      <c r="U292" s="20"/>
      <c r="V292" s="20"/>
      <c r="W292" s="20"/>
      <c r="X292" s="20"/>
      <c r="Y292" s="20"/>
      <c r="Z292" s="20"/>
      <c r="AA292" s="20"/>
      <c r="AB292" s="20"/>
      <c r="AC292" s="22">
        <f t="shared" si="11"/>
        <v>80871</v>
      </c>
      <c r="AD292" s="22">
        <f t="shared" si="12"/>
        <v>202110</v>
      </c>
    </row>
    <row r="293" spans="1:30" x14ac:dyDescent="0.25">
      <c r="A293" s="13">
        <v>352</v>
      </c>
      <c r="B293" s="14" t="s">
        <v>624</v>
      </c>
      <c r="C293" s="26" t="s">
        <v>625</v>
      </c>
      <c r="D293" s="14" t="s">
        <v>42</v>
      </c>
      <c r="E293" s="20">
        <v>1158678</v>
      </c>
      <c r="F293" s="20">
        <v>2896692</v>
      </c>
      <c r="G293" s="20">
        <v>192647</v>
      </c>
      <c r="H293" s="20">
        <v>481562</v>
      </c>
      <c r="I293" s="20">
        <v>206079</v>
      </c>
      <c r="J293" s="20">
        <v>515194</v>
      </c>
      <c r="K293" s="20">
        <v>15457</v>
      </c>
      <c r="L293" s="20">
        <v>38622</v>
      </c>
      <c r="M293" s="20">
        <v>67048</v>
      </c>
      <c r="N293" s="20">
        <v>167620</v>
      </c>
      <c r="O293" s="20">
        <v>7397</v>
      </c>
      <c r="P293" s="20">
        <v>18491</v>
      </c>
      <c r="Q293" s="20">
        <v>73584</v>
      </c>
      <c r="R293" s="20">
        <v>183960</v>
      </c>
      <c r="S293" s="20">
        <v>4667</v>
      </c>
      <c r="T293" s="20">
        <v>11665</v>
      </c>
      <c r="U293" s="20"/>
      <c r="V293" s="20"/>
      <c r="W293" s="20"/>
      <c r="X293" s="20"/>
      <c r="Y293" s="20"/>
      <c r="Z293" s="20"/>
      <c r="AA293" s="20">
        <v>63</v>
      </c>
      <c r="AB293" s="20">
        <v>155</v>
      </c>
      <c r="AC293" s="22">
        <f t="shared" si="11"/>
        <v>1725620</v>
      </c>
      <c r="AD293" s="22">
        <f t="shared" si="12"/>
        <v>4313961</v>
      </c>
    </row>
    <row r="294" spans="1:30" x14ac:dyDescent="0.25">
      <c r="A294" s="13">
        <v>353</v>
      </c>
      <c r="B294" s="14" t="s">
        <v>626</v>
      </c>
      <c r="C294" s="26" t="s">
        <v>627</v>
      </c>
      <c r="D294" s="14" t="s">
        <v>42</v>
      </c>
      <c r="E294" s="20">
        <v>826166</v>
      </c>
      <c r="F294" s="20">
        <v>2065412</v>
      </c>
      <c r="G294" s="20">
        <v>78469</v>
      </c>
      <c r="H294" s="20">
        <v>196143</v>
      </c>
      <c r="I294" s="20">
        <v>241781</v>
      </c>
      <c r="J294" s="20">
        <v>604451</v>
      </c>
      <c r="K294" s="20">
        <v>3685</v>
      </c>
      <c r="L294" s="20">
        <v>9202</v>
      </c>
      <c r="M294" s="20"/>
      <c r="N294" s="20"/>
      <c r="O294" s="20"/>
      <c r="P294" s="20"/>
      <c r="Q294" s="20"/>
      <c r="R294" s="20"/>
      <c r="S294" s="20">
        <v>70</v>
      </c>
      <c r="T294" s="20">
        <v>173</v>
      </c>
      <c r="U294" s="20"/>
      <c r="V294" s="20"/>
      <c r="W294" s="20"/>
      <c r="X294" s="20"/>
      <c r="Y294" s="20"/>
      <c r="Z294" s="20"/>
      <c r="AA294" s="20">
        <v>20</v>
      </c>
      <c r="AB294" s="20">
        <v>50</v>
      </c>
      <c r="AC294" s="22">
        <f t="shared" si="11"/>
        <v>1150191</v>
      </c>
      <c r="AD294" s="22">
        <f t="shared" si="12"/>
        <v>2875431</v>
      </c>
    </row>
    <row r="295" spans="1:30" x14ac:dyDescent="0.25">
      <c r="A295" s="13">
        <v>354</v>
      </c>
      <c r="B295" s="14" t="s">
        <v>628</v>
      </c>
      <c r="C295" s="26" t="s">
        <v>629</v>
      </c>
      <c r="D295" s="14" t="s">
        <v>42</v>
      </c>
      <c r="E295" s="20">
        <v>78</v>
      </c>
      <c r="F295" s="20">
        <v>192</v>
      </c>
      <c r="G295" s="20">
        <v>3582</v>
      </c>
      <c r="H295" s="20">
        <v>8947</v>
      </c>
      <c r="I295" s="20"/>
      <c r="J295" s="20"/>
      <c r="K295" s="20">
        <v>5966</v>
      </c>
      <c r="L295" s="20">
        <v>14903</v>
      </c>
      <c r="M295" s="20"/>
      <c r="N295" s="20"/>
      <c r="O295" s="20"/>
      <c r="P295" s="20"/>
      <c r="Q295" s="20"/>
      <c r="R295" s="20"/>
      <c r="S295" s="20">
        <v>420</v>
      </c>
      <c r="T295" s="20">
        <v>1050</v>
      </c>
      <c r="U295" s="20"/>
      <c r="V295" s="20"/>
      <c r="W295" s="20"/>
      <c r="X295" s="20"/>
      <c r="Y295" s="20"/>
      <c r="Z295" s="20"/>
      <c r="AA295" s="20"/>
      <c r="AB295" s="20"/>
      <c r="AC295" s="22">
        <f t="shared" si="11"/>
        <v>10046</v>
      </c>
      <c r="AD295" s="22">
        <f t="shared" si="12"/>
        <v>25092</v>
      </c>
    </row>
    <row r="296" spans="1:30" x14ac:dyDescent="0.25">
      <c r="A296" s="13">
        <v>355</v>
      </c>
      <c r="B296" s="14" t="s">
        <v>630</v>
      </c>
      <c r="C296" s="26" t="s">
        <v>631</v>
      </c>
      <c r="D296" s="14" t="s">
        <v>42</v>
      </c>
      <c r="E296" s="20">
        <v>346</v>
      </c>
      <c r="F296" s="20">
        <v>864</v>
      </c>
      <c r="G296" s="20">
        <v>6149</v>
      </c>
      <c r="H296" s="20">
        <v>15359</v>
      </c>
      <c r="I296" s="20"/>
      <c r="J296" s="20"/>
      <c r="K296" s="20">
        <v>2875</v>
      </c>
      <c r="L296" s="20">
        <v>7178</v>
      </c>
      <c r="M296" s="20"/>
      <c r="N296" s="20"/>
      <c r="O296" s="20"/>
      <c r="P296" s="20"/>
      <c r="Q296" s="20"/>
      <c r="R296" s="20"/>
      <c r="S296" s="20">
        <v>108</v>
      </c>
      <c r="T296" s="20">
        <v>266</v>
      </c>
      <c r="U296" s="20"/>
      <c r="V296" s="20"/>
      <c r="W296" s="20"/>
      <c r="X296" s="20"/>
      <c r="Y296" s="20"/>
      <c r="Z296" s="20"/>
      <c r="AA296" s="20"/>
      <c r="AB296" s="20"/>
      <c r="AC296" s="22">
        <f t="shared" si="11"/>
        <v>9478</v>
      </c>
      <c r="AD296" s="22">
        <f t="shared" si="12"/>
        <v>23667</v>
      </c>
    </row>
    <row r="297" spans="1:30" x14ac:dyDescent="0.25">
      <c r="A297" s="13">
        <v>356</v>
      </c>
      <c r="B297" s="14" t="s">
        <v>632</v>
      </c>
      <c r="C297" s="26" t="s">
        <v>633</v>
      </c>
      <c r="D297" s="14" t="s">
        <v>42</v>
      </c>
      <c r="E297" s="20"/>
      <c r="F297" s="20"/>
      <c r="G297" s="20">
        <v>422</v>
      </c>
      <c r="H297" s="20">
        <v>1047</v>
      </c>
      <c r="I297" s="20"/>
      <c r="J297" s="20"/>
      <c r="K297" s="20">
        <v>3431</v>
      </c>
      <c r="L297" s="20">
        <v>8572</v>
      </c>
      <c r="M297" s="20"/>
      <c r="N297" s="20"/>
      <c r="O297" s="20"/>
      <c r="P297" s="20"/>
      <c r="Q297" s="20"/>
      <c r="R297" s="20"/>
      <c r="S297" s="20">
        <v>160</v>
      </c>
      <c r="T297" s="20">
        <v>400</v>
      </c>
      <c r="U297" s="20"/>
      <c r="V297" s="20"/>
      <c r="W297" s="20"/>
      <c r="X297" s="20"/>
      <c r="Y297" s="20"/>
      <c r="Z297" s="20"/>
      <c r="AA297" s="20"/>
      <c r="AB297" s="20"/>
      <c r="AC297" s="22">
        <f t="shared" si="11"/>
        <v>4013</v>
      </c>
      <c r="AD297" s="22">
        <f t="shared" si="12"/>
        <v>10019</v>
      </c>
    </row>
    <row r="298" spans="1:30" x14ac:dyDescent="0.25">
      <c r="A298" s="13">
        <v>357</v>
      </c>
      <c r="B298" s="14" t="s">
        <v>634</v>
      </c>
      <c r="C298" s="26" t="s">
        <v>635</v>
      </c>
      <c r="D298" s="14" t="s">
        <v>42</v>
      </c>
      <c r="E298" s="20">
        <v>197456</v>
      </c>
      <c r="F298" s="20">
        <v>493638</v>
      </c>
      <c r="G298" s="20">
        <v>870</v>
      </c>
      <c r="H298" s="20">
        <v>2165</v>
      </c>
      <c r="I298" s="20">
        <v>87680</v>
      </c>
      <c r="J298" s="20">
        <v>219200</v>
      </c>
      <c r="K298" s="20">
        <v>10331</v>
      </c>
      <c r="L298" s="20">
        <v>25818</v>
      </c>
      <c r="M298" s="20"/>
      <c r="N298" s="20"/>
      <c r="O298" s="20"/>
      <c r="P298" s="20"/>
      <c r="Q298" s="20"/>
      <c r="R298" s="20"/>
      <c r="S298" s="20"/>
      <c r="T298" s="20"/>
      <c r="U298" s="20"/>
      <c r="V298" s="20"/>
      <c r="W298" s="20"/>
      <c r="X298" s="20"/>
      <c r="Y298" s="20"/>
      <c r="Z298" s="20"/>
      <c r="AA298" s="20"/>
      <c r="AB298" s="20"/>
      <c r="AC298" s="22">
        <f t="shared" si="11"/>
        <v>296337</v>
      </c>
      <c r="AD298" s="22">
        <f t="shared" si="12"/>
        <v>740821</v>
      </c>
    </row>
    <row r="299" spans="1:30" x14ac:dyDescent="0.25">
      <c r="A299" s="13">
        <v>358</v>
      </c>
      <c r="B299" s="14" t="s">
        <v>636</v>
      </c>
      <c r="C299" s="26" t="s">
        <v>637</v>
      </c>
      <c r="D299" s="14" t="s">
        <v>42</v>
      </c>
      <c r="E299" s="20">
        <v>46600</v>
      </c>
      <c r="F299" s="20">
        <v>116496</v>
      </c>
      <c r="G299" s="20">
        <v>32850</v>
      </c>
      <c r="H299" s="20">
        <v>82089</v>
      </c>
      <c r="I299" s="20">
        <v>1644</v>
      </c>
      <c r="J299" s="20">
        <v>4110</v>
      </c>
      <c r="K299" s="20">
        <v>2798</v>
      </c>
      <c r="L299" s="20">
        <v>6982</v>
      </c>
      <c r="M299" s="20"/>
      <c r="N299" s="20"/>
      <c r="O299" s="20"/>
      <c r="P299" s="20"/>
      <c r="Q299" s="20"/>
      <c r="R299" s="20"/>
      <c r="S299" s="20"/>
      <c r="T299" s="20"/>
      <c r="U299" s="20"/>
      <c r="V299" s="20"/>
      <c r="W299" s="20"/>
      <c r="X299" s="20"/>
      <c r="Y299" s="20"/>
      <c r="Z299" s="20"/>
      <c r="AA299" s="20"/>
      <c r="AB299" s="20"/>
      <c r="AC299" s="22">
        <f t="shared" si="11"/>
        <v>83892</v>
      </c>
      <c r="AD299" s="22">
        <f t="shared" si="12"/>
        <v>209677</v>
      </c>
    </row>
    <row r="300" spans="1:30" x14ac:dyDescent="0.25">
      <c r="A300" s="13">
        <v>359</v>
      </c>
      <c r="B300" s="14" t="s">
        <v>638</v>
      </c>
      <c r="C300" s="26" t="s">
        <v>639</v>
      </c>
      <c r="D300" s="14" t="s">
        <v>42</v>
      </c>
      <c r="E300" s="20">
        <v>974</v>
      </c>
      <c r="F300" s="20">
        <v>2432</v>
      </c>
      <c r="G300" s="20">
        <v>208</v>
      </c>
      <c r="H300" s="20">
        <v>517</v>
      </c>
      <c r="I300" s="20"/>
      <c r="J300" s="20"/>
      <c r="K300" s="20">
        <v>3800</v>
      </c>
      <c r="L300" s="20">
        <v>9500</v>
      </c>
      <c r="M300" s="20">
        <v>4476</v>
      </c>
      <c r="N300" s="20">
        <v>11190</v>
      </c>
      <c r="O300" s="20"/>
      <c r="P300" s="20"/>
      <c r="Q300" s="20"/>
      <c r="R300" s="20"/>
      <c r="S300" s="20">
        <v>72</v>
      </c>
      <c r="T300" s="20">
        <v>180</v>
      </c>
      <c r="U300" s="20"/>
      <c r="V300" s="20"/>
      <c r="W300" s="20"/>
      <c r="X300" s="20"/>
      <c r="Y300" s="20"/>
      <c r="Z300" s="20"/>
      <c r="AA300" s="20"/>
      <c r="AB300" s="20"/>
      <c r="AC300" s="22">
        <f t="shared" si="11"/>
        <v>9530</v>
      </c>
      <c r="AD300" s="22">
        <f t="shared" si="12"/>
        <v>23819</v>
      </c>
    </row>
    <row r="301" spans="1:30" x14ac:dyDescent="0.25">
      <c r="A301" s="13">
        <v>361</v>
      </c>
      <c r="B301" s="14" t="s">
        <v>640</v>
      </c>
      <c r="C301" s="26" t="s">
        <v>641</v>
      </c>
      <c r="D301" s="14" t="s">
        <v>42</v>
      </c>
      <c r="E301" s="20">
        <v>1624</v>
      </c>
      <c r="F301" s="20">
        <v>4056</v>
      </c>
      <c r="G301" s="20">
        <v>28476</v>
      </c>
      <c r="H301" s="20">
        <v>71151</v>
      </c>
      <c r="I301" s="20">
        <v>548</v>
      </c>
      <c r="J301" s="20">
        <v>1370</v>
      </c>
      <c r="K301" s="20">
        <v>4784</v>
      </c>
      <c r="L301" s="20">
        <v>11953</v>
      </c>
      <c r="M301" s="20"/>
      <c r="N301" s="20"/>
      <c r="O301" s="20"/>
      <c r="P301" s="20"/>
      <c r="Q301" s="20"/>
      <c r="R301" s="20"/>
      <c r="S301" s="20"/>
      <c r="T301" s="20"/>
      <c r="U301" s="20"/>
      <c r="V301" s="20"/>
      <c r="W301" s="20"/>
      <c r="X301" s="20"/>
      <c r="Y301" s="20"/>
      <c r="Z301" s="20"/>
      <c r="AA301" s="20">
        <v>10</v>
      </c>
      <c r="AB301" s="20">
        <v>24</v>
      </c>
      <c r="AC301" s="22">
        <f t="shared" si="11"/>
        <v>35442</v>
      </c>
      <c r="AD301" s="22">
        <f t="shared" si="12"/>
        <v>88554</v>
      </c>
    </row>
    <row r="302" spans="1:30" x14ac:dyDescent="0.25">
      <c r="A302" s="13">
        <v>365</v>
      </c>
      <c r="B302" s="14" t="s">
        <v>642</v>
      </c>
      <c r="C302" s="26" t="s">
        <v>643</v>
      </c>
      <c r="D302" s="14" t="s">
        <v>42</v>
      </c>
      <c r="E302" s="20">
        <v>97275</v>
      </c>
      <c r="F302" s="20">
        <v>243187</v>
      </c>
      <c r="G302" s="20">
        <v>169962</v>
      </c>
      <c r="H302" s="20">
        <v>424854</v>
      </c>
      <c r="I302" s="20"/>
      <c r="J302" s="20"/>
      <c r="K302" s="20">
        <v>38136</v>
      </c>
      <c r="L302" s="20">
        <v>95336</v>
      </c>
      <c r="M302" s="20"/>
      <c r="N302" s="20"/>
      <c r="O302" s="20"/>
      <c r="P302" s="20"/>
      <c r="Q302" s="20"/>
      <c r="R302" s="20"/>
      <c r="S302" s="20"/>
      <c r="T302" s="20"/>
      <c r="U302" s="20"/>
      <c r="V302" s="20"/>
      <c r="W302" s="20"/>
      <c r="X302" s="20"/>
      <c r="Y302" s="20"/>
      <c r="Z302" s="20"/>
      <c r="AA302" s="20">
        <v>8</v>
      </c>
      <c r="AB302" s="20">
        <v>20</v>
      </c>
      <c r="AC302" s="22">
        <f t="shared" si="11"/>
        <v>305381</v>
      </c>
      <c r="AD302" s="22">
        <f t="shared" si="12"/>
        <v>763397</v>
      </c>
    </row>
    <row r="303" spans="1:30" x14ac:dyDescent="0.25">
      <c r="A303" s="13">
        <v>366</v>
      </c>
      <c r="B303" s="14" t="s">
        <v>644</v>
      </c>
      <c r="C303" s="26" t="s">
        <v>645</v>
      </c>
      <c r="D303" s="14" t="s">
        <v>42</v>
      </c>
      <c r="E303" s="20">
        <v>822079</v>
      </c>
      <c r="F303" s="20">
        <v>2055197</v>
      </c>
      <c r="G303" s="20">
        <v>17341</v>
      </c>
      <c r="H303" s="20">
        <v>43339</v>
      </c>
      <c r="I303" s="20">
        <v>104256</v>
      </c>
      <c r="J303" s="20">
        <v>260640</v>
      </c>
      <c r="K303" s="20">
        <v>38968</v>
      </c>
      <c r="L303" s="20">
        <v>97406</v>
      </c>
      <c r="M303" s="20"/>
      <c r="N303" s="20"/>
      <c r="O303" s="20"/>
      <c r="P303" s="20"/>
      <c r="Q303" s="20"/>
      <c r="R303" s="20"/>
      <c r="S303" s="20"/>
      <c r="T303" s="20"/>
      <c r="U303" s="20"/>
      <c r="V303" s="20"/>
      <c r="W303" s="20"/>
      <c r="X303" s="20"/>
      <c r="Y303" s="20"/>
      <c r="Z303" s="20"/>
      <c r="AA303" s="20">
        <v>4</v>
      </c>
      <c r="AB303" s="20">
        <v>10</v>
      </c>
      <c r="AC303" s="22">
        <f t="shared" si="11"/>
        <v>982648</v>
      </c>
      <c r="AD303" s="22">
        <f t="shared" si="12"/>
        <v>2456592</v>
      </c>
    </row>
    <row r="304" spans="1:30" x14ac:dyDescent="0.25">
      <c r="A304" s="13">
        <v>370</v>
      </c>
      <c r="B304" s="14" t="s">
        <v>646</v>
      </c>
      <c r="C304" s="26" t="s">
        <v>647</v>
      </c>
      <c r="D304" s="14" t="s">
        <v>42</v>
      </c>
      <c r="E304" s="20">
        <v>48203</v>
      </c>
      <c r="F304" s="20">
        <v>120505</v>
      </c>
      <c r="G304" s="20">
        <v>2621</v>
      </c>
      <c r="H304" s="20">
        <v>6455</v>
      </c>
      <c r="I304" s="20">
        <v>1644</v>
      </c>
      <c r="J304" s="20">
        <v>4110</v>
      </c>
      <c r="K304" s="20">
        <v>4303</v>
      </c>
      <c r="L304" s="20">
        <v>10736</v>
      </c>
      <c r="M304" s="20"/>
      <c r="N304" s="20"/>
      <c r="O304" s="20"/>
      <c r="P304" s="20"/>
      <c r="Q304" s="20"/>
      <c r="R304" s="20"/>
      <c r="S304" s="20"/>
      <c r="T304" s="20"/>
      <c r="U304" s="20"/>
      <c r="V304" s="20"/>
      <c r="W304" s="20"/>
      <c r="X304" s="20"/>
      <c r="Y304" s="20"/>
      <c r="Z304" s="20"/>
      <c r="AA304" s="20"/>
      <c r="AB304" s="20"/>
      <c r="AC304" s="22">
        <f t="shared" si="11"/>
        <v>56771</v>
      </c>
      <c r="AD304" s="22">
        <f t="shared" si="12"/>
        <v>141806</v>
      </c>
    </row>
    <row r="305" spans="1:30" x14ac:dyDescent="0.25">
      <c r="A305" s="13">
        <v>371</v>
      </c>
      <c r="B305" s="14" t="s">
        <v>648</v>
      </c>
      <c r="C305" s="26" t="s">
        <v>649</v>
      </c>
      <c r="D305" s="14" t="s">
        <v>42</v>
      </c>
      <c r="E305" s="20">
        <v>55</v>
      </c>
      <c r="F305" s="20">
        <v>136</v>
      </c>
      <c r="G305" s="20">
        <v>1503</v>
      </c>
      <c r="H305" s="20">
        <v>3671</v>
      </c>
      <c r="I305" s="20">
        <v>2478</v>
      </c>
      <c r="J305" s="20">
        <v>6193</v>
      </c>
      <c r="K305" s="20">
        <v>4266</v>
      </c>
      <c r="L305" s="20">
        <v>10653</v>
      </c>
      <c r="M305" s="20">
        <v>400</v>
      </c>
      <c r="N305" s="20">
        <v>1000</v>
      </c>
      <c r="O305" s="20"/>
      <c r="P305" s="20"/>
      <c r="Q305" s="20"/>
      <c r="R305" s="20"/>
      <c r="S305" s="20"/>
      <c r="T305" s="20"/>
      <c r="U305" s="20"/>
      <c r="V305" s="20"/>
      <c r="W305" s="20"/>
      <c r="X305" s="20"/>
      <c r="Y305" s="20"/>
      <c r="Z305" s="20"/>
      <c r="AA305" s="20"/>
      <c r="AB305" s="20"/>
      <c r="AC305" s="22">
        <f t="shared" si="11"/>
        <v>8702</v>
      </c>
      <c r="AD305" s="22">
        <f t="shared" si="12"/>
        <v>21653</v>
      </c>
    </row>
    <row r="306" spans="1:30" x14ac:dyDescent="0.25">
      <c r="A306" s="13">
        <v>372</v>
      </c>
      <c r="B306" s="14" t="s">
        <v>650</v>
      </c>
      <c r="C306" s="26" t="s">
        <v>651</v>
      </c>
      <c r="D306" s="14" t="s">
        <v>42</v>
      </c>
      <c r="E306" s="20">
        <v>15512</v>
      </c>
      <c r="F306" s="20">
        <v>38778</v>
      </c>
      <c r="G306" s="20">
        <v>6975</v>
      </c>
      <c r="H306" s="20">
        <v>17323</v>
      </c>
      <c r="I306" s="20">
        <v>4384</v>
      </c>
      <c r="J306" s="20">
        <v>10960</v>
      </c>
      <c r="K306" s="20">
        <v>5879</v>
      </c>
      <c r="L306" s="20">
        <v>14689</v>
      </c>
      <c r="M306" s="20"/>
      <c r="N306" s="20"/>
      <c r="O306" s="20"/>
      <c r="P306" s="20"/>
      <c r="Q306" s="20"/>
      <c r="R306" s="20"/>
      <c r="S306" s="20"/>
      <c r="T306" s="20"/>
      <c r="U306" s="20"/>
      <c r="V306" s="20"/>
      <c r="W306" s="20"/>
      <c r="X306" s="20"/>
      <c r="Y306" s="20"/>
      <c r="Z306" s="20"/>
      <c r="AA306" s="20"/>
      <c r="AB306" s="20"/>
      <c r="AC306" s="22">
        <f t="shared" si="11"/>
        <v>32750</v>
      </c>
      <c r="AD306" s="22">
        <f t="shared" si="12"/>
        <v>81750</v>
      </c>
    </row>
    <row r="307" spans="1:30" x14ac:dyDescent="0.25">
      <c r="A307" s="13">
        <v>373</v>
      </c>
      <c r="B307" s="14" t="s">
        <v>652</v>
      </c>
      <c r="C307" s="26" t="s">
        <v>653</v>
      </c>
      <c r="D307" s="14" t="s">
        <v>42</v>
      </c>
      <c r="E307" s="20">
        <v>39128</v>
      </c>
      <c r="F307" s="20">
        <v>97818</v>
      </c>
      <c r="G307" s="20">
        <v>30984</v>
      </c>
      <c r="H307" s="20">
        <v>77404</v>
      </c>
      <c r="I307" s="20">
        <v>3727</v>
      </c>
      <c r="J307" s="20">
        <v>9316</v>
      </c>
      <c r="K307" s="20">
        <v>15283</v>
      </c>
      <c r="L307" s="20">
        <v>38196</v>
      </c>
      <c r="M307" s="20"/>
      <c r="N307" s="20"/>
      <c r="O307" s="20"/>
      <c r="P307" s="20"/>
      <c r="Q307" s="20"/>
      <c r="R307" s="20"/>
      <c r="S307" s="20"/>
      <c r="T307" s="20"/>
      <c r="U307" s="20"/>
      <c r="V307" s="20"/>
      <c r="W307" s="20"/>
      <c r="X307" s="20"/>
      <c r="Y307" s="20"/>
      <c r="Z307" s="20"/>
      <c r="AA307" s="20"/>
      <c r="AB307" s="20"/>
      <c r="AC307" s="22">
        <f t="shared" si="11"/>
        <v>89122</v>
      </c>
      <c r="AD307" s="22">
        <f t="shared" si="12"/>
        <v>222734</v>
      </c>
    </row>
    <row r="308" spans="1:30" x14ac:dyDescent="0.25">
      <c r="A308" s="13">
        <v>374</v>
      </c>
      <c r="B308" s="14" t="s">
        <v>654</v>
      </c>
      <c r="C308" s="26" t="s">
        <v>655</v>
      </c>
      <c r="D308" s="14" t="s">
        <v>42</v>
      </c>
      <c r="E308" s="20">
        <v>7384</v>
      </c>
      <c r="F308" s="20">
        <v>18458</v>
      </c>
      <c r="G308" s="20">
        <v>19368</v>
      </c>
      <c r="H308" s="20">
        <v>48272</v>
      </c>
      <c r="I308" s="20">
        <v>1373</v>
      </c>
      <c r="J308" s="20">
        <v>3432</v>
      </c>
      <c r="K308" s="20">
        <v>4980</v>
      </c>
      <c r="L308" s="20">
        <v>12405</v>
      </c>
      <c r="M308" s="20"/>
      <c r="N308" s="20"/>
      <c r="O308" s="20"/>
      <c r="P308" s="20"/>
      <c r="Q308" s="20"/>
      <c r="R308" s="20"/>
      <c r="S308" s="20"/>
      <c r="T308" s="20"/>
      <c r="U308" s="20"/>
      <c r="V308" s="20"/>
      <c r="W308" s="20"/>
      <c r="X308" s="20"/>
      <c r="Y308" s="20"/>
      <c r="Z308" s="20"/>
      <c r="AA308" s="20"/>
      <c r="AB308" s="20"/>
      <c r="AC308" s="22">
        <f t="shared" si="11"/>
        <v>33105</v>
      </c>
      <c r="AD308" s="22">
        <f t="shared" si="12"/>
        <v>82567</v>
      </c>
    </row>
    <row r="309" spans="1:30" x14ac:dyDescent="0.25">
      <c r="A309" s="13">
        <v>376</v>
      </c>
      <c r="B309" s="14" t="s">
        <v>656</v>
      </c>
      <c r="C309" s="26" t="s">
        <v>657</v>
      </c>
      <c r="D309" s="14" t="s">
        <v>42</v>
      </c>
      <c r="E309" s="20">
        <v>4211</v>
      </c>
      <c r="F309" s="20">
        <v>10527</v>
      </c>
      <c r="G309" s="20">
        <v>2160</v>
      </c>
      <c r="H309" s="20">
        <v>5320</v>
      </c>
      <c r="I309" s="20">
        <v>375</v>
      </c>
      <c r="J309" s="20">
        <v>936</v>
      </c>
      <c r="K309" s="20">
        <v>1399</v>
      </c>
      <c r="L309" s="20">
        <v>3479</v>
      </c>
      <c r="M309" s="20"/>
      <c r="N309" s="20"/>
      <c r="O309" s="20"/>
      <c r="P309" s="20"/>
      <c r="Q309" s="20"/>
      <c r="R309" s="20"/>
      <c r="S309" s="20"/>
      <c r="T309" s="20"/>
      <c r="U309" s="20"/>
      <c r="V309" s="20"/>
      <c r="W309" s="20"/>
      <c r="X309" s="20"/>
      <c r="Y309" s="20"/>
      <c r="Z309" s="20"/>
      <c r="AA309" s="20"/>
      <c r="AB309" s="20"/>
      <c r="AC309" s="22">
        <f t="shared" si="11"/>
        <v>8145</v>
      </c>
      <c r="AD309" s="22">
        <f t="shared" si="12"/>
        <v>20262</v>
      </c>
    </row>
    <row r="310" spans="1:30" x14ac:dyDescent="0.25">
      <c r="A310" s="13">
        <v>377</v>
      </c>
      <c r="B310" s="14" t="s">
        <v>658</v>
      </c>
      <c r="C310" s="26" t="s">
        <v>659</v>
      </c>
      <c r="D310" s="14" t="s">
        <v>42</v>
      </c>
      <c r="E310" s="20">
        <v>2040</v>
      </c>
      <c r="F310" s="20">
        <v>5096</v>
      </c>
      <c r="G310" s="20">
        <v>960</v>
      </c>
      <c r="H310" s="20">
        <v>2360</v>
      </c>
      <c r="I310" s="20">
        <v>24</v>
      </c>
      <c r="J310" s="20">
        <v>60</v>
      </c>
      <c r="K310" s="20">
        <v>903</v>
      </c>
      <c r="L310" s="20">
        <v>2256</v>
      </c>
      <c r="M310" s="20"/>
      <c r="N310" s="20"/>
      <c r="O310" s="20"/>
      <c r="P310" s="20"/>
      <c r="Q310" s="20"/>
      <c r="R310" s="20"/>
      <c r="S310" s="20"/>
      <c r="T310" s="20"/>
      <c r="U310" s="20"/>
      <c r="V310" s="20"/>
      <c r="W310" s="20"/>
      <c r="X310" s="20"/>
      <c r="Y310" s="20"/>
      <c r="Z310" s="20"/>
      <c r="AA310" s="20"/>
      <c r="AB310" s="20"/>
      <c r="AC310" s="22">
        <f t="shared" si="11"/>
        <v>3927</v>
      </c>
      <c r="AD310" s="22">
        <f t="shared" si="12"/>
        <v>9772</v>
      </c>
    </row>
    <row r="311" spans="1:30" x14ac:dyDescent="0.25">
      <c r="A311" s="13">
        <v>380</v>
      </c>
      <c r="B311" s="14" t="s">
        <v>660</v>
      </c>
      <c r="C311" s="26" t="s">
        <v>661</v>
      </c>
      <c r="D311" s="14" t="s">
        <v>42</v>
      </c>
      <c r="E311" s="20">
        <v>6064698</v>
      </c>
      <c r="F311" s="20">
        <v>15161742</v>
      </c>
      <c r="G311" s="20">
        <v>1533789</v>
      </c>
      <c r="H311" s="20">
        <v>3834392</v>
      </c>
      <c r="I311" s="20">
        <v>1162197</v>
      </c>
      <c r="J311" s="20">
        <v>2905492</v>
      </c>
      <c r="K311" s="20">
        <v>316354</v>
      </c>
      <c r="L311" s="20">
        <v>790867</v>
      </c>
      <c r="M311" s="20">
        <v>70770</v>
      </c>
      <c r="N311" s="20">
        <v>176922</v>
      </c>
      <c r="O311" s="20">
        <v>23109</v>
      </c>
      <c r="P311" s="20">
        <v>57772</v>
      </c>
      <c r="Q311" s="20"/>
      <c r="R311" s="20"/>
      <c r="S311" s="20">
        <v>8840</v>
      </c>
      <c r="T311" s="20">
        <v>22100</v>
      </c>
      <c r="U311" s="20"/>
      <c r="V311" s="20"/>
      <c r="W311" s="20"/>
      <c r="X311" s="20"/>
      <c r="Y311" s="20"/>
      <c r="Z311" s="20"/>
      <c r="AA311" s="20">
        <v>92</v>
      </c>
      <c r="AB311" s="20">
        <v>230</v>
      </c>
      <c r="AC311" s="22">
        <f t="shared" si="11"/>
        <v>9179849</v>
      </c>
      <c r="AD311" s="22">
        <f t="shared" si="12"/>
        <v>22949517</v>
      </c>
    </row>
    <row r="312" spans="1:30" x14ac:dyDescent="0.25">
      <c r="A312" s="13">
        <v>381</v>
      </c>
      <c r="B312" s="14" t="s">
        <v>662</v>
      </c>
      <c r="C312" s="26" t="s">
        <v>663</v>
      </c>
      <c r="D312" s="14" t="s">
        <v>42</v>
      </c>
      <c r="E312" s="20">
        <v>124788</v>
      </c>
      <c r="F312" s="20">
        <v>311970</v>
      </c>
      <c r="G312" s="20">
        <v>71331</v>
      </c>
      <c r="H312" s="20">
        <v>178298</v>
      </c>
      <c r="I312" s="20"/>
      <c r="J312" s="20"/>
      <c r="K312" s="20">
        <v>7286</v>
      </c>
      <c r="L312" s="20">
        <v>18202</v>
      </c>
      <c r="M312" s="20"/>
      <c r="N312" s="20"/>
      <c r="O312" s="20"/>
      <c r="P312" s="20"/>
      <c r="Q312" s="20"/>
      <c r="R312" s="20"/>
      <c r="S312" s="20"/>
      <c r="T312" s="20"/>
      <c r="U312" s="20"/>
      <c r="V312" s="20"/>
      <c r="W312" s="20"/>
      <c r="X312" s="20"/>
      <c r="Y312" s="20"/>
      <c r="Z312" s="20"/>
      <c r="AA312" s="20"/>
      <c r="AB312" s="20"/>
      <c r="AC312" s="22">
        <f t="shared" si="11"/>
        <v>203405</v>
      </c>
      <c r="AD312" s="22">
        <f t="shared" si="12"/>
        <v>508470</v>
      </c>
    </row>
    <row r="313" spans="1:30" x14ac:dyDescent="0.25">
      <c r="A313" s="13">
        <v>382</v>
      </c>
      <c r="B313" s="14" t="s">
        <v>664</v>
      </c>
      <c r="C313" s="26" t="s">
        <v>665</v>
      </c>
      <c r="D313" s="14" t="s">
        <v>42</v>
      </c>
      <c r="E313" s="20"/>
      <c r="F313" s="20"/>
      <c r="G313" s="20">
        <v>195</v>
      </c>
      <c r="H313" s="20">
        <v>486</v>
      </c>
      <c r="I313" s="20"/>
      <c r="J313" s="20"/>
      <c r="K313" s="20">
        <v>404</v>
      </c>
      <c r="L313" s="20">
        <v>1010</v>
      </c>
      <c r="M313" s="20"/>
      <c r="N313" s="20"/>
      <c r="O313" s="20"/>
      <c r="P313" s="20"/>
      <c r="Q313" s="20"/>
      <c r="R313" s="20"/>
      <c r="S313" s="20"/>
      <c r="T313" s="20"/>
      <c r="U313" s="20"/>
      <c r="V313" s="20"/>
      <c r="W313" s="20"/>
      <c r="X313" s="20"/>
      <c r="Y313" s="20"/>
      <c r="Z313" s="20"/>
      <c r="AA313" s="20"/>
      <c r="AB313" s="20"/>
      <c r="AC313" s="22">
        <f t="shared" si="11"/>
        <v>599</v>
      </c>
      <c r="AD313" s="22">
        <f t="shared" si="12"/>
        <v>1496</v>
      </c>
    </row>
    <row r="314" spans="1:30" x14ac:dyDescent="0.25">
      <c r="A314" s="13">
        <v>384</v>
      </c>
      <c r="B314" s="14" t="s">
        <v>666</v>
      </c>
      <c r="C314" s="26" t="s">
        <v>667</v>
      </c>
      <c r="D314" s="14" t="s">
        <v>42</v>
      </c>
      <c r="E314" s="20">
        <v>974931</v>
      </c>
      <c r="F314" s="20">
        <v>2437325</v>
      </c>
      <c r="G314" s="20">
        <v>188527</v>
      </c>
      <c r="H314" s="20">
        <v>471281</v>
      </c>
      <c r="I314" s="20">
        <v>513846</v>
      </c>
      <c r="J314" s="20">
        <v>1284614</v>
      </c>
      <c r="K314" s="20">
        <v>14327</v>
      </c>
      <c r="L314" s="20">
        <v>35785</v>
      </c>
      <c r="M314" s="20"/>
      <c r="N314" s="20"/>
      <c r="O314" s="20">
        <v>4405</v>
      </c>
      <c r="P314" s="20">
        <v>11011</v>
      </c>
      <c r="Q314" s="20"/>
      <c r="R314" s="20"/>
      <c r="S314" s="20">
        <v>1436</v>
      </c>
      <c r="T314" s="20">
        <v>3590</v>
      </c>
      <c r="U314" s="20"/>
      <c r="V314" s="20"/>
      <c r="W314" s="20"/>
      <c r="X314" s="20"/>
      <c r="Y314" s="20"/>
      <c r="Z314" s="20"/>
      <c r="AA314" s="20">
        <v>4</v>
      </c>
      <c r="AB314" s="20">
        <v>10</v>
      </c>
      <c r="AC314" s="22">
        <f t="shared" si="11"/>
        <v>1697476</v>
      </c>
      <c r="AD314" s="22">
        <f t="shared" si="12"/>
        <v>4243616</v>
      </c>
    </row>
    <row r="315" spans="1:30" x14ac:dyDescent="0.25">
      <c r="A315" s="13">
        <v>387</v>
      </c>
      <c r="B315" s="14" t="s">
        <v>668</v>
      </c>
      <c r="C315" s="26" t="s">
        <v>669</v>
      </c>
      <c r="D315" s="14" t="s">
        <v>42</v>
      </c>
      <c r="E315" s="20">
        <v>1416325</v>
      </c>
      <c r="F315" s="20">
        <v>3540812</v>
      </c>
      <c r="G315" s="20">
        <v>518908</v>
      </c>
      <c r="H315" s="20">
        <v>1297191</v>
      </c>
      <c r="I315" s="20">
        <v>173160</v>
      </c>
      <c r="J315" s="20">
        <v>432900</v>
      </c>
      <c r="K315" s="20">
        <v>184442</v>
      </c>
      <c r="L315" s="20">
        <v>461087</v>
      </c>
      <c r="M315" s="20">
        <v>5924</v>
      </c>
      <c r="N315" s="20">
        <v>14810</v>
      </c>
      <c r="O315" s="20">
        <v>5140</v>
      </c>
      <c r="P315" s="20">
        <v>12848</v>
      </c>
      <c r="Q315" s="20"/>
      <c r="R315" s="20"/>
      <c r="S315" s="20">
        <v>164</v>
      </c>
      <c r="T315" s="20">
        <v>410</v>
      </c>
      <c r="U315" s="20"/>
      <c r="V315" s="20"/>
      <c r="W315" s="20"/>
      <c r="X315" s="20"/>
      <c r="Y315" s="20"/>
      <c r="Z315" s="20"/>
      <c r="AA315" s="20"/>
      <c r="AB315" s="20"/>
      <c r="AC315" s="22">
        <f t="shared" si="11"/>
        <v>2304063</v>
      </c>
      <c r="AD315" s="22">
        <f t="shared" si="12"/>
        <v>5760058</v>
      </c>
    </row>
    <row r="316" spans="1:30" x14ac:dyDescent="0.25">
      <c r="A316" s="13">
        <v>388</v>
      </c>
      <c r="B316" s="14" t="s">
        <v>670</v>
      </c>
      <c r="C316" s="26" t="s">
        <v>671</v>
      </c>
      <c r="D316" s="14" t="s">
        <v>42</v>
      </c>
      <c r="E316" s="20">
        <v>77124</v>
      </c>
      <c r="F316" s="20">
        <v>192806</v>
      </c>
      <c r="G316" s="20">
        <v>13040</v>
      </c>
      <c r="H316" s="20">
        <v>32585</v>
      </c>
      <c r="I316" s="20"/>
      <c r="J316" s="20"/>
      <c r="K316" s="20">
        <v>2652</v>
      </c>
      <c r="L316" s="20">
        <v>6623</v>
      </c>
      <c r="M316" s="20">
        <v>6024</v>
      </c>
      <c r="N316" s="20">
        <v>15056</v>
      </c>
      <c r="O316" s="20"/>
      <c r="P316" s="20"/>
      <c r="Q316" s="20"/>
      <c r="R316" s="20"/>
      <c r="S316" s="20">
        <v>4</v>
      </c>
      <c r="T316" s="20">
        <v>10</v>
      </c>
      <c r="U316" s="20"/>
      <c r="V316" s="20"/>
      <c r="W316" s="20"/>
      <c r="X316" s="20"/>
      <c r="Y316" s="20"/>
      <c r="Z316" s="20"/>
      <c r="AA316" s="20">
        <v>8</v>
      </c>
      <c r="AB316" s="20">
        <v>20</v>
      </c>
      <c r="AC316" s="22">
        <f t="shared" si="11"/>
        <v>98852</v>
      </c>
      <c r="AD316" s="22">
        <f t="shared" si="12"/>
        <v>247100</v>
      </c>
    </row>
    <row r="317" spans="1:30" x14ac:dyDescent="0.25">
      <c r="A317" s="13">
        <v>389</v>
      </c>
      <c r="B317" s="14" t="s">
        <v>672</v>
      </c>
      <c r="C317" s="26" t="s">
        <v>673</v>
      </c>
      <c r="D317" s="14" t="s">
        <v>42</v>
      </c>
      <c r="E317" s="20">
        <v>8974204</v>
      </c>
      <c r="F317" s="20">
        <v>22435506</v>
      </c>
      <c r="G317" s="20">
        <v>1131158</v>
      </c>
      <c r="H317" s="20">
        <v>2827833</v>
      </c>
      <c r="I317" s="20">
        <v>1307682</v>
      </c>
      <c r="J317" s="20">
        <v>3269204</v>
      </c>
      <c r="K317" s="20">
        <v>13412</v>
      </c>
      <c r="L317" s="20">
        <v>33501</v>
      </c>
      <c r="M317" s="20"/>
      <c r="N317" s="20"/>
      <c r="O317" s="20">
        <v>27910</v>
      </c>
      <c r="P317" s="20">
        <v>69773</v>
      </c>
      <c r="Q317" s="20">
        <v>75252</v>
      </c>
      <c r="R317" s="20">
        <v>188130</v>
      </c>
      <c r="S317" s="20">
        <v>10032</v>
      </c>
      <c r="T317" s="20">
        <v>25080</v>
      </c>
      <c r="U317" s="20"/>
      <c r="V317" s="20"/>
      <c r="W317" s="20"/>
      <c r="X317" s="20"/>
      <c r="Y317" s="20"/>
      <c r="Z317" s="20"/>
      <c r="AA317" s="20">
        <v>308</v>
      </c>
      <c r="AB317" s="20">
        <v>770</v>
      </c>
      <c r="AC317" s="22">
        <f t="shared" si="11"/>
        <v>11539958</v>
      </c>
      <c r="AD317" s="22">
        <f t="shared" si="12"/>
        <v>28849797</v>
      </c>
    </row>
    <row r="318" spans="1:30" x14ac:dyDescent="0.25">
      <c r="A318" s="13">
        <v>391</v>
      </c>
      <c r="B318" s="14" t="s">
        <v>674</v>
      </c>
      <c r="C318" s="26" t="s">
        <v>675</v>
      </c>
      <c r="D318" s="14" t="s">
        <v>42</v>
      </c>
      <c r="E318" s="20">
        <v>2323898</v>
      </c>
      <c r="F318" s="20">
        <v>5809742</v>
      </c>
      <c r="G318" s="20">
        <v>528961</v>
      </c>
      <c r="H318" s="20">
        <v>1322351</v>
      </c>
      <c r="I318" s="20">
        <v>54800</v>
      </c>
      <c r="J318" s="20">
        <v>137000</v>
      </c>
      <c r="K318" s="20">
        <v>39178</v>
      </c>
      <c r="L318" s="20">
        <v>97924</v>
      </c>
      <c r="M318" s="20">
        <v>24780</v>
      </c>
      <c r="N318" s="20">
        <v>61946</v>
      </c>
      <c r="O318" s="20">
        <v>10635</v>
      </c>
      <c r="P318" s="20">
        <v>26587</v>
      </c>
      <c r="Q318" s="20"/>
      <c r="R318" s="20"/>
      <c r="S318" s="20">
        <v>1066</v>
      </c>
      <c r="T318" s="20">
        <v>2665</v>
      </c>
      <c r="U318" s="20"/>
      <c r="V318" s="20"/>
      <c r="W318" s="20"/>
      <c r="X318" s="20"/>
      <c r="Y318" s="20"/>
      <c r="Z318" s="20"/>
      <c r="AA318" s="20">
        <v>12</v>
      </c>
      <c r="AB318" s="20">
        <v>30</v>
      </c>
      <c r="AC318" s="22">
        <f t="shared" si="11"/>
        <v>2983330</v>
      </c>
      <c r="AD318" s="22">
        <f t="shared" si="12"/>
        <v>7458245</v>
      </c>
    </row>
    <row r="319" spans="1:30" x14ac:dyDescent="0.25">
      <c r="A319" s="13">
        <v>393</v>
      </c>
      <c r="B319" s="14" t="s">
        <v>676</v>
      </c>
      <c r="C319" s="26" t="s">
        <v>677</v>
      </c>
      <c r="D319" s="14" t="s">
        <v>42</v>
      </c>
      <c r="E319" s="20">
        <v>397286</v>
      </c>
      <c r="F319" s="20">
        <v>993214</v>
      </c>
      <c r="G319" s="20">
        <v>82552</v>
      </c>
      <c r="H319" s="20">
        <v>206338</v>
      </c>
      <c r="I319" s="20">
        <v>69763</v>
      </c>
      <c r="J319" s="20">
        <v>174406</v>
      </c>
      <c r="K319" s="20">
        <v>8680</v>
      </c>
      <c r="L319" s="20">
        <v>21669</v>
      </c>
      <c r="M319" s="20">
        <v>8192</v>
      </c>
      <c r="N319" s="20">
        <v>20480</v>
      </c>
      <c r="O319" s="20"/>
      <c r="P319" s="20"/>
      <c r="Q319" s="20"/>
      <c r="R319" s="20"/>
      <c r="S319" s="20">
        <v>382</v>
      </c>
      <c r="T319" s="20">
        <v>955</v>
      </c>
      <c r="U319" s="20"/>
      <c r="V319" s="20"/>
      <c r="W319" s="20"/>
      <c r="X319" s="20"/>
      <c r="Y319" s="20"/>
      <c r="Z319" s="20"/>
      <c r="AA319" s="20">
        <v>32</v>
      </c>
      <c r="AB319" s="20">
        <v>80</v>
      </c>
      <c r="AC319" s="22">
        <f t="shared" si="11"/>
        <v>566887</v>
      </c>
      <c r="AD319" s="22">
        <f t="shared" si="12"/>
        <v>1417142</v>
      </c>
    </row>
    <row r="320" spans="1:30" x14ac:dyDescent="0.25">
      <c r="A320" s="13">
        <v>394</v>
      </c>
      <c r="B320" s="14" t="s">
        <v>678</v>
      </c>
      <c r="C320" s="26" t="s">
        <v>679</v>
      </c>
      <c r="D320" s="14" t="s">
        <v>42</v>
      </c>
      <c r="E320" s="20">
        <v>7564</v>
      </c>
      <c r="F320" s="20">
        <v>18910</v>
      </c>
      <c r="G320" s="20">
        <v>291</v>
      </c>
      <c r="H320" s="20">
        <v>725</v>
      </c>
      <c r="I320" s="20">
        <v>80</v>
      </c>
      <c r="J320" s="20">
        <v>200</v>
      </c>
      <c r="K320" s="20"/>
      <c r="L320" s="20"/>
      <c r="M320" s="20"/>
      <c r="N320" s="20"/>
      <c r="O320" s="20"/>
      <c r="P320" s="20"/>
      <c r="Q320" s="20"/>
      <c r="R320" s="20"/>
      <c r="S320" s="20"/>
      <c r="T320" s="20"/>
      <c r="U320" s="20"/>
      <c r="V320" s="20"/>
      <c r="W320" s="20">
        <v>3036</v>
      </c>
      <c r="X320" s="20">
        <v>7543</v>
      </c>
      <c r="Y320" s="20"/>
      <c r="Z320" s="20"/>
      <c r="AA320" s="20"/>
      <c r="AB320" s="20"/>
      <c r="AC320" s="22">
        <f t="shared" si="11"/>
        <v>10971</v>
      </c>
      <c r="AD320" s="22">
        <f t="shared" si="12"/>
        <v>27378</v>
      </c>
    </row>
    <row r="321" spans="1:30" x14ac:dyDescent="0.25">
      <c r="A321" s="13">
        <v>395</v>
      </c>
      <c r="B321" s="14" t="s">
        <v>680</v>
      </c>
      <c r="C321" s="26" t="s">
        <v>681</v>
      </c>
      <c r="D321" s="14" t="s">
        <v>42</v>
      </c>
      <c r="E321" s="20">
        <v>293</v>
      </c>
      <c r="F321" s="20">
        <v>731</v>
      </c>
      <c r="G321" s="20">
        <v>40</v>
      </c>
      <c r="H321" s="20">
        <v>96</v>
      </c>
      <c r="I321" s="20"/>
      <c r="J321" s="20"/>
      <c r="K321" s="20"/>
      <c r="L321" s="20"/>
      <c r="M321" s="20"/>
      <c r="N321" s="20"/>
      <c r="O321" s="20"/>
      <c r="P321" s="20"/>
      <c r="Q321" s="20"/>
      <c r="R321" s="20"/>
      <c r="S321" s="20"/>
      <c r="T321" s="20"/>
      <c r="U321" s="20"/>
      <c r="V321" s="20"/>
      <c r="W321" s="20">
        <v>84</v>
      </c>
      <c r="X321" s="20">
        <v>200</v>
      </c>
      <c r="Y321" s="20"/>
      <c r="Z321" s="20"/>
      <c r="AA321" s="20"/>
      <c r="AB321" s="20"/>
      <c r="AC321" s="22">
        <f t="shared" si="11"/>
        <v>417</v>
      </c>
      <c r="AD321" s="22">
        <f t="shared" si="12"/>
        <v>1027</v>
      </c>
    </row>
    <row r="322" spans="1:30" x14ac:dyDescent="0.25">
      <c r="A322" s="13">
        <v>396</v>
      </c>
      <c r="B322" s="14" t="s">
        <v>682</v>
      </c>
      <c r="C322" s="26" t="s">
        <v>683</v>
      </c>
      <c r="D322" s="14" t="s">
        <v>42</v>
      </c>
      <c r="E322" s="20">
        <v>802</v>
      </c>
      <c r="F322" s="20">
        <v>2004</v>
      </c>
      <c r="G322" s="20">
        <v>107</v>
      </c>
      <c r="H322" s="20">
        <v>262</v>
      </c>
      <c r="I322" s="20"/>
      <c r="J322" s="20"/>
      <c r="K322" s="20">
        <v>12</v>
      </c>
      <c r="L322" s="20">
        <v>22</v>
      </c>
      <c r="M322" s="20"/>
      <c r="N322" s="20"/>
      <c r="O322" s="20"/>
      <c r="P322" s="20"/>
      <c r="Q322" s="20"/>
      <c r="R322" s="20"/>
      <c r="S322" s="20"/>
      <c r="T322" s="20"/>
      <c r="U322" s="20"/>
      <c r="V322" s="20"/>
      <c r="W322" s="20">
        <v>8149</v>
      </c>
      <c r="X322" s="20">
        <v>20332</v>
      </c>
      <c r="Y322" s="20"/>
      <c r="Z322" s="20"/>
      <c r="AA322" s="20"/>
      <c r="AB322" s="20"/>
      <c r="AC322" s="22">
        <f t="shared" si="11"/>
        <v>9070</v>
      </c>
      <c r="AD322" s="22">
        <f t="shared" si="12"/>
        <v>22620</v>
      </c>
    </row>
    <row r="323" spans="1:30" x14ac:dyDescent="0.25">
      <c r="A323" s="13">
        <v>397</v>
      </c>
      <c r="B323" s="14" t="s">
        <v>684</v>
      </c>
      <c r="C323" s="26" t="s">
        <v>685</v>
      </c>
      <c r="D323" s="14" t="s">
        <v>42</v>
      </c>
      <c r="E323" s="20">
        <v>96</v>
      </c>
      <c r="F323" s="20">
        <v>240</v>
      </c>
      <c r="G323" s="20">
        <v>92</v>
      </c>
      <c r="H323" s="20">
        <v>228</v>
      </c>
      <c r="I323" s="20"/>
      <c r="J323" s="20"/>
      <c r="K323" s="20"/>
      <c r="L323" s="20"/>
      <c r="M323" s="20"/>
      <c r="N323" s="20"/>
      <c r="O323" s="20"/>
      <c r="P323" s="20"/>
      <c r="Q323" s="20"/>
      <c r="R323" s="20"/>
      <c r="S323" s="20"/>
      <c r="T323" s="20"/>
      <c r="U323" s="20"/>
      <c r="V323" s="20"/>
      <c r="W323" s="20">
        <v>4164</v>
      </c>
      <c r="X323" s="20">
        <v>10380</v>
      </c>
      <c r="Y323" s="20"/>
      <c r="Z323" s="20"/>
      <c r="AA323" s="20"/>
      <c r="AB323" s="20"/>
      <c r="AC323" s="22">
        <f t="shared" si="11"/>
        <v>4352</v>
      </c>
      <c r="AD323" s="22">
        <f t="shared" si="12"/>
        <v>10848</v>
      </c>
    </row>
    <row r="324" spans="1:30" x14ac:dyDescent="0.25">
      <c r="A324" s="13">
        <v>398</v>
      </c>
      <c r="B324" s="14" t="s">
        <v>686</v>
      </c>
      <c r="C324" s="26" t="s">
        <v>687</v>
      </c>
      <c r="D324" s="14" t="s">
        <v>42</v>
      </c>
      <c r="E324" s="20">
        <v>3915</v>
      </c>
      <c r="F324" s="20">
        <v>9784</v>
      </c>
      <c r="G324" s="20">
        <v>103</v>
      </c>
      <c r="H324" s="20">
        <v>252</v>
      </c>
      <c r="I324" s="20">
        <v>246</v>
      </c>
      <c r="J324" s="20">
        <v>615</v>
      </c>
      <c r="K324" s="20"/>
      <c r="L324" s="20"/>
      <c r="M324" s="20">
        <v>192</v>
      </c>
      <c r="N324" s="20">
        <v>480</v>
      </c>
      <c r="O324" s="20"/>
      <c r="P324" s="20"/>
      <c r="Q324" s="20"/>
      <c r="R324" s="20"/>
      <c r="S324" s="20"/>
      <c r="T324" s="20"/>
      <c r="U324" s="20"/>
      <c r="V324" s="20"/>
      <c r="W324" s="20">
        <v>1610</v>
      </c>
      <c r="X324" s="20">
        <v>3974</v>
      </c>
      <c r="Y324" s="20"/>
      <c r="Z324" s="20"/>
      <c r="AA324" s="20"/>
      <c r="AB324" s="20"/>
      <c r="AC324" s="22">
        <f t="shared" si="11"/>
        <v>6066</v>
      </c>
      <c r="AD324" s="22">
        <f t="shared" si="12"/>
        <v>15105</v>
      </c>
    </row>
    <row r="325" spans="1:30" x14ac:dyDescent="0.25">
      <c r="A325" s="13">
        <v>399</v>
      </c>
      <c r="B325" s="14" t="s">
        <v>688</v>
      </c>
      <c r="C325" s="26" t="s">
        <v>689</v>
      </c>
      <c r="D325" s="14" t="s">
        <v>42</v>
      </c>
      <c r="E325" s="20">
        <v>4323</v>
      </c>
      <c r="F325" s="20">
        <v>10806</v>
      </c>
      <c r="G325" s="20">
        <v>300</v>
      </c>
      <c r="H325" s="20">
        <v>738</v>
      </c>
      <c r="I325" s="20">
        <v>1615</v>
      </c>
      <c r="J325" s="20">
        <v>4035</v>
      </c>
      <c r="K325" s="20">
        <v>2</v>
      </c>
      <c r="L325" s="20">
        <v>4</v>
      </c>
      <c r="M325" s="20"/>
      <c r="N325" s="20"/>
      <c r="O325" s="20"/>
      <c r="P325" s="20"/>
      <c r="Q325" s="20"/>
      <c r="R325" s="20"/>
      <c r="S325" s="20"/>
      <c r="T325" s="20"/>
      <c r="U325" s="20"/>
      <c r="V325" s="20"/>
      <c r="W325" s="20">
        <v>1167</v>
      </c>
      <c r="X325" s="20">
        <v>2889</v>
      </c>
      <c r="Y325" s="20"/>
      <c r="Z325" s="20"/>
      <c r="AA325" s="20"/>
      <c r="AB325" s="20"/>
      <c r="AC325" s="22">
        <f t="shared" si="11"/>
        <v>7407</v>
      </c>
      <c r="AD325" s="22">
        <f t="shared" si="12"/>
        <v>18472</v>
      </c>
    </row>
    <row r="326" spans="1:30" x14ac:dyDescent="0.25">
      <c r="A326" s="13">
        <v>401</v>
      </c>
      <c r="B326" s="14" t="s">
        <v>690</v>
      </c>
      <c r="C326" s="26" t="s">
        <v>691</v>
      </c>
      <c r="D326" s="14" t="s">
        <v>42</v>
      </c>
      <c r="E326" s="20">
        <v>50288</v>
      </c>
      <c r="F326" s="20">
        <v>125720</v>
      </c>
      <c r="G326" s="20">
        <v>4094</v>
      </c>
      <c r="H326" s="20">
        <v>10208</v>
      </c>
      <c r="I326" s="20">
        <v>378</v>
      </c>
      <c r="J326" s="20">
        <v>945</v>
      </c>
      <c r="K326" s="20">
        <v>10863</v>
      </c>
      <c r="L326" s="20">
        <v>27134</v>
      </c>
      <c r="M326" s="20">
        <v>864</v>
      </c>
      <c r="N326" s="20">
        <v>2160</v>
      </c>
      <c r="O326" s="20"/>
      <c r="P326" s="20"/>
      <c r="Q326" s="20"/>
      <c r="R326" s="20"/>
      <c r="S326" s="20"/>
      <c r="T326" s="20"/>
      <c r="U326" s="20"/>
      <c r="V326" s="20"/>
      <c r="W326" s="20"/>
      <c r="X326" s="20"/>
      <c r="Y326" s="20"/>
      <c r="Z326" s="20"/>
      <c r="AA326" s="20"/>
      <c r="AB326" s="20"/>
      <c r="AC326" s="22">
        <f t="shared" si="11"/>
        <v>66487</v>
      </c>
      <c r="AD326" s="22">
        <f t="shared" si="12"/>
        <v>166167</v>
      </c>
    </row>
    <row r="327" spans="1:30" x14ac:dyDescent="0.25">
      <c r="A327" s="13">
        <v>403</v>
      </c>
      <c r="B327" s="14" t="s">
        <v>692</v>
      </c>
      <c r="C327" s="26" t="s">
        <v>693</v>
      </c>
      <c r="D327" s="14" t="s">
        <v>42</v>
      </c>
      <c r="E327" s="20">
        <v>175818</v>
      </c>
      <c r="F327" s="20">
        <v>439543</v>
      </c>
      <c r="G327" s="20">
        <v>36166</v>
      </c>
      <c r="H327" s="20">
        <v>90387</v>
      </c>
      <c r="I327" s="20">
        <v>110467</v>
      </c>
      <c r="J327" s="20">
        <v>276165</v>
      </c>
      <c r="K327" s="20">
        <v>41050</v>
      </c>
      <c r="L327" s="20">
        <v>102615</v>
      </c>
      <c r="M327" s="20"/>
      <c r="N327" s="20"/>
      <c r="O327" s="20"/>
      <c r="P327" s="20"/>
      <c r="Q327" s="20"/>
      <c r="R327" s="20"/>
      <c r="S327" s="20"/>
      <c r="T327" s="20"/>
      <c r="U327" s="20"/>
      <c r="V327" s="20"/>
      <c r="W327" s="20"/>
      <c r="X327" s="20"/>
      <c r="Y327" s="20"/>
      <c r="Z327" s="20"/>
      <c r="AA327" s="20"/>
      <c r="AB327" s="20"/>
      <c r="AC327" s="22">
        <f t="shared" si="11"/>
        <v>363501</v>
      </c>
      <c r="AD327" s="22">
        <f t="shared" si="12"/>
        <v>908710</v>
      </c>
    </row>
    <row r="328" spans="1:30" x14ac:dyDescent="0.25">
      <c r="A328" s="13">
        <v>404</v>
      </c>
      <c r="B328" s="14" t="s">
        <v>694</v>
      </c>
      <c r="C328" s="26" t="s">
        <v>695</v>
      </c>
      <c r="D328" s="14" t="s">
        <v>42</v>
      </c>
      <c r="E328" s="20">
        <v>35388</v>
      </c>
      <c r="F328" s="20">
        <v>88470</v>
      </c>
      <c r="G328" s="20">
        <v>520</v>
      </c>
      <c r="H328" s="20">
        <v>1296</v>
      </c>
      <c r="I328" s="20">
        <v>1760</v>
      </c>
      <c r="J328" s="20">
        <v>4400</v>
      </c>
      <c r="K328" s="20">
        <v>1629</v>
      </c>
      <c r="L328" s="20">
        <v>4065</v>
      </c>
      <c r="M328" s="20">
        <v>1968</v>
      </c>
      <c r="N328" s="20">
        <v>4920</v>
      </c>
      <c r="O328" s="20"/>
      <c r="P328" s="20"/>
      <c r="Q328" s="20"/>
      <c r="R328" s="20"/>
      <c r="S328" s="20"/>
      <c r="T328" s="20"/>
      <c r="U328" s="20"/>
      <c r="V328" s="20"/>
      <c r="W328" s="20"/>
      <c r="X328" s="20"/>
      <c r="Y328" s="20"/>
      <c r="Z328" s="20"/>
      <c r="AA328" s="20"/>
      <c r="AB328" s="20"/>
      <c r="AC328" s="22">
        <f t="shared" si="11"/>
        <v>41265</v>
      </c>
      <c r="AD328" s="22">
        <f t="shared" si="12"/>
        <v>103151</v>
      </c>
    </row>
    <row r="329" spans="1:30" x14ac:dyDescent="0.25">
      <c r="A329" s="13">
        <v>405</v>
      </c>
      <c r="B329" s="14" t="s">
        <v>696</v>
      </c>
      <c r="C329" s="26" t="s">
        <v>697</v>
      </c>
      <c r="D329" s="14" t="s">
        <v>42</v>
      </c>
      <c r="E329" s="20">
        <v>351510</v>
      </c>
      <c r="F329" s="20">
        <v>878773</v>
      </c>
      <c r="G329" s="20">
        <v>31880</v>
      </c>
      <c r="H329" s="20">
        <v>79678</v>
      </c>
      <c r="I329" s="20">
        <v>232220</v>
      </c>
      <c r="J329" s="20">
        <v>580550</v>
      </c>
      <c r="K329" s="20">
        <v>10676</v>
      </c>
      <c r="L329" s="20">
        <v>26669</v>
      </c>
      <c r="M329" s="20"/>
      <c r="N329" s="20"/>
      <c r="O329" s="20"/>
      <c r="P329" s="20"/>
      <c r="Q329" s="20"/>
      <c r="R329" s="20"/>
      <c r="S329" s="20">
        <v>24</v>
      </c>
      <c r="T329" s="20">
        <v>60</v>
      </c>
      <c r="U329" s="20"/>
      <c r="V329" s="20"/>
      <c r="W329" s="20"/>
      <c r="X329" s="20"/>
      <c r="Y329" s="20"/>
      <c r="Z329" s="20"/>
      <c r="AA329" s="20"/>
      <c r="AB329" s="20"/>
      <c r="AC329" s="22">
        <f t="shared" si="11"/>
        <v>626310</v>
      </c>
      <c r="AD329" s="22">
        <f t="shared" si="12"/>
        <v>1565730</v>
      </c>
    </row>
    <row r="330" spans="1:30" x14ac:dyDescent="0.25">
      <c r="A330" s="13">
        <v>406</v>
      </c>
      <c r="B330" s="14" t="s">
        <v>698</v>
      </c>
      <c r="C330" s="26" t="s">
        <v>699</v>
      </c>
      <c r="D330" s="14" t="s">
        <v>42</v>
      </c>
      <c r="E330" s="20">
        <v>221772</v>
      </c>
      <c r="F330" s="20">
        <v>554430</v>
      </c>
      <c r="G330" s="20">
        <v>26012</v>
      </c>
      <c r="H330" s="20">
        <v>65006</v>
      </c>
      <c r="I330" s="20"/>
      <c r="J330" s="20"/>
      <c r="K330" s="20">
        <v>2809</v>
      </c>
      <c r="L330" s="20">
        <v>7016</v>
      </c>
      <c r="M330" s="20">
        <v>3160</v>
      </c>
      <c r="N330" s="20">
        <v>7896</v>
      </c>
      <c r="O330" s="20"/>
      <c r="P330" s="20"/>
      <c r="Q330" s="20"/>
      <c r="R330" s="20"/>
      <c r="S330" s="20">
        <v>82</v>
      </c>
      <c r="T330" s="20">
        <v>205</v>
      </c>
      <c r="U330" s="20"/>
      <c r="V330" s="20"/>
      <c r="W330" s="20"/>
      <c r="X330" s="20"/>
      <c r="Y330" s="20"/>
      <c r="Z330" s="20"/>
      <c r="AA330" s="20"/>
      <c r="AB330" s="20"/>
      <c r="AC330" s="22">
        <f t="shared" si="11"/>
        <v>253835</v>
      </c>
      <c r="AD330" s="22">
        <f t="shared" si="12"/>
        <v>634553</v>
      </c>
    </row>
    <row r="331" spans="1:30" x14ac:dyDescent="0.25">
      <c r="A331" s="13">
        <v>413</v>
      </c>
      <c r="B331" s="14" t="s">
        <v>700</v>
      </c>
      <c r="C331" s="26" t="s">
        <v>701</v>
      </c>
      <c r="D331" s="14" t="s">
        <v>42</v>
      </c>
      <c r="E331" s="20">
        <v>10944</v>
      </c>
      <c r="F331" s="20">
        <v>27356</v>
      </c>
      <c r="G331" s="20">
        <v>2675</v>
      </c>
      <c r="H331" s="20">
        <v>6680</v>
      </c>
      <c r="I331" s="20">
        <v>439</v>
      </c>
      <c r="J331" s="20">
        <v>1096</v>
      </c>
      <c r="K331" s="20">
        <v>3456</v>
      </c>
      <c r="L331" s="20">
        <v>8630</v>
      </c>
      <c r="M331" s="20"/>
      <c r="N331" s="20"/>
      <c r="O331" s="20"/>
      <c r="P331" s="20"/>
      <c r="Q331" s="20"/>
      <c r="R331" s="20"/>
      <c r="S331" s="20">
        <v>8</v>
      </c>
      <c r="T331" s="20">
        <v>20</v>
      </c>
      <c r="U331" s="20"/>
      <c r="V331" s="20"/>
      <c r="W331" s="20"/>
      <c r="X331" s="20"/>
      <c r="Y331" s="20"/>
      <c r="Z331" s="20"/>
      <c r="AA331" s="20"/>
      <c r="AB331" s="20"/>
      <c r="AC331" s="22">
        <f t="shared" si="11"/>
        <v>17522</v>
      </c>
      <c r="AD331" s="22">
        <f t="shared" si="12"/>
        <v>43782</v>
      </c>
    </row>
    <row r="332" spans="1:30" x14ac:dyDescent="0.25">
      <c r="A332" s="13">
        <v>414</v>
      </c>
      <c r="B332" s="14" t="s">
        <v>702</v>
      </c>
      <c r="C332" s="26" t="s">
        <v>703</v>
      </c>
      <c r="D332" s="14" t="s">
        <v>42</v>
      </c>
      <c r="E332" s="20"/>
      <c r="F332" s="20"/>
      <c r="G332" s="20">
        <v>2605</v>
      </c>
      <c r="H332" s="20">
        <v>6508</v>
      </c>
      <c r="I332" s="20"/>
      <c r="J332" s="20"/>
      <c r="K332" s="20">
        <v>81</v>
      </c>
      <c r="L332" s="20">
        <v>202</v>
      </c>
      <c r="M332" s="20"/>
      <c r="N332" s="20"/>
      <c r="O332" s="20"/>
      <c r="P332" s="20"/>
      <c r="Q332" s="20"/>
      <c r="R332" s="20"/>
      <c r="S332" s="20">
        <v>104</v>
      </c>
      <c r="T332" s="20">
        <v>260</v>
      </c>
      <c r="U332" s="20"/>
      <c r="V332" s="20"/>
      <c r="W332" s="20"/>
      <c r="X332" s="20"/>
      <c r="Y332" s="20"/>
      <c r="Z332" s="20"/>
      <c r="AA332" s="20"/>
      <c r="AB332" s="20"/>
      <c r="AC332" s="22">
        <f t="shared" ref="AC332:AC395" si="13">SUM(E332+G332+I332+K332+M332+O332+Q332+S332+U332+W332+Y332+AA332)</f>
        <v>2790</v>
      </c>
      <c r="AD332" s="22">
        <f t="shared" ref="AD332:AD395" si="14">SUM(F332+H332+J332+L332+N332+P332+R332+T332+V332+X332+Z332+AB332)</f>
        <v>6970</v>
      </c>
    </row>
    <row r="333" spans="1:30" x14ac:dyDescent="0.25">
      <c r="A333" s="13">
        <v>416</v>
      </c>
      <c r="B333" s="14" t="s">
        <v>704</v>
      </c>
      <c r="C333" s="26" t="s">
        <v>705</v>
      </c>
      <c r="D333" s="14" t="s">
        <v>42</v>
      </c>
      <c r="E333" s="20"/>
      <c r="F333" s="20"/>
      <c r="G333" s="20">
        <v>23612</v>
      </c>
      <c r="H333" s="20">
        <v>59012</v>
      </c>
      <c r="I333" s="20"/>
      <c r="J333" s="20"/>
      <c r="K333" s="20">
        <v>17356</v>
      </c>
      <c r="L333" s="20">
        <v>43384</v>
      </c>
      <c r="M333" s="20"/>
      <c r="N333" s="20"/>
      <c r="O333" s="20"/>
      <c r="P333" s="20"/>
      <c r="Q333" s="20">
        <v>32026</v>
      </c>
      <c r="R333" s="20">
        <v>80062</v>
      </c>
      <c r="S333" s="20">
        <v>1160</v>
      </c>
      <c r="T333" s="20">
        <v>2900</v>
      </c>
      <c r="U333" s="20"/>
      <c r="V333" s="20"/>
      <c r="W333" s="20"/>
      <c r="X333" s="20"/>
      <c r="Y333" s="20"/>
      <c r="Z333" s="20"/>
      <c r="AA333" s="20"/>
      <c r="AB333" s="20"/>
      <c r="AC333" s="22">
        <f t="shared" si="13"/>
        <v>74154</v>
      </c>
      <c r="AD333" s="22">
        <f t="shared" si="14"/>
        <v>185358</v>
      </c>
    </row>
    <row r="334" spans="1:30" x14ac:dyDescent="0.25">
      <c r="A334" s="13">
        <v>417</v>
      </c>
      <c r="B334" s="14" t="s">
        <v>706</v>
      </c>
      <c r="C334" s="26" t="s">
        <v>707</v>
      </c>
      <c r="D334" s="14" t="s">
        <v>42</v>
      </c>
      <c r="E334" s="20">
        <v>1361756</v>
      </c>
      <c r="F334" s="20">
        <v>3404388</v>
      </c>
      <c r="G334" s="20">
        <v>247386</v>
      </c>
      <c r="H334" s="20">
        <v>618422</v>
      </c>
      <c r="I334" s="20">
        <v>978537</v>
      </c>
      <c r="J334" s="20">
        <v>2446340</v>
      </c>
      <c r="K334" s="20">
        <v>44127</v>
      </c>
      <c r="L334" s="20">
        <v>110299</v>
      </c>
      <c r="M334" s="20">
        <v>37628</v>
      </c>
      <c r="N334" s="20">
        <v>94068</v>
      </c>
      <c r="O334" s="20">
        <v>7502</v>
      </c>
      <c r="P334" s="20">
        <v>18755</v>
      </c>
      <c r="Q334" s="20"/>
      <c r="R334" s="20"/>
      <c r="S334" s="20">
        <v>9032</v>
      </c>
      <c r="T334" s="20">
        <v>22580</v>
      </c>
      <c r="U334" s="20"/>
      <c r="V334" s="20"/>
      <c r="W334" s="20"/>
      <c r="X334" s="20"/>
      <c r="Y334" s="20"/>
      <c r="Z334" s="20"/>
      <c r="AA334" s="20">
        <v>4396</v>
      </c>
      <c r="AB334" s="20">
        <v>10990</v>
      </c>
      <c r="AC334" s="22">
        <f t="shared" si="13"/>
        <v>2690364</v>
      </c>
      <c r="AD334" s="22">
        <f t="shared" si="14"/>
        <v>6725842</v>
      </c>
    </row>
    <row r="335" spans="1:30" x14ac:dyDescent="0.25">
      <c r="A335" s="13">
        <v>418</v>
      </c>
      <c r="B335" s="14" t="s">
        <v>708</v>
      </c>
      <c r="C335" s="26" t="s">
        <v>709</v>
      </c>
      <c r="D335" s="14" t="s">
        <v>42</v>
      </c>
      <c r="E335" s="20">
        <v>414052</v>
      </c>
      <c r="F335" s="20">
        <v>1035128</v>
      </c>
      <c r="G335" s="20">
        <v>41956</v>
      </c>
      <c r="H335" s="20">
        <v>104858</v>
      </c>
      <c r="I335" s="20">
        <v>450983</v>
      </c>
      <c r="J335" s="20">
        <v>1127456</v>
      </c>
      <c r="K335" s="20">
        <v>27237</v>
      </c>
      <c r="L335" s="20">
        <v>68073</v>
      </c>
      <c r="M335" s="20">
        <v>28260</v>
      </c>
      <c r="N335" s="20">
        <v>70650</v>
      </c>
      <c r="O335" s="20">
        <v>7243</v>
      </c>
      <c r="P335" s="20">
        <v>18106</v>
      </c>
      <c r="Q335" s="20"/>
      <c r="R335" s="20"/>
      <c r="S335" s="20">
        <v>5825</v>
      </c>
      <c r="T335" s="20">
        <v>14561</v>
      </c>
      <c r="U335" s="20"/>
      <c r="V335" s="20"/>
      <c r="W335" s="20"/>
      <c r="X335" s="20"/>
      <c r="Y335" s="20"/>
      <c r="Z335" s="20"/>
      <c r="AA335" s="20">
        <v>796</v>
      </c>
      <c r="AB335" s="20">
        <v>1990</v>
      </c>
      <c r="AC335" s="22">
        <f t="shared" si="13"/>
        <v>976352</v>
      </c>
      <c r="AD335" s="22">
        <f t="shared" si="14"/>
        <v>2440822</v>
      </c>
    </row>
    <row r="336" spans="1:30" x14ac:dyDescent="0.25">
      <c r="A336" s="13">
        <v>419</v>
      </c>
      <c r="B336" s="14" t="s">
        <v>710</v>
      </c>
      <c r="C336" s="26" t="s">
        <v>711</v>
      </c>
      <c r="D336" s="14" t="s">
        <v>42</v>
      </c>
      <c r="E336" s="20">
        <v>8378242</v>
      </c>
      <c r="F336" s="20">
        <v>20945604</v>
      </c>
      <c r="G336" s="20">
        <v>284455</v>
      </c>
      <c r="H336" s="20">
        <v>711086</v>
      </c>
      <c r="I336" s="20">
        <v>5480</v>
      </c>
      <c r="J336" s="20">
        <v>13700</v>
      </c>
      <c r="K336" s="20">
        <v>30850</v>
      </c>
      <c r="L336" s="20">
        <v>77085</v>
      </c>
      <c r="M336" s="20">
        <v>8312</v>
      </c>
      <c r="N336" s="20">
        <v>20780</v>
      </c>
      <c r="O336" s="20">
        <v>9531</v>
      </c>
      <c r="P336" s="20">
        <v>23826</v>
      </c>
      <c r="Q336" s="20">
        <v>16648</v>
      </c>
      <c r="R336" s="20">
        <v>41616</v>
      </c>
      <c r="S336" s="20">
        <v>7872</v>
      </c>
      <c r="T336" s="20">
        <v>19680</v>
      </c>
      <c r="U336" s="20"/>
      <c r="V336" s="20"/>
      <c r="W336" s="20"/>
      <c r="X336" s="20"/>
      <c r="Y336" s="20"/>
      <c r="Z336" s="20"/>
      <c r="AA336" s="20">
        <v>1664</v>
      </c>
      <c r="AB336" s="20">
        <v>4156</v>
      </c>
      <c r="AC336" s="22">
        <f t="shared" si="13"/>
        <v>8743054</v>
      </c>
      <c r="AD336" s="22">
        <f t="shared" si="14"/>
        <v>21857533</v>
      </c>
    </row>
    <row r="337" spans="1:30" x14ac:dyDescent="0.25">
      <c r="A337" s="13">
        <v>421</v>
      </c>
      <c r="B337" s="14" t="s">
        <v>712</v>
      </c>
      <c r="C337" s="26" t="s">
        <v>713</v>
      </c>
      <c r="D337" s="14" t="s">
        <v>42</v>
      </c>
      <c r="E337" s="20">
        <v>9191</v>
      </c>
      <c r="F337" s="20">
        <v>22975</v>
      </c>
      <c r="G337" s="20">
        <v>98</v>
      </c>
      <c r="H337" s="20">
        <v>229</v>
      </c>
      <c r="I337" s="20">
        <v>1124</v>
      </c>
      <c r="J337" s="20">
        <v>2808</v>
      </c>
      <c r="K337" s="20">
        <v>128</v>
      </c>
      <c r="L337" s="20">
        <v>315</v>
      </c>
      <c r="M337" s="20"/>
      <c r="N337" s="20"/>
      <c r="O337" s="20"/>
      <c r="P337" s="20"/>
      <c r="Q337" s="20"/>
      <c r="R337" s="20"/>
      <c r="S337" s="20"/>
      <c r="T337" s="20"/>
      <c r="U337" s="20"/>
      <c r="V337" s="20"/>
      <c r="W337" s="20"/>
      <c r="X337" s="20"/>
      <c r="Y337" s="20"/>
      <c r="Z337" s="20"/>
      <c r="AA337" s="20"/>
      <c r="AB337" s="20"/>
      <c r="AC337" s="22">
        <f t="shared" si="13"/>
        <v>10541</v>
      </c>
      <c r="AD337" s="22">
        <f t="shared" si="14"/>
        <v>26327</v>
      </c>
    </row>
    <row r="338" spans="1:30" x14ac:dyDescent="0.25">
      <c r="A338" s="13">
        <v>422</v>
      </c>
      <c r="B338" s="14" t="s">
        <v>714</v>
      </c>
      <c r="C338" s="26" t="s">
        <v>715</v>
      </c>
      <c r="D338" s="14" t="s">
        <v>42</v>
      </c>
      <c r="E338" s="20"/>
      <c r="F338" s="20"/>
      <c r="G338" s="20">
        <v>208</v>
      </c>
      <c r="H338" s="20">
        <v>516</v>
      </c>
      <c r="I338" s="20">
        <v>9848</v>
      </c>
      <c r="J338" s="20">
        <v>24617</v>
      </c>
      <c r="K338" s="20">
        <v>5398</v>
      </c>
      <c r="L338" s="20">
        <v>13490</v>
      </c>
      <c r="M338" s="20"/>
      <c r="N338" s="20"/>
      <c r="O338" s="20"/>
      <c r="P338" s="20"/>
      <c r="Q338" s="20"/>
      <c r="R338" s="20"/>
      <c r="S338" s="20"/>
      <c r="T338" s="20"/>
      <c r="U338" s="20"/>
      <c r="V338" s="20"/>
      <c r="W338" s="20"/>
      <c r="X338" s="20"/>
      <c r="Y338" s="20"/>
      <c r="Z338" s="20"/>
      <c r="AA338" s="20"/>
      <c r="AB338" s="20"/>
      <c r="AC338" s="22">
        <f t="shared" si="13"/>
        <v>15454</v>
      </c>
      <c r="AD338" s="22">
        <f t="shared" si="14"/>
        <v>38623</v>
      </c>
    </row>
    <row r="339" spans="1:30" x14ac:dyDescent="0.25">
      <c r="A339" s="13">
        <v>423</v>
      </c>
      <c r="B339" s="14" t="s">
        <v>716</v>
      </c>
      <c r="C339" s="26" t="s">
        <v>717</v>
      </c>
      <c r="D339" s="14" t="s">
        <v>42</v>
      </c>
      <c r="E339" s="20">
        <v>1296</v>
      </c>
      <c r="F339" s="20">
        <v>3237</v>
      </c>
      <c r="G339" s="20">
        <v>425</v>
      </c>
      <c r="H339" s="20">
        <v>1057</v>
      </c>
      <c r="I339" s="20">
        <v>4788</v>
      </c>
      <c r="J339" s="20">
        <v>11968</v>
      </c>
      <c r="K339" s="20">
        <v>320</v>
      </c>
      <c r="L339" s="20">
        <v>796</v>
      </c>
      <c r="M339" s="20"/>
      <c r="N339" s="20"/>
      <c r="O339" s="20"/>
      <c r="P339" s="20"/>
      <c r="Q339" s="20"/>
      <c r="R339" s="20"/>
      <c r="S339" s="20"/>
      <c r="T339" s="20"/>
      <c r="U339" s="20"/>
      <c r="V339" s="20"/>
      <c r="W339" s="20"/>
      <c r="X339" s="20"/>
      <c r="Y339" s="20"/>
      <c r="Z339" s="20"/>
      <c r="AA339" s="20"/>
      <c r="AB339" s="20"/>
      <c r="AC339" s="22">
        <f t="shared" si="13"/>
        <v>6829</v>
      </c>
      <c r="AD339" s="22">
        <f t="shared" si="14"/>
        <v>17058</v>
      </c>
    </row>
    <row r="340" spans="1:30" x14ac:dyDescent="0.25">
      <c r="A340" s="13">
        <v>424</v>
      </c>
      <c r="B340" s="14" t="s">
        <v>718</v>
      </c>
      <c r="C340" s="26" t="s">
        <v>719</v>
      </c>
      <c r="D340" s="14" t="s">
        <v>42</v>
      </c>
      <c r="E340" s="20">
        <v>49240</v>
      </c>
      <c r="F340" s="20">
        <v>123098</v>
      </c>
      <c r="G340" s="20">
        <v>40</v>
      </c>
      <c r="H340" s="20">
        <v>96</v>
      </c>
      <c r="I340" s="20">
        <v>168</v>
      </c>
      <c r="J340" s="20">
        <v>420</v>
      </c>
      <c r="K340" s="20">
        <v>4</v>
      </c>
      <c r="L340" s="20">
        <v>7</v>
      </c>
      <c r="M340" s="20"/>
      <c r="N340" s="20"/>
      <c r="O340" s="20"/>
      <c r="P340" s="20"/>
      <c r="Q340" s="20"/>
      <c r="R340" s="20"/>
      <c r="S340" s="20"/>
      <c r="T340" s="20"/>
      <c r="U340" s="20"/>
      <c r="V340" s="20"/>
      <c r="W340" s="20">
        <v>1616</v>
      </c>
      <c r="X340" s="20">
        <v>4004</v>
      </c>
      <c r="Y340" s="20"/>
      <c r="Z340" s="20"/>
      <c r="AA340" s="20"/>
      <c r="AB340" s="20"/>
      <c r="AC340" s="22">
        <f t="shared" si="13"/>
        <v>51068</v>
      </c>
      <c r="AD340" s="22">
        <f t="shared" si="14"/>
        <v>127625</v>
      </c>
    </row>
    <row r="341" spans="1:30" x14ac:dyDescent="0.25">
      <c r="A341" s="13">
        <v>425</v>
      </c>
      <c r="B341" s="14" t="s">
        <v>720</v>
      </c>
      <c r="C341" s="26" t="s">
        <v>721</v>
      </c>
      <c r="D341" s="14" t="s">
        <v>42</v>
      </c>
      <c r="E341" s="20">
        <v>12689</v>
      </c>
      <c r="F341" s="20">
        <v>31719</v>
      </c>
      <c r="G341" s="20">
        <v>404</v>
      </c>
      <c r="H341" s="20">
        <v>1008</v>
      </c>
      <c r="I341" s="20">
        <v>9332</v>
      </c>
      <c r="J341" s="20">
        <v>23328</v>
      </c>
      <c r="K341" s="20"/>
      <c r="L341" s="20"/>
      <c r="M341" s="20">
        <v>1120</v>
      </c>
      <c r="N341" s="20">
        <v>2800</v>
      </c>
      <c r="O341" s="20"/>
      <c r="P341" s="20"/>
      <c r="Q341" s="20"/>
      <c r="R341" s="20"/>
      <c r="S341" s="20"/>
      <c r="T341" s="20"/>
      <c r="U341" s="20"/>
      <c r="V341" s="20"/>
      <c r="W341" s="20">
        <v>3393</v>
      </c>
      <c r="X341" s="20">
        <v>8410</v>
      </c>
      <c r="Y341" s="20"/>
      <c r="Z341" s="20"/>
      <c r="AA341" s="20"/>
      <c r="AB341" s="20"/>
      <c r="AC341" s="22">
        <f t="shared" si="13"/>
        <v>26938</v>
      </c>
      <c r="AD341" s="22">
        <f t="shared" si="14"/>
        <v>67265</v>
      </c>
    </row>
    <row r="342" spans="1:30" x14ac:dyDescent="0.25">
      <c r="A342" s="13">
        <v>426</v>
      </c>
      <c r="B342" s="14" t="s">
        <v>722</v>
      </c>
      <c r="C342" s="26" t="s">
        <v>723</v>
      </c>
      <c r="D342" s="14" t="s">
        <v>42</v>
      </c>
      <c r="E342" s="20">
        <v>3970031</v>
      </c>
      <c r="F342" s="20">
        <v>9925076</v>
      </c>
      <c r="G342" s="20">
        <v>1507943</v>
      </c>
      <c r="H342" s="20">
        <v>3769818</v>
      </c>
      <c r="I342" s="20"/>
      <c r="J342" s="20"/>
      <c r="K342" s="20">
        <v>14721</v>
      </c>
      <c r="L342" s="20">
        <v>36789</v>
      </c>
      <c r="M342" s="20"/>
      <c r="N342" s="20"/>
      <c r="O342" s="20"/>
      <c r="P342" s="20"/>
      <c r="Q342" s="20">
        <v>56000</v>
      </c>
      <c r="R342" s="20">
        <v>140000</v>
      </c>
      <c r="S342" s="20">
        <v>6480</v>
      </c>
      <c r="T342" s="20">
        <v>16200</v>
      </c>
      <c r="U342" s="20"/>
      <c r="V342" s="20"/>
      <c r="W342" s="20"/>
      <c r="X342" s="20"/>
      <c r="Y342" s="20"/>
      <c r="Z342" s="20"/>
      <c r="AA342" s="20">
        <v>1124</v>
      </c>
      <c r="AB342" s="20">
        <v>2806</v>
      </c>
      <c r="AC342" s="22">
        <f t="shared" si="13"/>
        <v>5556299</v>
      </c>
      <c r="AD342" s="22">
        <f t="shared" si="14"/>
        <v>13890689</v>
      </c>
    </row>
    <row r="343" spans="1:30" x14ac:dyDescent="0.25">
      <c r="A343" s="13">
        <v>427</v>
      </c>
      <c r="B343" s="14" t="s">
        <v>724</v>
      </c>
      <c r="C343" s="26" t="s">
        <v>725</v>
      </c>
      <c r="D343" s="14" t="s">
        <v>42</v>
      </c>
      <c r="E343" s="20">
        <v>260</v>
      </c>
      <c r="F343" s="20">
        <v>648</v>
      </c>
      <c r="G343" s="20">
        <v>12</v>
      </c>
      <c r="H343" s="20">
        <v>29</v>
      </c>
      <c r="I343" s="20">
        <v>20988</v>
      </c>
      <c r="J343" s="20">
        <v>52468</v>
      </c>
      <c r="K343" s="20">
        <v>2626</v>
      </c>
      <c r="L343" s="20">
        <v>6557</v>
      </c>
      <c r="M343" s="20">
        <v>1508</v>
      </c>
      <c r="N343" s="20">
        <v>3770</v>
      </c>
      <c r="O343" s="20"/>
      <c r="P343" s="20"/>
      <c r="Q343" s="20"/>
      <c r="R343" s="20"/>
      <c r="S343" s="20"/>
      <c r="T343" s="20"/>
      <c r="U343" s="20"/>
      <c r="V343" s="20"/>
      <c r="W343" s="20"/>
      <c r="X343" s="20"/>
      <c r="Y343" s="20"/>
      <c r="Z343" s="20"/>
      <c r="AA343" s="20">
        <v>132</v>
      </c>
      <c r="AB343" s="20">
        <v>328</v>
      </c>
      <c r="AC343" s="22">
        <f t="shared" si="13"/>
        <v>25526</v>
      </c>
      <c r="AD343" s="22">
        <f t="shared" si="14"/>
        <v>63800</v>
      </c>
    </row>
    <row r="344" spans="1:30" x14ac:dyDescent="0.25">
      <c r="A344" s="13">
        <v>428</v>
      </c>
      <c r="B344" s="14" t="s">
        <v>726</v>
      </c>
      <c r="C344" s="26" t="s">
        <v>727</v>
      </c>
      <c r="D344" s="14" t="s">
        <v>42</v>
      </c>
      <c r="E344" s="20">
        <v>179</v>
      </c>
      <c r="F344" s="20">
        <v>444</v>
      </c>
      <c r="G344" s="20">
        <v>31</v>
      </c>
      <c r="H344" s="20">
        <v>73</v>
      </c>
      <c r="I344" s="20">
        <v>25740</v>
      </c>
      <c r="J344" s="20">
        <v>64350</v>
      </c>
      <c r="K344" s="20">
        <v>1410</v>
      </c>
      <c r="L344" s="20">
        <v>3518</v>
      </c>
      <c r="M344" s="20">
        <v>1148</v>
      </c>
      <c r="N344" s="20">
        <v>2866</v>
      </c>
      <c r="O344" s="20"/>
      <c r="P344" s="20"/>
      <c r="Q344" s="20"/>
      <c r="R344" s="20"/>
      <c r="S344" s="20"/>
      <c r="T344" s="20"/>
      <c r="U344" s="20"/>
      <c r="V344" s="20"/>
      <c r="W344" s="20"/>
      <c r="X344" s="20"/>
      <c r="Y344" s="20"/>
      <c r="Z344" s="20"/>
      <c r="AA344" s="20"/>
      <c r="AB344" s="20"/>
      <c r="AC344" s="22">
        <f t="shared" si="13"/>
        <v>28508</v>
      </c>
      <c r="AD344" s="22">
        <f t="shared" si="14"/>
        <v>71251</v>
      </c>
    </row>
    <row r="345" spans="1:30" x14ac:dyDescent="0.25">
      <c r="A345" s="13">
        <v>429</v>
      </c>
      <c r="B345" s="14" t="s">
        <v>728</v>
      </c>
      <c r="C345" s="26" t="s">
        <v>729</v>
      </c>
      <c r="D345" s="14" t="s">
        <v>42</v>
      </c>
      <c r="E345" s="20">
        <v>3952</v>
      </c>
      <c r="F345" s="20">
        <v>9876</v>
      </c>
      <c r="G345" s="20">
        <v>148</v>
      </c>
      <c r="H345" s="20">
        <v>367</v>
      </c>
      <c r="I345" s="20">
        <v>146</v>
      </c>
      <c r="J345" s="20">
        <v>364</v>
      </c>
      <c r="K345" s="20">
        <v>292</v>
      </c>
      <c r="L345" s="20">
        <v>725</v>
      </c>
      <c r="M345" s="20">
        <v>484</v>
      </c>
      <c r="N345" s="20">
        <v>1210</v>
      </c>
      <c r="O345" s="20"/>
      <c r="P345" s="20"/>
      <c r="Q345" s="20"/>
      <c r="R345" s="20"/>
      <c r="S345" s="20"/>
      <c r="T345" s="20"/>
      <c r="U345" s="20"/>
      <c r="V345" s="20"/>
      <c r="W345" s="20"/>
      <c r="X345" s="20"/>
      <c r="Y345" s="20"/>
      <c r="Z345" s="20"/>
      <c r="AA345" s="20"/>
      <c r="AB345" s="20"/>
      <c r="AC345" s="22">
        <f t="shared" si="13"/>
        <v>5022</v>
      </c>
      <c r="AD345" s="22">
        <f t="shared" si="14"/>
        <v>12542</v>
      </c>
    </row>
    <row r="346" spans="1:30" x14ac:dyDescent="0.25">
      <c r="A346" s="13">
        <v>430</v>
      </c>
      <c r="B346" s="14" t="s">
        <v>730</v>
      </c>
      <c r="C346" s="26" t="s">
        <v>731</v>
      </c>
      <c r="D346" s="14" t="s">
        <v>42</v>
      </c>
      <c r="E346" s="20">
        <v>104835</v>
      </c>
      <c r="F346" s="20">
        <v>262085</v>
      </c>
      <c r="G346" s="20">
        <v>300</v>
      </c>
      <c r="H346" s="20">
        <v>744</v>
      </c>
      <c r="I346" s="20"/>
      <c r="J346" s="20"/>
      <c r="K346" s="20">
        <v>40</v>
      </c>
      <c r="L346" s="20">
        <v>92</v>
      </c>
      <c r="M346" s="20">
        <v>10</v>
      </c>
      <c r="N346" s="20">
        <v>24</v>
      </c>
      <c r="O346" s="20"/>
      <c r="P346" s="20"/>
      <c r="Q346" s="20"/>
      <c r="R346" s="20"/>
      <c r="S346" s="20"/>
      <c r="T346" s="20"/>
      <c r="U346" s="20"/>
      <c r="V346" s="20"/>
      <c r="W346" s="20"/>
      <c r="X346" s="20"/>
      <c r="Y346" s="20"/>
      <c r="Z346" s="20"/>
      <c r="AA346" s="20"/>
      <c r="AB346" s="20"/>
      <c r="AC346" s="22">
        <f t="shared" si="13"/>
        <v>105185</v>
      </c>
      <c r="AD346" s="22">
        <f t="shared" si="14"/>
        <v>262945</v>
      </c>
    </row>
    <row r="347" spans="1:30" x14ac:dyDescent="0.25">
      <c r="A347" s="13">
        <v>432</v>
      </c>
      <c r="B347" s="14" t="s">
        <v>732</v>
      </c>
      <c r="C347" s="26" t="s">
        <v>733</v>
      </c>
      <c r="D347" s="14" t="s">
        <v>42</v>
      </c>
      <c r="E347" s="20">
        <v>37007</v>
      </c>
      <c r="F347" s="20">
        <v>92516</v>
      </c>
      <c r="G347" s="20">
        <v>8618</v>
      </c>
      <c r="H347" s="20">
        <v>21499</v>
      </c>
      <c r="I347" s="20">
        <v>4377</v>
      </c>
      <c r="J347" s="20">
        <v>10941</v>
      </c>
      <c r="K347" s="20">
        <v>4159</v>
      </c>
      <c r="L347" s="20">
        <v>10369</v>
      </c>
      <c r="M347" s="20"/>
      <c r="N347" s="20"/>
      <c r="O347" s="20"/>
      <c r="P347" s="20"/>
      <c r="Q347" s="20"/>
      <c r="R347" s="20"/>
      <c r="S347" s="20">
        <v>85</v>
      </c>
      <c r="T347" s="20">
        <v>211</v>
      </c>
      <c r="U347" s="20"/>
      <c r="V347" s="20"/>
      <c r="W347" s="20"/>
      <c r="X347" s="20"/>
      <c r="Y347" s="20"/>
      <c r="Z347" s="20"/>
      <c r="AA347" s="20"/>
      <c r="AB347" s="20"/>
      <c r="AC347" s="22">
        <f t="shared" si="13"/>
        <v>54246</v>
      </c>
      <c r="AD347" s="22">
        <f t="shared" si="14"/>
        <v>135536</v>
      </c>
    </row>
    <row r="348" spans="1:30" x14ac:dyDescent="0.25">
      <c r="A348" s="13">
        <v>433</v>
      </c>
      <c r="B348" s="14" t="s">
        <v>734</v>
      </c>
      <c r="C348" s="26" t="s">
        <v>735</v>
      </c>
      <c r="D348" s="14" t="s">
        <v>42</v>
      </c>
      <c r="E348" s="20">
        <v>75498</v>
      </c>
      <c r="F348" s="20">
        <v>188742</v>
      </c>
      <c r="G348" s="20">
        <v>3052</v>
      </c>
      <c r="H348" s="20">
        <v>7602</v>
      </c>
      <c r="I348" s="20">
        <v>3670</v>
      </c>
      <c r="J348" s="20">
        <v>9173</v>
      </c>
      <c r="K348" s="20">
        <v>750</v>
      </c>
      <c r="L348" s="20">
        <v>1866</v>
      </c>
      <c r="M348" s="20"/>
      <c r="N348" s="20"/>
      <c r="O348" s="20"/>
      <c r="P348" s="20"/>
      <c r="Q348" s="20"/>
      <c r="R348" s="20"/>
      <c r="S348" s="20">
        <v>594</v>
      </c>
      <c r="T348" s="20">
        <v>1481</v>
      </c>
      <c r="U348" s="20"/>
      <c r="V348" s="20"/>
      <c r="W348" s="20"/>
      <c r="X348" s="20"/>
      <c r="Y348" s="20"/>
      <c r="Z348" s="20"/>
      <c r="AA348" s="20"/>
      <c r="AB348" s="20"/>
      <c r="AC348" s="22">
        <f t="shared" si="13"/>
        <v>83564</v>
      </c>
      <c r="AD348" s="22">
        <f t="shared" si="14"/>
        <v>208864</v>
      </c>
    </row>
    <row r="349" spans="1:30" x14ac:dyDescent="0.25">
      <c r="A349" s="13">
        <v>434</v>
      </c>
      <c r="B349" s="14" t="s">
        <v>736</v>
      </c>
      <c r="C349" s="26" t="s">
        <v>737</v>
      </c>
      <c r="D349" s="14" t="s">
        <v>42</v>
      </c>
      <c r="E349" s="20">
        <v>15512</v>
      </c>
      <c r="F349" s="20">
        <v>38778</v>
      </c>
      <c r="G349" s="20">
        <v>2917</v>
      </c>
      <c r="H349" s="20">
        <v>7244</v>
      </c>
      <c r="I349" s="20">
        <v>702</v>
      </c>
      <c r="J349" s="20">
        <v>1755</v>
      </c>
      <c r="K349" s="20">
        <v>2823</v>
      </c>
      <c r="L349" s="20">
        <v>7037</v>
      </c>
      <c r="M349" s="20"/>
      <c r="N349" s="20"/>
      <c r="O349" s="20"/>
      <c r="P349" s="20"/>
      <c r="Q349" s="20"/>
      <c r="R349" s="20"/>
      <c r="S349" s="20">
        <v>26</v>
      </c>
      <c r="T349" s="20">
        <v>62</v>
      </c>
      <c r="U349" s="20"/>
      <c r="V349" s="20"/>
      <c r="W349" s="20"/>
      <c r="X349" s="20"/>
      <c r="Y349" s="20"/>
      <c r="Z349" s="20"/>
      <c r="AA349" s="20"/>
      <c r="AB349" s="20"/>
      <c r="AC349" s="22">
        <f t="shared" si="13"/>
        <v>21980</v>
      </c>
      <c r="AD349" s="22">
        <f t="shared" si="14"/>
        <v>54876</v>
      </c>
    </row>
    <row r="350" spans="1:30" x14ac:dyDescent="0.25">
      <c r="A350" s="13">
        <v>435</v>
      </c>
      <c r="B350" s="14" t="s">
        <v>738</v>
      </c>
      <c r="C350" s="26" t="s">
        <v>739</v>
      </c>
      <c r="D350" s="14" t="s">
        <v>42</v>
      </c>
      <c r="E350" s="20">
        <v>233591</v>
      </c>
      <c r="F350" s="20">
        <v>583976</v>
      </c>
      <c r="G350" s="20">
        <v>3727</v>
      </c>
      <c r="H350" s="20">
        <v>9296</v>
      </c>
      <c r="I350" s="20">
        <v>111760</v>
      </c>
      <c r="J350" s="20">
        <v>279400</v>
      </c>
      <c r="K350" s="20">
        <v>1207</v>
      </c>
      <c r="L350" s="20">
        <v>3003</v>
      </c>
      <c r="M350" s="20">
        <v>2120</v>
      </c>
      <c r="N350" s="20">
        <v>5300</v>
      </c>
      <c r="O350" s="20"/>
      <c r="P350" s="20"/>
      <c r="Q350" s="20"/>
      <c r="R350" s="20"/>
      <c r="S350" s="20">
        <v>114</v>
      </c>
      <c r="T350" s="20">
        <v>281</v>
      </c>
      <c r="U350" s="20"/>
      <c r="V350" s="20"/>
      <c r="W350" s="20"/>
      <c r="X350" s="20"/>
      <c r="Y350" s="20"/>
      <c r="Z350" s="20"/>
      <c r="AA350" s="20"/>
      <c r="AB350" s="20"/>
      <c r="AC350" s="22">
        <f t="shared" si="13"/>
        <v>352519</v>
      </c>
      <c r="AD350" s="22">
        <f t="shared" si="14"/>
        <v>881256</v>
      </c>
    </row>
    <row r="351" spans="1:30" x14ac:dyDescent="0.25">
      <c r="A351" s="13">
        <v>436</v>
      </c>
      <c r="B351" s="14" t="s">
        <v>740</v>
      </c>
      <c r="C351" s="26" t="s">
        <v>741</v>
      </c>
      <c r="D351" s="14" t="s">
        <v>42</v>
      </c>
      <c r="E351" s="20">
        <v>809308</v>
      </c>
      <c r="F351" s="20">
        <v>2023270</v>
      </c>
      <c r="G351" s="20">
        <v>1567</v>
      </c>
      <c r="H351" s="20">
        <v>3910</v>
      </c>
      <c r="I351" s="20"/>
      <c r="J351" s="20"/>
      <c r="K351" s="20">
        <v>4708</v>
      </c>
      <c r="L351" s="20">
        <v>11753</v>
      </c>
      <c r="M351" s="20"/>
      <c r="N351" s="20"/>
      <c r="O351" s="20"/>
      <c r="P351" s="20"/>
      <c r="Q351" s="20"/>
      <c r="R351" s="20"/>
      <c r="S351" s="20">
        <v>107</v>
      </c>
      <c r="T351" s="20">
        <v>264</v>
      </c>
      <c r="U351" s="20"/>
      <c r="V351" s="20"/>
      <c r="W351" s="20"/>
      <c r="X351" s="20"/>
      <c r="Y351" s="20"/>
      <c r="Z351" s="20"/>
      <c r="AA351" s="20"/>
      <c r="AB351" s="20"/>
      <c r="AC351" s="22">
        <f t="shared" si="13"/>
        <v>815690</v>
      </c>
      <c r="AD351" s="22">
        <f t="shared" si="14"/>
        <v>2039197</v>
      </c>
    </row>
    <row r="352" spans="1:30" x14ac:dyDescent="0.25">
      <c r="A352" s="13">
        <v>437</v>
      </c>
      <c r="B352" s="14" t="s">
        <v>742</v>
      </c>
      <c r="C352" s="26" t="s">
        <v>743</v>
      </c>
      <c r="D352" s="14" t="s">
        <v>42</v>
      </c>
      <c r="E352" s="20">
        <v>1167065</v>
      </c>
      <c r="F352" s="20">
        <v>2917660</v>
      </c>
      <c r="G352" s="20">
        <v>1769</v>
      </c>
      <c r="H352" s="20">
        <v>4409</v>
      </c>
      <c r="I352" s="20"/>
      <c r="J352" s="20"/>
      <c r="K352" s="20">
        <v>3532</v>
      </c>
      <c r="L352" s="20">
        <v>8815</v>
      </c>
      <c r="M352" s="20">
        <v>2772</v>
      </c>
      <c r="N352" s="20">
        <v>6930</v>
      </c>
      <c r="O352" s="20"/>
      <c r="P352" s="20"/>
      <c r="Q352" s="20"/>
      <c r="R352" s="20"/>
      <c r="S352" s="20">
        <v>184</v>
      </c>
      <c r="T352" s="20">
        <v>457</v>
      </c>
      <c r="U352" s="20"/>
      <c r="V352" s="20"/>
      <c r="W352" s="20"/>
      <c r="X352" s="20"/>
      <c r="Y352" s="20"/>
      <c r="Z352" s="20"/>
      <c r="AA352" s="20">
        <v>1</v>
      </c>
      <c r="AB352" s="20">
        <v>1</v>
      </c>
      <c r="AC352" s="22">
        <f t="shared" si="13"/>
        <v>1175323</v>
      </c>
      <c r="AD352" s="22">
        <f t="shared" si="14"/>
        <v>2938272</v>
      </c>
    </row>
    <row r="353" spans="1:30" x14ac:dyDescent="0.25">
      <c r="A353" s="13">
        <v>438</v>
      </c>
      <c r="B353" s="14" t="s">
        <v>744</v>
      </c>
      <c r="C353" s="26" t="s">
        <v>745</v>
      </c>
      <c r="D353" s="14" t="s">
        <v>42</v>
      </c>
      <c r="E353" s="20">
        <v>476268</v>
      </c>
      <c r="F353" s="20">
        <v>1190667</v>
      </c>
      <c r="G353" s="20">
        <v>9554</v>
      </c>
      <c r="H353" s="20">
        <v>23858</v>
      </c>
      <c r="I353" s="20">
        <v>207557</v>
      </c>
      <c r="J353" s="20">
        <v>518890</v>
      </c>
      <c r="K353" s="20">
        <v>2360</v>
      </c>
      <c r="L353" s="20">
        <v>5889</v>
      </c>
      <c r="M353" s="20"/>
      <c r="N353" s="20"/>
      <c r="O353" s="20"/>
      <c r="P353" s="20"/>
      <c r="Q353" s="20"/>
      <c r="R353" s="20"/>
      <c r="S353" s="20">
        <v>35</v>
      </c>
      <c r="T353" s="20">
        <v>84</v>
      </c>
      <c r="U353" s="20"/>
      <c r="V353" s="20"/>
      <c r="W353" s="20"/>
      <c r="X353" s="20"/>
      <c r="Y353" s="20"/>
      <c r="Z353" s="20"/>
      <c r="AA353" s="20">
        <v>1</v>
      </c>
      <c r="AB353" s="20">
        <v>1</v>
      </c>
      <c r="AC353" s="22">
        <f t="shared" si="13"/>
        <v>695775</v>
      </c>
      <c r="AD353" s="22">
        <f t="shared" si="14"/>
        <v>1739389</v>
      </c>
    </row>
    <row r="354" spans="1:30" x14ac:dyDescent="0.25">
      <c r="A354" s="13">
        <v>439</v>
      </c>
      <c r="B354" s="14" t="s">
        <v>746</v>
      </c>
      <c r="C354" s="26" t="s">
        <v>747</v>
      </c>
      <c r="D354" s="14" t="s">
        <v>42</v>
      </c>
      <c r="E354" s="20">
        <v>2600</v>
      </c>
      <c r="F354" s="20">
        <v>6496</v>
      </c>
      <c r="G354" s="20">
        <v>3505</v>
      </c>
      <c r="H354" s="20">
        <v>8700</v>
      </c>
      <c r="I354" s="20"/>
      <c r="J354" s="20"/>
      <c r="K354" s="20">
        <v>2301</v>
      </c>
      <c r="L354" s="20">
        <v>5741</v>
      </c>
      <c r="M354" s="20"/>
      <c r="N354" s="20"/>
      <c r="O354" s="20"/>
      <c r="P354" s="20"/>
      <c r="Q354" s="20"/>
      <c r="R354" s="20"/>
      <c r="S354" s="20"/>
      <c r="T354" s="20"/>
      <c r="U354" s="20"/>
      <c r="V354" s="20"/>
      <c r="W354" s="20"/>
      <c r="X354" s="20"/>
      <c r="Y354" s="20"/>
      <c r="Z354" s="20"/>
      <c r="AA354" s="20"/>
      <c r="AB354" s="20"/>
      <c r="AC354" s="22">
        <f t="shared" si="13"/>
        <v>8406</v>
      </c>
      <c r="AD354" s="22">
        <f t="shared" si="14"/>
        <v>20937</v>
      </c>
    </row>
    <row r="355" spans="1:30" x14ac:dyDescent="0.25">
      <c r="A355" s="13">
        <v>440</v>
      </c>
      <c r="B355" s="14" t="s">
        <v>748</v>
      </c>
      <c r="C355" s="26" t="s">
        <v>749</v>
      </c>
      <c r="D355" s="14" t="s">
        <v>42</v>
      </c>
      <c r="E355" s="20">
        <v>141552</v>
      </c>
      <c r="F355" s="20">
        <v>353878</v>
      </c>
      <c r="G355" s="20">
        <v>60539</v>
      </c>
      <c r="H355" s="20">
        <v>151241</v>
      </c>
      <c r="I355" s="20">
        <v>41496</v>
      </c>
      <c r="J355" s="20">
        <v>103737</v>
      </c>
      <c r="K355" s="20">
        <v>33137</v>
      </c>
      <c r="L355" s="20">
        <v>82816</v>
      </c>
      <c r="M355" s="20"/>
      <c r="N355" s="20"/>
      <c r="O355" s="20"/>
      <c r="P355" s="20"/>
      <c r="Q355" s="20"/>
      <c r="R355" s="20"/>
      <c r="S355" s="20"/>
      <c r="T355" s="20"/>
      <c r="U355" s="20"/>
      <c r="V355" s="20"/>
      <c r="W355" s="20"/>
      <c r="X355" s="20"/>
      <c r="Y355" s="20"/>
      <c r="Z355" s="20"/>
      <c r="AA355" s="20"/>
      <c r="AB355" s="20"/>
      <c r="AC355" s="22">
        <f t="shared" si="13"/>
        <v>276724</v>
      </c>
      <c r="AD355" s="22">
        <f t="shared" si="14"/>
        <v>691672</v>
      </c>
    </row>
    <row r="356" spans="1:30" x14ac:dyDescent="0.25">
      <c r="A356" s="13">
        <v>441</v>
      </c>
      <c r="B356" s="14" t="s">
        <v>750</v>
      </c>
      <c r="C356" s="26" t="s">
        <v>751</v>
      </c>
      <c r="D356" s="14" t="s">
        <v>43</v>
      </c>
      <c r="E356" s="20">
        <v>37563</v>
      </c>
      <c r="F356" s="20">
        <v>93905</v>
      </c>
      <c r="G356" s="20">
        <v>34062</v>
      </c>
      <c r="H356" s="20">
        <v>85042</v>
      </c>
      <c r="I356" s="20">
        <v>8846</v>
      </c>
      <c r="J356" s="20">
        <v>22112</v>
      </c>
      <c r="K356" s="20">
        <v>27028</v>
      </c>
      <c r="L356" s="20">
        <v>67544</v>
      </c>
      <c r="M356" s="20"/>
      <c r="N356" s="20"/>
      <c r="O356" s="20"/>
      <c r="P356" s="20"/>
      <c r="Q356" s="20"/>
      <c r="R356" s="20"/>
      <c r="S356" s="20"/>
      <c r="T356" s="20"/>
      <c r="U356" s="20"/>
      <c r="V356" s="20"/>
      <c r="W356" s="20"/>
      <c r="X356" s="20"/>
      <c r="Y356" s="20"/>
      <c r="Z356" s="20"/>
      <c r="AA356" s="20"/>
      <c r="AB356" s="20"/>
      <c r="AC356" s="22">
        <f t="shared" si="13"/>
        <v>107499</v>
      </c>
      <c r="AD356" s="22">
        <f t="shared" si="14"/>
        <v>268603</v>
      </c>
    </row>
    <row r="357" spans="1:30" x14ac:dyDescent="0.25">
      <c r="A357" s="13">
        <v>442</v>
      </c>
      <c r="B357" s="14" t="s">
        <v>752</v>
      </c>
      <c r="C357" s="26" t="s">
        <v>753</v>
      </c>
      <c r="D357" s="14" t="s">
        <v>42</v>
      </c>
      <c r="E357" s="20">
        <v>7282</v>
      </c>
      <c r="F357" s="20">
        <v>18203</v>
      </c>
      <c r="G357" s="20">
        <v>802</v>
      </c>
      <c r="H357" s="20">
        <v>1957</v>
      </c>
      <c r="I357" s="20">
        <v>4481</v>
      </c>
      <c r="J357" s="20">
        <v>11199</v>
      </c>
      <c r="K357" s="20">
        <v>752</v>
      </c>
      <c r="L357" s="20">
        <v>1869</v>
      </c>
      <c r="M357" s="20"/>
      <c r="N357" s="20"/>
      <c r="O357" s="20"/>
      <c r="P357" s="20"/>
      <c r="Q357" s="20"/>
      <c r="R357" s="20"/>
      <c r="S357" s="20"/>
      <c r="T357" s="20"/>
      <c r="U357" s="20"/>
      <c r="V357" s="20"/>
      <c r="W357" s="20"/>
      <c r="X357" s="20"/>
      <c r="Y357" s="20"/>
      <c r="Z357" s="20"/>
      <c r="AA357" s="20"/>
      <c r="AB357" s="20"/>
      <c r="AC357" s="22">
        <f t="shared" si="13"/>
        <v>13317</v>
      </c>
      <c r="AD357" s="22">
        <f t="shared" si="14"/>
        <v>33228</v>
      </c>
    </row>
    <row r="358" spans="1:30" x14ac:dyDescent="0.25">
      <c r="A358" s="13">
        <v>443</v>
      </c>
      <c r="B358" s="14" t="s">
        <v>754</v>
      </c>
      <c r="C358" s="26" t="s">
        <v>755</v>
      </c>
      <c r="D358" s="14" t="s">
        <v>42</v>
      </c>
      <c r="E358" s="20">
        <v>2378</v>
      </c>
      <c r="F358" s="20">
        <v>5944</v>
      </c>
      <c r="G358" s="20">
        <v>3244</v>
      </c>
      <c r="H358" s="20">
        <v>8038</v>
      </c>
      <c r="I358" s="20">
        <v>340</v>
      </c>
      <c r="J358" s="20">
        <v>848</v>
      </c>
      <c r="K358" s="20">
        <v>2057</v>
      </c>
      <c r="L358" s="20">
        <v>5129</v>
      </c>
      <c r="M358" s="20"/>
      <c r="N358" s="20"/>
      <c r="O358" s="20"/>
      <c r="P358" s="20"/>
      <c r="Q358" s="20"/>
      <c r="R358" s="20"/>
      <c r="S358" s="20"/>
      <c r="T358" s="20"/>
      <c r="U358" s="20"/>
      <c r="V358" s="20"/>
      <c r="W358" s="20"/>
      <c r="X358" s="20"/>
      <c r="Y358" s="20"/>
      <c r="Z358" s="20"/>
      <c r="AA358" s="20"/>
      <c r="AB358" s="20"/>
      <c r="AC358" s="22">
        <f t="shared" si="13"/>
        <v>8019</v>
      </c>
      <c r="AD358" s="22">
        <f t="shared" si="14"/>
        <v>19959</v>
      </c>
    </row>
    <row r="359" spans="1:30" x14ac:dyDescent="0.25">
      <c r="A359" s="13">
        <v>444</v>
      </c>
      <c r="B359" s="14" t="s">
        <v>756</v>
      </c>
      <c r="C359" s="26" t="s">
        <v>757</v>
      </c>
      <c r="D359" s="14" t="s">
        <v>42</v>
      </c>
      <c r="E359" s="20">
        <v>54486</v>
      </c>
      <c r="F359" s="20">
        <v>136214</v>
      </c>
      <c r="G359" s="20">
        <v>36282</v>
      </c>
      <c r="H359" s="20">
        <v>90626</v>
      </c>
      <c r="I359" s="20">
        <v>20276</v>
      </c>
      <c r="J359" s="20">
        <v>50690</v>
      </c>
      <c r="K359" s="20">
        <v>19461</v>
      </c>
      <c r="L359" s="20">
        <v>48633</v>
      </c>
      <c r="M359" s="20"/>
      <c r="N359" s="20"/>
      <c r="O359" s="20"/>
      <c r="P359" s="20"/>
      <c r="Q359" s="20"/>
      <c r="R359" s="20"/>
      <c r="S359" s="20"/>
      <c r="T359" s="20"/>
      <c r="U359" s="20"/>
      <c r="V359" s="20"/>
      <c r="W359" s="20"/>
      <c r="X359" s="20"/>
      <c r="Y359" s="20"/>
      <c r="Z359" s="20"/>
      <c r="AA359" s="20"/>
      <c r="AB359" s="20"/>
      <c r="AC359" s="22">
        <f t="shared" si="13"/>
        <v>130505</v>
      </c>
      <c r="AD359" s="22">
        <f t="shared" si="14"/>
        <v>326163</v>
      </c>
    </row>
    <row r="360" spans="1:30" x14ac:dyDescent="0.25">
      <c r="A360" s="13">
        <v>445</v>
      </c>
      <c r="B360" s="14" t="s">
        <v>758</v>
      </c>
      <c r="C360" s="26" t="s">
        <v>759</v>
      </c>
      <c r="D360" s="14" t="s">
        <v>42</v>
      </c>
      <c r="E360" s="20">
        <v>1555</v>
      </c>
      <c r="F360" s="20">
        <v>3887</v>
      </c>
      <c r="G360" s="20">
        <v>1675</v>
      </c>
      <c r="H360" s="20">
        <v>4129</v>
      </c>
      <c r="I360" s="20">
        <v>7124</v>
      </c>
      <c r="J360" s="20">
        <v>17810</v>
      </c>
      <c r="K360" s="20">
        <v>1636</v>
      </c>
      <c r="L360" s="20">
        <v>4065</v>
      </c>
      <c r="M360" s="20">
        <v>40</v>
      </c>
      <c r="N360" s="20">
        <v>100</v>
      </c>
      <c r="O360" s="20"/>
      <c r="P360" s="20"/>
      <c r="Q360" s="20"/>
      <c r="R360" s="20"/>
      <c r="S360" s="20"/>
      <c r="T360" s="20"/>
      <c r="U360" s="20"/>
      <c r="V360" s="20"/>
      <c r="W360" s="20"/>
      <c r="X360" s="20"/>
      <c r="Y360" s="20"/>
      <c r="Z360" s="20"/>
      <c r="AA360" s="20"/>
      <c r="AB360" s="20"/>
      <c r="AC360" s="22">
        <f t="shared" si="13"/>
        <v>12030</v>
      </c>
      <c r="AD360" s="22">
        <f t="shared" si="14"/>
        <v>29991</v>
      </c>
    </row>
    <row r="361" spans="1:30" x14ac:dyDescent="0.25">
      <c r="A361" s="13">
        <v>446</v>
      </c>
      <c r="B361" s="14" t="s">
        <v>760</v>
      </c>
      <c r="C361" s="26" t="s">
        <v>761</v>
      </c>
      <c r="D361" s="14" t="s">
        <v>42</v>
      </c>
      <c r="E361" s="20">
        <v>384</v>
      </c>
      <c r="F361" s="20">
        <v>960</v>
      </c>
      <c r="G361" s="20">
        <v>56</v>
      </c>
      <c r="H361" s="20">
        <v>140</v>
      </c>
      <c r="I361" s="20">
        <v>36168</v>
      </c>
      <c r="J361" s="20">
        <v>90420</v>
      </c>
      <c r="K361" s="20">
        <v>950</v>
      </c>
      <c r="L361" s="20">
        <v>2374</v>
      </c>
      <c r="M361" s="20"/>
      <c r="N361" s="20"/>
      <c r="O361" s="20"/>
      <c r="P361" s="20"/>
      <c r="Q361" s="20"/>
      <c r="R361" s="20"/>
      <c r="S361" s="20"/>
      <c r="T361" s="20"/>
      <c r="U361" s="20"/>
      <c r="V361" s="20"/>
      <c r="W361" s="20"/>
      <c r="X361" s="20"/>
      <c r="Y361" s="20"/>
      <c r="Z361" s="20"/>
      <c r="AA361" s="20"/>
      <c r="AB361" s="20"/>
      <c r="AC361" s="22">
        <f t="shared" si="13"/>
        <v>37558</v>
      </c>
      <c r="AD361" s="22">
        <f t="shared" si="14"/>
        <v>93894</v>
      </c>
    </row>
    <row r="362" spans="1:30" x14ac:dyDescent="0.25">
      <c r="A362" s="13">
        <v>447</v>
      </c>
      <c r="B362" s="14" t="s">
        <v>762</v>
      </c>
      <c r="C362" s="26" t="s">
        <v>763</v>
      </c>
      <c r="D362" s="14" t="s">
        <v>42</v>
      </c>
      <c r="E362" s="20">
        <v>88512</v>
      </c>
      <c r="F362" s="20">
        <v>221280</v>
      </c>
      <c r="G362" s="20">
        <v>45840</v>
      </c>
      <c r="H362" s="20">
        <v>114569</v>
      </c>
      <c r="I362" s="20">
        <v>440417</v>
      </c>
      <c r="J362" s="20">
        <v>1101042</v>
      </c>
      <c r="K362" s="20">
        <v>30359</v>
      </c>
      <c r="L362" s="20">
        <v>75876</v>
      </c>
      <c r="M362" s="20"/>
      <c r="N362" s="20"/>
      <c r="O362" s="20">
        <v>1261</v>
      </c>
      <c r="P362" s="20">
        <v>3150</v>
      </c>
      <c r="Q362" s="20"/>
      <c r="R362" s="20"/>
      <c r="S362" s="20">
        <v>920</v>
      </c>
      <c r="T362" s="20">
        <v>2297</v>
      </c>
      <c r="U362" s="20"/>
      <c r="V362" s="20"/>
      <c r="W362" s="20"/>
      <c r="X362" s="20"/>
      <c r="Y362" s="20"/>
      <c r="Z362" s="20"/>
      <c r="AA362" s="20">
        <v>14044</v>
      </c>
      <c r="AB362" s="20">
        <v>35106</v>
      </c>
      <c r="AC362" s="22">
        <f t="shared" si="13"/>
        <v>621353</v>
      </c>
      <c r="AD362" s="22">
        <f t="shared" si="14"/>
        <v>1553320</v>
      </c>
    </row>
    <row r="363" spans="1:30" x14ac:dyDescent="0.25">
      <c r="A363" s="13">
        <v>448</v>
      </c>
      <c r="B363" s="14" t="s">
        <v>764</v>
      </c>
      <c r="C363" s="26" t="s">
        <v>765</v>
      </c>
      <c r="D363" s="14" t="s">
        <v>42</v>
      </c>
      <c r="E363" s="20">
        <v>1791334</v>
      </c>
      <c r="F363" s="20">
        <v>4478334</v>
      </c>
      <c r="G363" s="20">
        <v>265900</v>
      </c>
      <c r="H363" s="20">
        <v>664700</v>
      </c>
      <c r="I363" s="20"/>
      <c r="J363" s="20"/>
      <c r="K363" s="20">
        <v>54489</v>
      </c>
      <c r="L363" s="20">
        <v>136207</v>
      </c>
      <c r="M363" s="20">
        <v>16704</v>
      </c>
      <c r="N363" s="20">
        <v>41756</v>
      </c>
      <c r="O363" s="20">
        <v>5602</v>
      </c>
      <c r="P363" s="20">
        <v>14003</v>
      </c>
      <c r="Q363" s="20"/>
      <c r="R363" s="20"/>
      <c r="S363" s="20">
        <v>5706</v>
      </c>
      <c r="T363" s="20">
        <v>14265</v>
      </c>
      <c r="U363" s="20"/>
      <c r="V363" s="20"/>
      <c r="W363" s="20"/>
      <c r="X363" s="20"/>
      <c r="Y363" s="20"/>
      <c r="Z363" s="20"/>
      <c r="AA363" s="20">
        <v>11252</v>
      </c>
      <c r="AB363" s="20">
        <v>28128</v>
      </c>
      <c r="AC363" s="22">
        <f t="shared" si="13"/>
        <v>2150987</v>
      </c>
      <c r="AD363" s="22">
        <f t="shared" si="14"/>
        <v>5377393</v>
      </c>
    </row>
    <row r="364" spans="1:30" x14ac:dyDescent="0.25">
      <c r="A364" s="13">
        <v>449</v>
      </c>
      <c r="B364" s="14" t="s">
        <v>766</v>
      </c>
      <c r="C364" s="26" t="s">
        <v>767</v>
      </c>
      <c r="D364" s="14" t="s">
        <v>42</v>
      </c>
      <c r="E364" s="20">
        <v>1998</v>
      </c>
      <c r="F364" s="20">
        <v>4992</v>
      </c>
      <c r="G364" s="20">
        <v>8377</v>
      </c>
      <c r="H364" s="20">
        <v>20911</v>
      </c>
      <c r="I364" s="20">
        <v>33080</v>
      </c>
      <c r="J364" s="20">
        <v>82700</v>
      </c>
      <c r="K364" s="20">
        <v>13513</v>
      </c>
      <c r="L364" s="20">
        <v>33764</v>
      </c>
      <c r="M364" s="20"/>
      <c r="N364" s="20"/>
      <c r="O364" s="20"/>
      <c r="P364" s="20"/>
      <c r="Q364" s="20"/>
      <c r="R364" s="20"/>
      <c r="S364" s="20">
        <v>26</v>
      </c>
      <c r="T364" s="20">
        <v>65</v>
      </c>
      <c r="U364" s="20"/>
      <c r="V364" s="20"/>
      <c r="W364" s="20"/>
      <c r="X364" s="20"/>
      <c r="Y364" s="20"/>
      <c r="Z364" s="20"/>
      <c r="AA364" s="20">
        <v>848</v>
      </c>
      <c r="AB364" s="20">
        <v>2116</v>
      </c>
      <c r="AC364" s="22">
        <f t="shared" si="13"/>
        <v>57842</v>
      </c>
      <c r="AD364" s="22">
        <f t="shared" si="14"/>
        <v>144548</v>
      </c>
    </row>
    <row r="365" spans="1:30" x14ac:dyDescent="0.25">
      <c r="A365" s="13">
        <v>450</v>
      </c>
      <c r="B365" s="14" t="s">
        <v>768</v>
      </c>
      <c r="C365" s="26" t="s">
        <v>769</v>
      </c>
      <c r="D365" s="14" t="s">
        <v>42</v>
      </c>
      <c r="E365" s="20">
        <v>594</v>
      </c>
      <c r="F365" s="20">
        <v>1482</v>
      </c>
      <c r="G365" s="20">
        <v>5153</v>
      </c>
      <c r="H365" s="20">
        <v>12867</v>
      </c>
      <c r="I365" s="20"/>
      <c r="J365" s="20"/>
      <c r="K365" s="20">
        <v>1253</v>
      </c>
      <c r="L365" s="20">
        <v>3128</v>
      </c>
      <c r="M365" s="20"/>
      <c r="N365" s="20"/>
      <c r="O365" s="20"/>
      <c r="P365" s="20"/>
      <c r="Q365" s="20"/>
      <c r="R365" s="20"/>
      <c r="S365" s="20">
        <v>38</v>
      </c>
      <c r="T365" s="20">
        <v>95</v>
      </c>
      <c r="U365" s="20"/>
      <c r="V365" s="20"/>
      <c r="W365" s="20"/>
      <c r="X365" s="20"/>
      <c r="Y365" s="20"/>
      <c r="Z365" s="20"/>
      <c r="AA365" s="20">
        <v>2434</v>
      </c>
      <c r="AB365" s="20">
        <v>6082</v>
      </c>
      <c r="AC365" s="22">
        <f t="shared" si="13"/>
        <v>9472</v>
      </c>
      <c r="AD365" s="22">
        <f t="shared" si="14"/>
        <v>23654</v>
      </c>
    </row>
    <row r="366" spans="1:30" x14ac:dyDescent="0.25">
      <c r="A366" s="13">
        <v>451</v>
      </c>
      <c r="B366" s="14" t="s">
        <v>770</v>
      </c>
      <c r="C366" s="26" t="s">
        <v>771</v>
      </c>
      <c r="D366" s="14" t="s">
        <v>42</v>
      </c>
      <c r="E366" s="20">
        <v>59747</v>
      </c>
      <c r="F366" s="20">
        <v>149367</v>
      </c>
      <c r="G366" s="20">
        <v>3289</v>
      </c>
      <c r="H366" s="20">
        <v>8208</v>
      </c>
      <c r="I366" s="20">
        <v>35185</v>
      </c>
      <c r="J366" s="20">
        <v>87962</v>
      </c>
      <c r="K366" s="20">
        <v>11347</v>
      </c>
      <c r="L366" s="20">
        <v>28358</v>
      </c>
      <c r="M366" s="20"/>
      <c r="N366" s="20"/>
      <c r="O366" s="20"/>
      <c r="P366" s="20"/>
      <c r="Q366" s="20"/>
      <c r="R366" s="20"/>
      <c r="S366" s="20">
        <v>196</v>
      </c>
      <c r="T366" s="20">
        <v>490</v>
      </c>
      <c r="U366" s="20"/>
      <c r="V366" s="20"/>
      <c r="W366" s="20"/>
      <c r="X366" s="20"/>
      <c r="Y366" s="20"/>
      <c r="Z366" s="20"/>
      <c r="AA366" s="20"/>
      <c r="AB366" s="20"/>
      <c r="AC366" s="22">
        <f t="shared" si="13"/>
        <v>109764</v>
      </c>
      <c r="AD366" s="22">
        <f t="shared" si="14"/>
        <v>274385</v>
      </c>
    </row>
    <row r="367" spans="1:30" x14ac:dyDescent="0.25">
      <c r="A367" s="13">
        <v>452</v>
      </c>
      <c r="B367" s="14" t="s">
        <v>772</v>
      </c>
      <c r="C367" s="26" t="s">
        <v>773</v>
      </c>
      <c r="D367" s="14" t="s">
        <v>42</v>
      </c>
      <c r="E367" s="20">
        <v>25748</v>
      </c>
      <c r="F367" s="20">
        <v>64368</v>
      </c>
      <c r="G367" s="20">
        <v>324</v>
      </c>
      <c r="H367" s="20">
        <v>784</v>
      </c>
      <c r="I367" s="20">
        <v>8919</v>
      </c>
      <c r="J367" s="20">
        <v>22296</v>
      </c>
      <c r="K367" s="20">
        <v>1126</v>
      </c>
      <c r="L367" s="20">
        <v>2802</v>
      </c>
      <c r="M367" s="20"/>
      <c r="N367" s="20"/>
      <c r="O367" s="20"/>
      <c r="P367" s="20"/>
      <c r="Q367" s="20"/>
      <c r="R367" s="20"/>
      <c r="S367" s="20"/>
      <c r="T367" s="20"/>
      <c r="U367" s="20"/>
      <c r="V367" s="20"/>
      <c r="W367" s="20"/>
      <c r="X367" s="20"/>
      <c r="Y367" s="20"/>
      <c r="Z367" s="20"/>
      <c r="AA367" s="20"/>
      <c r="AB367" s="20"/>
      <c r="AC367" s="22">
        <f t="shared" si="13"/>
        <v>36117</v>
      </c>
      <c r="AD367" s="22">
        <f t="shared" si="14"/>
        <v>90250</v>
      </c>
    </row>
    <row r="368" spans="1:30" x14ac:dyDescent="0.25">
      <c r="A368" s="13">
        <v>454</v>
      </c>
      <c r="B368" s="14" t="s">
        <v>774</v>
      </c>
      <c r="C368" s="26" t="s">
        <v>775</v>
      </c>
      <c r="D368" s="14" t="s">
        <v>42</v>
      </c>
      <c r="E368" s="20">
        <v>20772</v>
      </c>
      <c r="F368" s="20">
        <v>51926</v>
      </c>
      <c r="G368" s="20">
        <v>134</v>
      </c>
      <c r="H368" s="20">
        <v>308</v>
      </c>
      <c r="I368" s="20">
        <v>1268</v>
      </c>
      <c r="J368" s="20">
        <v>3168</v>
      </c>
      <c r="K368" s="20">
        <v>660</v>
      </c>
      <c r="L368" s="20">
        <v>1648</v>
      </c>
      <c r="M368" s="20"/>
      <c r="N368" s="20"/>
      <c r="O368" s="20"/>
      <c r="P368" s="20"/>
      <c r="Q368" s="20"/>
      <c r="R368" s="20"/>
      <c r="S368" s="20">
        <v>10</v>
      </c>
      <c r="T368" s="20">
        <v>24</v>
      </c>
      <c r="U368" s="20"/>
      <c r="V368" s="20"/>
      <c r="W368" s="20"/>
      <c r="X368" s="20"/>
      <c r="Y368" s="20"/>
      <c r="Z368" s="20"/>
      <c r="AA368" s="20"/>
      <c r="AB368" s="20"/>
      <c r="AC368" s="22">
        <f t="shared" si="13"/>
        <v>22844</v>
      </c>
      <c r="AD368" s="22">
        <f t="shared" si="14"/>
        <v>57074</v>
      </c>
    </row>
    <row r="369" spans="1:30" x14ac:dyDescent="0.25">
      <c r="A369" s="13">
        <v>455</v>
      </c>
      <c r="B369" s="14" t="s">
        <v>776</v>
      </c>
      <c r="C369" s="26" t="s">
        <v>777</v>
      </c>
      <c r="D369" s="14" t="s">
        <v>42</v>
      </c>
      <c r="E369" s="20"/>
      <c r="F369" s="20"/>
      <c r="G369" s="20">
        <v>161</v>
      </c>
      <c r="H369" s="20">
        <v>393</v>
      </c>
      <c r="I369" s="20"/>
      <c r="J369" s="20"/>
      <c r="K369" s="20">
        <v>28</v>
      </c>
      <c r="L369" s="20">
        <v>70</v>
      </c>
      <c r="M369" s="20"/>
      <c r="N369" s="20"/>
      <c r="O369" s="20"/>
      <c r="P369" s="20"/>
      <c r="Q369" s="20"/>
      <c r="R369" s="20"/>
      <c r="S369" s="20"/>
      <c r="T369" s="20"/>
      <c r="U369" s="20"/>
      <c r="V369" s="20"/>
      <c r="W369" s="20"/>
      <c r="X369" s="20"/>
      <c r="Y369" s="20"/>
      <c r="Z369" s="20"/>
      <c r="AA369" s="20"/>
      <c r="AB369" s="20"/>
      <c r="AC369" s="22">
        <f t="shared" si="13"/>
        <v>189</v>
      </c>
      <c r="AD369" s="22">
        <f t="shared" si="14"/>
        <v>463</v>
      </c>
    </row>
    <row r="370" spans="1:30" x14ac:dyDescent="0.25">
      <c r="A370" s="13">
        <v>456</v>
      </c>
      <c r="B370" s="14" t="s">
        <v>778</v>
      </c>
      <c r="C370" s="26" t="s">
        <v>779</v>
      </c>
      <c r="D370" s="14" t="s">
        <v>42</v>
      </c>
      <c r="E370" s="20">
        <v>20186</v>
      </c>
      <c r="F370" s="20">
        <v>50464</v>
      </c>
      <c r="G370" s="20">
        <v>421</v>
      </c>
      <c r="H370" s="20">
        <v>1043</v>
      </c>
      <c r="I370" s="20">
        <v>12562</v>
      </c>
      <c r="J370" s="20">
        <v>31401</v>
      </c>
      <c r="K370" s="20">
        <v>58</v>
      </c>
      <c r="L370" s="20">
        <v>144</v>
      </c>
      <c r="M370" s="20"/>
      <c r="N370" s="20"/>
      <c r="O370" s="20"/>
      <c r="P370" s="20"/>
      <c r="Q370" s="20"/>
      <c r="R370" s="20"/>
      <c r="S370" s="20"/>
      <c r="T370" s="20"/>
      <c r="U370" s="20"/>
      <c r="V370" s="20"/>
      <c r="W370" s="20"/>
      <c r="X370" s="20"/>
      <c r="Y370" s="20"/>
      <c r="Z370" s="20"/>
      <c r="AA370" s="20"/>
      <c r="AB370" s="20"/>
      <c r="AC370" s="22">
        <f t="shared" si="13"/>
        <v>33227</v>
      </c>
      <c r="AD370" s="22">
        <f t="shared" si="14"/>
        <v>83052</v>
      </c>
    </row>
    <row r="371" spans="1:30" x14ac:dyDescent="0.25">
      <c r="A371" s="13">
        <v>457</v>
      </c>
      <c r="B371" s="14" t="s">
        <v>780</v>
      </c>
      <c r="C371" s="26" t="s">
        <v>781</v>
      </c>
      <c r="D371" s="14" t="s">
        <v>42</v>
      </c>
      <c r="E371" s="20"/>
      <c r="F371" s="20"/>
      <c r="G371" s="20">
        <v>216</v>
      </c>
      <c r="H371" s="20">
        <v>528</v>
      </c>
      <c r="I371" s="20"/>
      <c r="J371" s="20"/>
      <c r="K371" s="20">
        <v>1523</v>
      </c>
      <c r="L371" s="20">
        <v>3804</v>
      </c>
      <c r="M371" s="20"/>
      <c r="N371" s="20"/>
      <c r="O371" s="20"/>
      <c r="P371" s="20"/>
      <c r="Q371" s="20"/>
      <c r="R371" s="20"/>
      <c r="S371" s="20"/>
      <c r="T371" s="20"/>
      <c r="U371" s="20"/>
      <c r="V371" s="20"/>
      <c r="W371" s="20"/>
      <c r="X371" s="20"/>
      <c r="Y371" s="20"/>
      <c r="Z371" s="20"/>
      <c r="AA371" s="20"/>
      <c r="AB371" s="20"/>
      <c r="AC371" s="22">
        <f t="shared" si="13"/>
        <v>1739</v>
      </c>
      <c r="AD371" s="22">
        <f t="shared" si="14"/>
        <v>4332</v>
      </c>
    </row>
    <row r="372" spans="1:30" x14ac:dyDescent="0.25">
      <c r="A372" s="13">
        <v>460</v>
      </c>
      <c r="B372" s="14" t="s">
        <v>782</v>
      </c>
      <c r="C372" s="26" t="s">
        <v>783</v>
      </c>
      <c r="D372" s="14" t="s">
        <v>42</v>
      </c>
      <c r="E372" s="20">
        <v>16304</v>
      </c>
      <c r="F372" s="20">
        <v>40756</v>
      </c>
      <c r="G372" s="20">
        <v>2619</v>
      </c>
      <c r="H372" s="20">
        <v>6503</v>
      </c>
      <c r="I372" s="20">
        <v>6320</v>
      </c>
      <c r="J372" s="20">
        <v>15798</v>
      </c>
      <c r="K372" s="20">
        <v>755</v>
      </c>
      <c r="L372" s="20">
        <v>1877</v>
      </c>
      <c r="M372" s="20"/>
      <c r="N372" s="20"/>
      <c r="O372" s="20"/>
      <c r="P372" s="20"/>
      <c r="Q372" s="20"/>
      <c r="R372" s="20"/>
      <c r="S372" s="20"/>
      <c r="T372" s="20"/>
      <c r="U372" s="20"/>
      <c r="V372" s="20"/>
      <c r="W372" s="20"/>
      <c r="X372" s="20"/>
      <c r="Y372" s="20"/>
      <c r="Z372" s="20"/>
      <c r="AA372" s="20"/>
      <c r="AB372" s="20"/>
      <c r="AC372" s="22">
        <f t="shared" si="13"/>
        <v>25998</v>
      </c>
      <c r="AD372" s="22">
        <f t="shared" si="14"/>
        <v>64934</v>
      </c>
    </row>
    <row r="373" spans="1:30" x14ac:dyDescent="0.25">
      <c r="A373" s="13">
        <v>463</v>
      </c>
      <c r="B373" s="14" t="s">
        <v>784</v>
      </c>
      <c r="C373" s="26" t="s">
        <v>785</v>
      </c>
      <c r="D373" s="14" t="s">
        <v>42</v>
      </c>
      <c r="E373" s="20">
        <v>392802</v>
      </c>
      <c r="F373" s="20">
        <v>982002</v>
      </c>
      <c r="G373" s="20">
        <v>33924</v>
      </c>
      <c r="H373" s="20">
        <v>84756</v>
      </c>
      <c r="I373" s="20"/>
      <c r="J373" s="20"/>
      <c r="K373" s="20">
        <v>22402</v>
      </c>
      <c r="L373" s="20">
        <v>55984</v>
      </c>
      <c r="M373" s="20">
        <v>10396</v>
      </c>
      <c r="N373" s="20">
        <v>25990</v>
      </c>
      <c r="O373" s="20"/>
      <c r="P373" s="20"/>
      <c r="Q373" s="20"/>
      <c r="R373" s="20"/>
      <c r="S373" s="20"/>
      <c r="T373" s="20"/>
      <c r="U373" s="20"/>
      <c r="V373" s="20"/>
      <c r="W373" s="20"/>
      <c r="X373" s="20"/>
      <c r="Y373" s="20"/>
      <c r="Z373" s="20"/>
      <c r="AA373" s="20"/>
      <c r="AB373" s="20"/>
      <c r="AC373" s="22">
        <f t="shared" si="13"/>
        <v>459524</v>
      </c>
      <c r="AD373" s="22">
        <f t="shared" si="14"/>
        <v>1148732</v>
      </c>
    </row>
    <row r="374" spans="1:30" x14ac:dyDescent="0.25">
      <c r="A374" s="13">
        <v>465</v>
      </c>
      <c r="B374" s="14" t="s">
        <v>786</v>
      </c>
      <c r="C374" s="26" t="s">
        <v>787</v>
      </c>
      <c r="D374" s="14" t="s">
        <v>42</v>
      </c>
      <c r="E374" s="20">
        <v>424</v>
      </c>
      <c r="F374" s="20">
        <v>1056</v>
      </c>
      <c r="G374" s="20">
        <v>86</v>
      </c>
      <c r="H374" s="20">
        <v>212</v>
      </c>
      <c r="I374" s="20"/>
      <c r="J374" s="20"/>
      <c r="K374" s="20">
        <v>28</v>
      </c>
      <c r="L374" s="20">
        <v>68</v>
      </c>
      <c r="M374" s="20"/>
      <c r="N374" s="20"/>
      <c r="O374" s="20"/>
      <c r="P374" s="20"/>
      <c r="Q374" s="20"/>
      <c r="R374" s="20"/>
      <c r="S374" s="20"/>
      <c r="T374" s="20"/>
      <c r="U374" s="20"/>
      <c r="V374" s="20"/>
      <c r="W374" s="20"/>
      <c r="X374" s="20"/>
      <c r="Y374" s="20"/>
      <c r="Z374" s="20"/>
      <c r="AA374" s="20"/>
      <c r="AB374" s="20"/>
      <c r="AC374" s="22">
        <f t="shared" si="13"/>
        <v>538</v>
      </c>
      <c r="AD374" s="22">
        <f t="shared" si="14"/>
        <v>1336</v>
      </c>
    </row>
    <row r="375" spans="1:30" x14ac:dyDescent="0.25">
      <c r="A375" s="13">
        <v>466</v>
      </c>
      <c r="B375" s="14" t="s">
        <v>788</v>
      </c>
      <c r="C375" s="26" t="s">
        <v>789</v>
      </c>
      <c r="D375" s="14" t="s">
        <v>42</v>
      </c>
      <c r="E375" s="20">
        <v>554604</v>
      </c>
      <c r="F375" s="20">
        <v>1386509</v>
      </c>
      <c r="G375" s="20">
        <v>103546</v>
      </c>
      <c r="H375" s="20">
        <v>258828</v>
      </c>
      <c r="I375" s="20">
        <v>75076</v>
      </c>
      <c r="J375" s="20">
        <v>187689</v>
      </c>
      <c r="K375" s="20">
        <v>95043</v>
      </c>
      <c r="L375" s="20">
        <v>237592</v>
      </c>
      <c r="M375" s="20">
        <v>3526</v>
      </c>
      <c r="N375" s="20">
        <v>8812</v>
      </c>
      <c r="O375" s="20"/>
      <c r="P375" s="20"/>
      <c r="Q375" s="20"/>
      <c r="R375" s="20"/>
      <c r="S375" s="20"/>
      <c r="T375" s="20"/>
      <c r="U375" s="20"/>
      <c r="V375" s="20"/>
      <c r="W375" s="20"/>
      <c r="X375" s="20"/>
      <c r="Y375" s="20"/>
      <c r="Z375" s="20"/>
      <c r="AA375" s="20"/>
      <c r="AB375" s="20"/>
      <c r="AC375" s="22">
        <f t="shared" si="13"/>
        <v>831795</v>
      </c>
      <c r="AD375" s="22">
        <f t="shared" si="14"/>
        <v>2079430</v>
      </c>
    </row>
    <row r="376" spans="1:30" x14ac:dyDescent="0.25">
      <c r="A376" s="13">
        <v>467</v>
      </c>
      <c r="B376" s="14" t="s">
        <v>790</v>
      </c>
      <c r="C376" s="26" t="s">
        <v>791</v>
      </c>
      <c r="D376" s="14" t="s">
        <v>42</v>
      </c>
      <c r="E376" s="20"/>
      <c r="F376" s="20"/>
      <c r="G376" s="20">
        <v>81</v>
      </c>
      <c r="H376" s="20">
        <v>194</v>
      </c>
      <c r="I376" s="20"/>
      <c r="J376" s="20"/>
      <c r="K376" s="20">
        <v>6066</v>
      </c>
      <c r="L376" s="20">
        <v>15165</v>
      </c>
      <c r="M376" s="20"/>
      <c r="N376" s="20"/>
      <c r="O376" s="20"/>
      <c r="P376" s="20"/>
      <c r="Q376" s="20"/>
      <c r="R376" s="20"/>
      <c r="S376" s="20">
        <v>8</v>
      </c>
      <c r="T376" s="20">
        <v>20</v>
      </c>
      <c r="U376" s="20"/>
      <c r="V376" s="20"/>
      <c r="W376" s="20"/>
      <c r="X376" s="20"/>
      <c r="Y376" s="20"/>
      <c r="Z376" s="20"/>
      <c r="AA376" s="20"/>
      <c r="AB376" s="20"/>
      <c r="AC376" s="22">
        <f t="shared" si="13"/>
        <v>6155</v>
      </c>
      <c r="AD376" s="22">
        <f t="shared" si="14"/>
        <v>15379</v>
      </c>
    </row>
    <row r="377" spans="1:30" x14ac:dyDescent="0.25">
      <c r="A377" s="13">
        <v>468</v>
      </c>
      <c r="B377" s="14" t="s">
        <v>792</v>
      </c>
      <c r="C377" s="26" t="s">
        <v>793</v>
      </c>
      <c r="D377" s="14" t="s">
        <v>42</v>
      </c>
      <c r="E377" s="20">
        <v>909</v>
      </c>
      <c r="F377" s="20">
        <v>2269</v>
      </c>
      <c r="G377" s="20">
        <v>466</v>
      </c>
      <c r="H377" s="20">
        <v>1162</v>
      </c>
      <c r="I377" s="20">
        <v>516</v>
      </c>
      <c r="J377" s="20">
        <v>1288</v>
      </c>
      <c r="K377" s="20">
        <v>3887</v>
      </c>
      <c r="L377" s="20">
        <v>9695</v>
      </c>
      <c r="M377" s="20"/>
      <c r="N377" s="20"/>
      <c r="O377" s="20"/>
      <c r="P377" s="20"/>
      <c r="Q377" s="20"/>
      <c r="R377" s="20"/>
      <c r="S377" s="20"/>
      <c r="T377" s="20"/>
      <c r="U377" s="20"/>
      <c r="V377" s="20"/>
      <c r="W377" s="20"/>
      <c r="X377" s="20"/>
      <c r="Y377" s="20"/>
      <c r="Z377" s="20"/>
      <c r="AA377" s="20"/>
      <c r="AB377" s="20"/>
      <c r="AC377" s="22">
        <f t="shared" si="13"/>
        <v>5778</v>
      </c>
      <c r="AD377" s="22">
        <f t="shared" si="14"/>
        <v>14414</v>
      </c>
    </row>
    <row r="378" spans="1:30" x14ac:dyDescent="0.25">
      <c r="A378" s="13">
        <v>469</v>
      </c>
      <c r="B378" s="14" t="s">
        <v>794</v>
      </c>
      <c r="C378" s="26" t="s">
        <v>795</v>
      </c>
      <c r="D378" s="14" t="s">
        <v>42</v>
      </c>
      <c r="E378" s="20">
        <v>473296</v>
      </c>
      <c r="F378" s="20">
        <v>1183240</v>
      </c>
      <c r="G378" s="20">
        <v>1664</v>
      </c>
      <c r="H378" s="20">
        <v>4137</v>
      </c>
      <c r="I378" s="20">
        <v>39714</v>
      </c>
      <c r="J378" s="20">
        <v>99285</v>
      </c>
      <c r="K378" s="20">
        <v>34401</v>
      </c>
      <c r="L378" s="20">
        <v>85977</v>
      </c>
      <c r="M378" s="20"/>
      <c r="N378" s="20"/>
      <c r="O378" s="20"/>
      <c r="P378" s="20"/>
      <c r="Q378" s="20"/>
      <c r="R378" s="20"/>
      <c r="S378" s="20"/>
      <c r="T378" s="20"/>
      <c r="U378" s="20"/>
      <c r="V378" s="20"/>
      <c r="W378" s="20"/>
      <c r="X378" s="20"/>
      <c r="Y378" s="20"/>
      <c r="Z378" s="20"/>
      <c r="AA378" s="20"/>
      <c r="AB378" s="20"/>
      <c r="AC378" s="22">
        <f t="shared" si="13"/>
        <v>549075</v>
      </c>
      <c r="AD378" s="22">
        <f t="shared" si="14"/>
        <v>1372639</v>
      </c>
    </row>
    <row r="379" spans="1:30" x14ac:dyDescent="0.25">
      <c r="A379" s="13">
        <v>470</v>
      </c>
      <c r="B379" s="14" t="s">
        <v>796</v>
      </c>
      <c r="C379" s="26" t="s">
        <v>797</v>
      </c>
      <c r="D379" s="14" t="s">
        <v>42</v>
      </c>
      <c r="E379" s="20">
        <v>20</v>
      </c>
      <c r="F379" s="20">
        <v>48</v>
      </c>
      <c r="G379" s="20">
        <v>94</v>
      </c>
      <c r="H379" s="20">
        <v>231</v>
      </c>
      <c r="I379" s="20"/>
      <c r="J379" s="20"/>
      <c r="K379" s="20">
        <v>14105</v>
      </c>
      <c r="L379" s="20">
        <v>35259</v>
      </c>
      <c r="M379" s="20"/>
      <c r="N379" s="20"/>
      <c r="O379" s="20"/>
      <c r="P379" s="20"/>
      <c r="Q379" s="20"/>
      <c r="R379" s="20"/>
      <c r="S379" s="20"/>
      <c r="T379" s="20"/>
      <c r="U379" s="20"/>
      <c r="V379" s="20"/>
      <c r="W379" s="20"/>
      <c r="X379" s="20"/>
      <c r="Y379" s="20"/>
      <c r="Z379" s="20"/>
      <c r="AA379" s="20"/>
      <c r="AB379" s="20"/>
      <c r="AC379" s="22">
        <f t="shared" si="13"/>
        <v>14219</v>
      </c>
      <c r="AD379" s="22">
        <f t="shared" si="14"/>
        <v>35538</v>
      </c>
    </row>
    <row r="380" spans="1:30" x14ac:dyDescent="0.25">
      <c r="A380" s="13">
        <v>471</v>
      </c>
      <c r="B380" s="14" t="s">
        <v>798</v>
      </c>
      <c r="C380" s="26" t="s">
        <v>799</v>
      </c>
      <c r="D380" s="14" t="s">
        <v>42</v>
      </c>
      <c r="E380" s="20">
        <v>9376</v>
      </c>
      <c r="F380" s="20">
        <v>23439</v>
      </c>
      <c r="G380" s="20">
        <v>480</v>
      </c>
      <c r="H380" s="20">
        <v>1190</v>
      </c>
      <c r="I380" s="20">
        <v>24</v>
      </c>
      <c r="J380" s="20">
        <v>60</v>
      </c>
      <c r="K380" s="20">
        <v>286</v>
      </c>
      <c r="L380" s="20">
        <v>711</v>
      </c>
      <c r="M380" s="20"/>
      <c r="N380" s="20"/>
      <c r="O380" s="20"/>
      <c r="P380" s="20"/>
      <c r="Q380" s="20"/>
      <c r="R380" s="20"/>
      <c r="S380" s="20"/>
      <c r="T380" s="20"/>
      <c r="U380" s="20"/>
      <c r="V380" s="20"/>
      <c r="W380" s="20"/>
      <c r="X380" s="20"/>
      <c r="Y380" s="20"/>
      <c r="Z380" s="20"/>
      <c r="AA380" s="20"/>
      <c r="AB380" s="20"/>
      <c r="AC380" s="22">
        <f t="shared" si="13"/>
        <v>10166</v>
      </c>
      <c r="AD380" s="22">
        <f t="shared" si="14"/>
        <v>25400</v>
      </c>
    </row>
    <row r="381" spans="1:30" x14ac:dyDescent="0.25">
      <c r="A381" s="13">
        <v>473</v>
      </c>
      <c r="B381" s="14" t="s">
        <v>800</v>
      </c>
      <c r="C381" s="26" t="s">
        <v>801</v>
      </c>
      <c r="D381" s="14" t="s">
        <v>42</v>
      </c>
      <c r="E381" s="20">
        <v>10924</v>
      </c>
      <c r="F381" s="20">
        <v>27306</v>
      </c>
      <c r="G381" s="20">
        <v>7116</v>
      </c>
      <c r="H381" s="20">
        <v>17712</v>
      </c>
      <c r="I381" s="20">
        <v>1306</v>
      </c>
      <c r="J381" s="20">
        <v>3264</v>
      </c>
      <c r="K381" s="20">
        <v>3811</v>
      </c>
      <c r="L381" s="20">
        <v>9502</v>
      </c>
      <c r="M381" s="20"/>
      <c r="N381" s="20"/>
      <c r="O381" s="20"/>
      <c r="P381" s="20"/>
      <c r="Q381" s="20"/>
      <c r="R381" s="20"/>
      <c r="S381" s="20"/>
      <c r="T381" s="20"/>
      <c r="U381" s="20"/>
      <c r="V381" s="20"/>
      <c r="W381" s="20"/>
      <c r="X381" s="20"/>
      <c r="Y381" s="20"/>
      <c r="Z381" s="20"/>
      <c r="AA381" s="20"/>
      <c r="AB381" s="20"/>
      <c r="AC381" s="22">
        <f t="shared" si="13"/>
        <v>23157</v>
      </c>
      <c r="AD381" s="22">
        <f t="shared" si="14"/>
        <v>57784</v>
      </c>
    </row>
    <row r="382" spans="1:30" x14ac:dyDescent="0.25">
      <c r="A382" s="13">
        <v>475</v>
      </c>
      <c r="B382" s="14" t="s">
        <v>802</v>
      </c>
      <c r="C382" s="26" t="s">
        <v>803</v>
      </c>
      <c r="D382" s="14" t="s">
        <v>42</v>
      </c>
      <c r="E382" s="20">
        <v>28135888</v>
      </c>
      <c r="F382" s="20">
        <v>70339716</v>
      </c>
      <c r="G382" s="20">
        <v>421398</v>
      </c>
      <c r="H382" s="20">
        <v>1053455</v>
      </c>
      <c r="I382" s="20">
        <v>4543690</v>
      </c>
      <c r="J382" s="20">
        <v>11359225</v>
      </c>
      <c r="K382" s="20">
        <v>7637</v>
      </c>
      <c r="L382" s="20">
        <v>19078</v>
      </c>
      <c r="M382" s="20"/>
      <c r="N382" s="20"/>
      <c r="O382" s="20"/>
      <c r="P382" s="20"/>
      <c r="Q382" s="20"/>
      <c r="R382" s="20"/>
      <c r="S382" s="20">
        <v>4134</v>
      </c>
      <c r="T382" s="20">
        <v>10331</v>
      </c>
      <c r="U382" s="20"/>
      <c r="V382" s="20"/>
      <c r="W382" s="20"/>
      <c r="X382" s="20"/>
      <c r="Y382" s="20"/>
      <c r="Z382" s="20"/>
      <c r="AA382" s="20"/>
      <c r="AB382" s="20"/>
      <c r="AC382" s="22">
        <f t="shared" si="13"/>
        <v>33112747</v>
      </c>
      <c r="AD382" s="22">
        <f t="shared" si="14"/>
        <v>82781805</v>
      </c>
    </row>
    <row r="383" spans="1:30" x14ac:dyDescent="0.25">
      <c r="A383" s="13">
        <v>476</v>
      </c>
      <c r="B383" s="14" t="s">
        <v>804</v>
      </c>
      <c r="C383" s="26" t="s">
        <v>805</v>
      </c>
      <c r="D383" s="14" t="s">
        <v>43</v>
      </c>
      <c r="E383" s="20">
        <v>12384</v>
      </c>
      <c r="F383" s="20">
        <v>30960</v>
      </c>
      <c r="G383" s="20">
        <v>887015</v>
      </c>
      <c r="H383" s="20">
        <v>2217519</v>
      </c>
      <c r="I383" s="20"/>
      <c r="J383" s="20"/>
      <c r="K383" s="20">
        <v>116586</v>
      </c>
      <c r="L383" s="20">
        <v>291431</v>
      </c>
      <c r="M383" s="20"/>
      <c r="N383" s="20"/>
      <c r="O383" s="20">
        <v>8840</v>
      </c>
      <c r="P383" s="20">
        <v>22099</v>
      </c>
      <c r="Q383" s="20">
        <v>47640</v>
      </c>
      <c r="R383" s="20">
        <v>119100</v>
      </c>
      <c r="S383" s="20">
        <v>6606</v>
      </c>
      <c r="T383" s="20">
        <v>16515</v>
      </c>
      <c r="U383" s="20"/>
      <c r="V383" s="20"/>
      <c r="W383" s="20"/>
      <c r="X383" s="20"/>
      <c r="Y383" s="20"/>
      <c r="Z383" s="20"/>
      <c r="AA383" s="20">
        <v>92</v>
      </c>
      <c r="AB383" s="20">
        <v>228</v>
      </c>
      <c r="AC383" s="22">
        <f t="shared" si="13"/>
        <v>1079163</v>
      </c>
      <c r="AD383" s="22">
        <f t="shared" si="14"/>
        <v>2697852</v>
      </c>
    </row>
    <row r="384" spans="1:30" x14ac:dyDescent="0.25">
      <c r="A384" s="13">
        <v>478</v>
      </c>
      <c r="B384" s="14" t="s">
        <v>806</v>
      </c>
      <c r="C384" s="26" t="s">
        <v>807</v>
      </c>
      <c r="D384" s="14" t="s">
        <v>42</v>
      </c>
      <c r="E384" s="20">
        <v>274742</v>
      </c>
      <c r="F384" s="20">
        <v>686853</v>
      </c>
      <c r="G384" s="20">
        <v>17972</v>
      </c>
      <c r="H384" s="20">
        <v>44910</v>
      </c>
      <c r="I384" s="20">
        <v>232352</v>
      </c>
      <c r="J384" s="20">
        <v>580880</v>
      </c>
      <c r="K384" s="20">
        <v>3889</v>
      </c>
      <c r="L384" s="20">
        <v>9710</v>
      </c>
      <c r="M384" s="20">
        <v>13500</v>
      </c>
      <c r="N384" s="20">
        <v>33750</v>
      </c>
      <c r="O384" s="20">
        <v>2297</v>
      </c>
      <c r="P384" s="20">
        <v>5742</v>
      </c>
      <c r="Q384" s="20"/>
      <c r="R384" s="20"/>
      <c r="S384" s="20">
        <v>81</v>
      </c>
      <c r="T384" s="20">
        <v>200</v>
      </c>
      <c r="U384" s="20"/>
      <c r="V384" s="20"/>
      <c r="W384" s="20"/>
      <c r="X384" s="20"/>
      <c r="Y384" s="20"/>
      <c r="Z384" s="20"/>
      <c r="AA384" s="20"/>
      <c r="AB384" s="20"/>
      <c r="AC384" s="22">
        <f t="shared" si="13"/>
        <v>544833</v>
      </c>
      <c r="AD384" s="22">
        <f t="shared" si="14"/>
        <v>1362045</v>
      </c>
    </row>
    <row r="385" spans="1:30" x14ac:dyDescent="0.25">
      <c r="A385" s="13">
        <v>480</v>
      </c>
      <c r="B385" s="14" t="s">
        <v>808</v>
      </c>
      <c r="C385" s="26" t="s">
        <v>809</v>
      </c>
      <c r="D385" s="14" t="s">
        <v>42</v>
      </c>
      <c r="E385" s="20">
        <v>72744</v>
      </c>
      <c r="F385" s="20">
        <v>181859</v>
      </c>
      <c r="G385" s="20">
        <v>609</v>
      </c>
      <c r="H385" s="20">
        <v>1496</v>
      </c>
      <c r="I385" s="20"/>
      <c r="J385" s="20"/>
      <c r="K385" s="20">
        <v>239</v>
      </c>
      <c r="L385" s="20">
        <v>594</v>
      </c>
      <c r="M385" s="20"/>
      <c r="N385" s="20"/>
      <c r="O385" s="20"/>
      <c r="P385" s="20"/>
      <c r="Q385" s="20"/>
      <c r="R385" s="20"/>
      <c r="S385" s="20">
        <v>1922</v>
      </c>
      <c r="T385" s="20">
        <v>4805</v>
      </c>
      <c r="U385" s="20"/>
      <c r="V385" s="20"/>
      <c r="W385" s="20"/>
      <c r="X385" s="20"/>
      <c r="Y385" s="20"/>
      <c r="Z385" s="20"/>
      <c r="AA385" s="20"/>
      <c r="AB385" s="20"/>
      <c r="AC385" s="22">
        <f t="shared" si="13"/>
        <v>75514</v>
      </c>
      <c r="AD385" s="22">
        <f t="shared" si="14"/>
        <v>188754</v>
      </c>
    </row>
    <row r="386" spans="1:30" x14ac:dyDescent="0.25">
      <c r="A386" s="13">
        <v>481</v>
      </c>
      <c r="B386" s="14" t="s">
        <v>810</v>
      </c>
      <c r="C386" s="26" t="s">
        <v>811</v>
      </c>
      <c r="D386" s="14" t="s">
        <v>42</v>
      </c>
      <c r="E386" s="20"/>
      <c r="F386" s="20"/>
      <c r="G386" s="20">
        <v>1</v>
      </c>
      <c r="H386" s="20">
        <v>2</v>
      </c>
      <c r="I386" s="20">
        <v>1316</v>
      </c>
      <c r="J386" s="20">
        <v>3288</v>
      </c>
      <c r="K386" s="20">
        <v>10</v>
      </c>
      <c r="L386" s="20">
        <v>24</v>
      </c>
      <c r="M386" s="20"/>
      <c r="N386" s="20"/>
      <c r="O386" s="20"/>
      <c r="P386" s="20"/>
      <c r="Q386" s="20"/>
      <c r="R386" s="20"/>
      <c r="S386" s="20"/>
      <c r="T386" s="20"/>
      <c r="U386" s="20"/>
      <c r="V386" s="20"/>
      <c r="W386" s="20"/>
      <c r="X386" s="20"/>
      <c r="Y386" s="20"/>
      <c r="Z386" s="20"/>
      <c r="AA386" s="20"/>
      <c r="AB386" s="20"/>
      <c r="AC386" s="22">
        <f t="shared" si="13"/>
        <v>1327</v>
      </c>
      <c r="AD386" s="22">
        <f t="shared" si="14"/>
        <v>3314</v>
      </c>
    </row>
    <row r="387" spans="1:30" x14ac:dyDescent="0.25">
      <c r="A387" s="13">
        <v>483</v>
      </c>
      <c r="B387" s="14" t="s">
        <v>812</v>
      </c>
      <c r="C387" s="26" t="s">
        <v>813</v>
      </c>
      <c r="D387" s="14" t="s">
        <v>42</v>
      </c>
      <c r="E387" s="20">
        <v>243525</v>
      </c>
      <c r="F387" s="20">
        <v>608811</v>
      </c>
      <c r="G387" s="20">
        <v>9636</v>
      </c>
      <c r="H387" s="20">
        <v>24076</v>
      </c>
      <c r="I387" s="20"/>
      <c r="J387" s="20"/>
      <c r="K387" s="20">
        <v>410</v>
      </c>
      <c r="L387" s="20">
        <v>1023</v>
      </c>
      <c r="M387" s="20"/>
      <c r="N387" s="20"/>
      <c r="O387" s="20"/>
      <c r="P387" s="20"/>
      <c r="Q387" s="20"/>
      <c r="R387" s="20"/>
      <c r="S387" s="20"/>
      <c r="T387" s="20"/>
      <c r="U387" s="20"/>
      <c r="V387" s="20"/>
      <c r="W387" s="20"/>
      <c r="X387" s="20"/>
      <c r="Y387" s="20"/>
      <c r="Z387" s="20"/>
      <c r="AA387" s="20"/>
      <c r="AB387" s="20"/>
      <c r="AC387" s="22">
        <f t="shared" si="13"/>
        <v>253571</v>
      </c>
      <c r="AD387" s="22">
        <f t="shared" si="14"/>
        <v>633910</v>
      </c>
    </row>
    <row r="388" spans="1:30" x14ac:dyDescent="0.25">
      <c r="A388" s="13">
        <v>484</v>
      </c>
      <c r="B388" s="14" t="s">
        <v>814</v>
      </c>
      <c r="C388" s="26" t="s">
        <v>815</v>
      </c>
      <c r="D388" s="14" t="s">
        <v>42</v>
      </c>
      <c r="E388" s="20">
        <v>29874926</v>
      </c>
      <c r="F388" s="20">
        <v>74687313</v>
      </c>
      <c r="G388" s="20">
        <v>5177805</v>
      </c>
      <c r="H388" s="20">
        <v>12944466</v>
      </c>
      <c r="I388" s="20">
        <v>5304492</v>
      </c>
      <c r="J388" s="20">
        <v>13261228</v>
      </c>
      <c r="K388" s="20">
        <v>48973</v>
      </c>
      <c r="L388" s="20">
        <v>122403</v>
      </c>
      <c r="M388" s="20"/>
      <c r="N388" s="20"/>
      <c r="O388" s="20">
        <v>26194</v>
      </c>
      <c r="P388" s="20">
        <v>65483</v>
      </c>
      <c r="Q388" s="20">
        <v>56998</v>
      </c>
      <c r="R388" s="20">
        <v>142492</v>
      </c>
      <c r="S388" s="20">
        <v>16200</v>
      </c>
      <c r="T388" s="20">
        <v>40500</v>
      </c>
      <c r="U388" s="20">
        <v>2592</v>
      </c>
      <c r="V388" s="20">
        <v>6480</v>
      </c>
      <c r="W388" s="20"/>
      <c r="X388" s="20"/>
      <c r="Y388" s="20"/>
      <c r="Z388" s="20"/>
      <c r="AA388" s="20">
        <v>516</v>
      </c>
      <c r="AB388" s="20">
        <v>1290</v>
      </c>
      <c r="AC388" s="22">
        <f t="shared" si="13"/>
        <v>40508696</v>
      </c>
      <c r="AD388" s="22">
        <f t="shared" si="14"/>
        <v>101271655</v>
      </c>
    </row>
    <row r="389" spans="1:30" x14ac:dyDescent="0.25">
      <c r="A389" s="13">
        <v>485</v>
      </c>
      <c r="B389" s="14" t="s">
        <v>816</v>
      </c>
      <c r="C389" s="26" t="s">
        <v>817</v>
      </c>
      <c r="D389" s="14" t="s">
        <v>42</v>
      </c>
      <c r="E389" s="20">
        <v>49384</v>
      </c>
      <c r="F389" s="20">
        <v>123456</v>
      </c>
      <c r="G389" s="20">
        <v>650</v>
      </c>
      <c r="H389" s="20">
        <v>1597</v>
      </c>
      <c r="I389" s="20">
        <v>2832</v>
      </c>
      <c r="J389" s="20">
        <v>7080</v>
      </c>
      <c r="K389" s="20">
        <v>486</v>
      </c>
      <c r="L389" s="20">
        <v>1213</v>
      </c>
      <c r="M389" s="20"/>
      <c r="N389" s="20"/>
      <c r="O389" s="20"/>
      <c r="P389" s="20"/>
      <c r="Q389" s="20"/>
      <c r="R389" s="20"/>
      <c r="S389" s="20"/>
      <c r="T389" s="20"/>
      <c r="U389" s="20"/>
      <c r="V389" s="20"/>
      <c r="W389" s="20"/>
      <c r="X389" s="20"/>
      <c r="Y389" s="20"/>
      <c r="Z389" s="20"/>
      <c r="AA389" s="20"/>
      <c r="AB389" s="20"/>
      <c r="AC389" s="22">
        <f t="shared" si="13"/>
        <v>53352</v>
      </c>
      <c r="AD389" s="22">
        <f t="shared" si="14"/>
        <v>133346</v>
      </c>
    </row>
    <row r="390" spans="1:30" x14ac:dyDescent="0.25">
      <c r="A390" s="13">
        <v>488</v>
      </c>
      <c r="B390" s="14" t="s">
        <v>818</v>
      </c>
      <c r="C390" s="26" t="s">
        <v>819</v>
      </c>
      <c r="D390" s="14" t="s">
        <v>42</v>
      </c>
      <c r="E390" s="20">
        <v>75124</v>
      </c>
      <c r="F390" s="20">
        <v>187806</v>
      </c>
      <c r="G390" s="20">
        <v>10941</v>
      </c>
      <c r="H390" s="20">
        <v>27328</v>
      </c>
      <c r="I390" s="20">
        <v>6096</v>
      </c>
      <c r="J390" s="20">
        <v>15240</v>
      </c>
      <c r="K390" s="20">
        <v>5452</v>
      </c>
      <c r="L390" s="20">
        <v>13614</v>
      </c>
      <c r="M390" s="20">
        <v>532</v>
      </c>
      <c r="N390" s="20">
        <v>1330</v>
      </c>
      <c r="O390" s="20"/>
      <c r="P390" s="20"/>
      <c r="Q390" s="20"/>
      <c r="R390" s="20"/>
      <c r="S390" s="20"/>
      <c r="T390" s="20"/>
      <c r="U390" s="20"/>
      <c r="V390" s="20"/>
      <c r="W390" s="20"/>
      <c r="X390" s="20"/>
      <c r="Y390" s="20"/>
      <c r="Z390" s="20"/>
      <c r="AA390" s="20"/>
      <c r="AB390" s="20"/>
      <c r="AC390" s="22">
        <f t="shared" si="13"/>
        <v>98145</v>
      </c>
      <c r="AD390" s="22">
        <f t="shared" si="14"/>
        <v>245318</v>
      </c>
    </row>
    <row r="391" spans="1:30" x14ac:dyDescent="0.25">
      <c r="A391" s="13">
        <v>489</v>
      </c>
      <c r="B391" s="14" t="s">
        <v>820</v>
      </c>
      <c r="C391" s="26" t="s">
        <v>821</v>
      </c>
      <c r="D391" s="14" t="s">
        <v>42</v>
      </c>
      <c r="E391" s="20">
        <v>36069959</v>
      </c>
      <c r="F391" s="20">
        <v>90174895</v>
      </c>
      <c r="G391" s="20">
        <v>1837097</v>
      </c>
      <c r="H391" s="20">
        <v>4592700</v>
      </c>
      <c r="I391" s="20">
        <v>5971765</v>
      </c>
      <c r="J391" s="20">
        <v>14929411</v>
      </c>
      <c r="K391" s="20">
        <v>28046</v>
      </c>
      <c r="L391" s="20">
        <v>70091</v>
      </c>
      <c r="M391" s="20">
        <v>161396</v>
      </c>
      <c r="N391" s="20">
        <v>403490</v>
      </c>
      <c r="O391" s="20">
        <v>8836</v>
      </c>
      <c r="P391" s="20">
        <v>22088</v>
      </c>
      <c r="Q391" s="20">
        <v>128352</v>
      </c>
      <c r="R391" s="20">
        <v>320880</v>
      </c>
      <c r="S391" s="20">
        <v>5622</v>
      </c>
      <c r="T391" s="20">
        <v>14055</v>
      </c>
      <c r="U391" s="20"/>
      <c r="V391" s="20"/>
      <c r="W391" s="20"/>
      <c r="X391" s="20"/>
      <c r="Y391" s="20"/>
      <c r="Z391" s="20"/>
      <c r="AA391" s="20">
        <v>1980</v>
      </c>
      <c r="AB391" s="20">
        <v>4950</v>
      </c>
      <c r="AC391" s="22">
        <f t="shared" si="13"/>
        <v>44213053</v>
      </c>
      <c r="AD391" s="22">
        <f t="shared" si="14"/>
        <v>110532560</v>
      </c>
    </row>
    <row r="392" spans="1:30" x14ac:dyDescent="0.25">
      <c r="A392" s="13">
        <v>490</v>
      </c>
      <c r="B392" s="14" t="s">
        <v>822</v>
      </c>
      <c r="C392" s="26" t="s">
        <v>823</v>
      </c>
      <c r="D392" s="14" t="s">
        <v>42</v>
      </c>
      <c r="E392" s="20">
        <v>8321684</v>
      </c>
      <c r="F392" s="20">
        <v>20804210</v>
      </c>
      <c r="G392" s="20">
        <v>1856979</v>
      </c>
      <c r="H392" s="20">
        <v>4642367</v>
      </c>
      <c r="I392" s="20">
        <v>1796025</v>
      </c>
      <c r="J392" s="20">
        <v>4490060</v>
      </c>
      <c r="K392" s="20">
        <v>395613</v>
      </c>
      <c r="L392" s="20">
        <v>989016</v>
      </c>
      <c r="M392" s="20">
        <v>75560</v>
      </c>
      <c r="N392" s="20">
        <v>188898</v>
      </c>
      <c r="O392" s="20"/>
      <c r="P392" s="20"/>
      <c r="Q392" s="20"/>
      <c r="R392" s="20"/>
      <c r="S392" s="20">
        <v>2526</v>
      </c>
      <c r="T392" s="20">
        <v>6315</v>
      </c>
      <c r="U392" s="20"/>
      <c r="V392" s="20"/>
      <c r="W392" s="20"/>
      <c r="X392" s="20"/>
      <c r="Y392" s="20"/>
      <c r="Z392" s="20"/>
      <c r="AA392" s="20">
        <v>80</v>
      </c>
      <c r="AB392" s="20">
        <v>200</v>
      </c>
      <c r="AC392" s="22">
        <f t="shared" si="13"/>
        <v>12448467</v>
      </c>
      <c r="AD392" s="22">
        <f t="shared" si="14"/>
        <v>31121066</v>
      </c>
    </row>
    <row r="393" spans="1:30" x14ac:dyDescent="0.25">
      <c r="A393" s="13">
        <v>491</v>
      </c>
      <c r="B393" s="14" t="s">
        <v>824</v>
      </c>
      <c r="C393" s="26" t="s">
        <v>825</v>
      </c>
      <c r="D393" s="14" t="s">
        <v>42</v>
      </c>
      <c r="E393" s="20">
        <v>14874</v>
      </c>
      <c r="F393" s="20">
        <v>37182</v>
      </c>
      <c r="G393" s="20">
        <v>144</v>
      </c>
      <c r="H393" s="20">
        <v>360</v>
      </c>
      <c r="I393" s="20">
        <v>4075</v>
      </c>
      <c r="J393" s="20">
        <v>10187</v>
      </c>
      <c r="K393" s="20">
        <v>1948</v>
      </c>
      <c r="L393" s="20">
        <v>4868</v>
      </c>
      <c r="M393" s="20">
        <v>1360</v>
      </c>
      <c r="N393" s="20">
        <v>3400</v>
      </c>
      <c r="O393" s="20"/>
      <c r="P393" s="20"/>
      <c r="Q393" s="20"/>
      <c r="R393" s="20"/>
      <c r="S393" s="20"/>
      <c r="T393" s="20"/>
      <c r="U393" s="20"/>
      <c r="V393" s="20"/>
      <c r="W393" s="20"/>
      <c r="X393" s="20"/>
      <c r="Y393" s="20"/>
      <c r="Z393" s="20"/>
      <c r="AA393" s="20"/>
      <c r="AB393" s="20"/>
      <c r="AC393" s="22">
        <f t="shared" si="13"/>
        <v>22401</v>
      </c>
      <c r="AD393" s="22">
        <f t="shared" si="14"/>
        <v>55997</v>
      </c>
    </row>
    <row r="394" spans="1:30" x14ac:dyDescent="0.25">
      <c r="A394" s="13">
        <v>493</v>
      </c>
      <c r="B394" s="14" t="s">
        <v>826</v>
      </c>
      <c r="C394" s="26" t="s">
        <v>827</v>
      </c>
      <c r="D394" s="14" t="s">
        <v>42</v>
      </c>
      <c r="E394" s="20">
        <v>4037</v>
      </c>
      <c r="F394" s="20">
        <v>10091</v>
      </c>
      <c r="G394" s="20">
        <v>2089</v>
      </c>
      <c r="H394" s="20">
        <v>5177</v>
      </c>
      <c r="I394" s="20"/>
      <c r="J394" s="20"/>
      <c r="K394" s="20">
        <v>1658</v>
      </c>
      <c r="L394" s="20">
        <v>4124</v>
      </c>
      <c r="M394" s="20"/>
      <c r="N394" s="20"/>
      <c r="O394" s="20"/>
      <c r="P394" s="20"/>
      <c r="Q394" s="20"/>
      <c r="R394" s="20"/>
      <c r="S394" s="20"/>
      <c r="T394" s="20"/>
      <c r="U394" s="20"/>
      <c r="V394" s="20"/>
      <c r="W394" s="20"/>
      <c r="X394" s="20"/>
      <c r="Y394" s="20"/>
      <c r="Z394" s="20"/>
      <c r="AA394" s="20"/>
      <c r="AB394" s="20"/>
      <c r="AC394" s="22">
        <f t="shared" si="13"/>
        <v>7784</v>
      </c>
      <c r="AD394" s="22">
        <f t="shared" si="14"/>
        <v>19392</v>
      </c>
    </row>
    <row r="395" spans="1:30" x14ac:dyDescent="0.25">
      <c r="A395" s="13">
        <v>495</v>
      </c>
      <c r="B395" s="14" t="s">
        <v>828</v>
      </c>
      <c r="C395" s="26" t="s">
        <v>829</v>
      </c>
      <c r="D395" s="14" t="s">
        <v>42</v>
      </c>
      <c r="E395" s="20">
        <v>16132</v>
      </c>
      <c r="F395" s="20">
        <v>40330</v>
      </c>
      <c r="G395" s="20">
        <v>26</v>
      </c>
      <c r="H395" s="20">
        <v>57</v>
      </c>
      <c r="I395" s="20"/>
      <c r="J395" s="20"/>
      <c r="K395" s="20">
        <v>197</v>
      </c>
      <c r="L395" s="20">
        <v>489</v>
      </c>
      <c r="M395" s="20"/>
      <c r="N395" s="20"/>
      <c r="O395" s="20"/>
      <c r="P395" s="20"/>
      <c r="Q395" s="20"/>
      <c r="R395" s="20"/>
      <c r="S395" s="20"/>
      <c r="T395" s="20"/>
      <c r="U395" s="20"/>
      <c r="V395" s="20"/>
      <c r="W395" s="20"/>
      <c r="X395" s="20"/>
      <c r="Y395" s="20"/>
      <c r="Z395" s="20"/>
      <c r="AA395" s="20"/>
      <c r="AB395" s="20"/>
      <c r="AC395" s="22">
        <f t="shared" si="13"/>
        <v>16355</v>
      </c>
      <c r="AD395" s="22">
        <f t="shared" si="14"/>
        <v>40876</v>
      </c>
    </row>
    <row r="396" spans="1:30" x14ac:dyDescent="0.25">
      <c r="A396" s="13">
        <v>496</v>
      </c>
      <c r="B396" s="14" t="s">
        <v>830</v>
      </c>
      <c r="C396" s="26" t="s">
        <v>831</v>
      </c>
      <c r="D396" s="14" t="s">
        <v>42</v>
      </c>
      <c r="E396" s="20">
        <v>15354</v>
      </c>
      <c r="F396" s="20">
        <v>38384</v>
      </c>
      <c r="G396" s="20">
        <v>44</v>
      </c>
      <c r="H396" s="20">
        <v>95</v>
      </c>
      <c r="I396" s="20">
        <v>832</v>
      </c>
      <c r="J396" s="20">
        <v>2079</v>
      </c>
      <c r="K396" s="20">
        <v>527</v>
      </c>
      <c r="L396" s="20">
        <v>1308</v>
      </c>
      <c r="M396" s="20"/>
      <c r="N396" s="20"/>
      <c r="O396" s="20"/>
      <c r="P396" s="20"/>
      <c r="Q396" s="20"/>
      <c r="R396" s="20"/>
      <c r="S396" s="20"/>
      <c r="T396" s="20"/>
      <c r="U396" s="20"/>
      <c r="V396" s="20"/>
      <c r="W396" s="20"/>
      <c r="X396" s="20"/>
      <c r="Y396" s="20"/>
      <c r="Z396" s="20"/>
      <c r="AA396" s="20"/>
      <c r="AB396" s="20"/>
      <c r="AC396" s="22">
        <f t="shared" ref="AC396:AC422" si="15">SUM(E396+G396+I396+K396+M396+O396+Q396+S396+U396+W396+Y396+AA396)</f>
        <v>16757</v>
      </c>
      <c r="AD396" s="22">
        <f t="shared" ref="AD396:AD422" si="16">SUM(F396+H396+J396+L396+N396+P396+R396+T396+V396+X396+Z396+AB396)</f>
        <v>41866</v>
      </c>
    </row>
    <row r="397" spans="1:30" x14ac:dyDescent="0.25">
      <c r="A397" s="13">
        <v>497</v>
      </c>
      <c r="B397" s="14" t="s">
        <v>832</v>
      </c>
      <c r="C397" s="26" t="s">
        <v>833</v>
      </c>
      <c r="D397" s="14" t="s">
        <v>42</v>
      </c>
      <c r="E397" s="20">
        <v>41719</v>
      </c>
      <c r="F397" s="20">
        <v>104295</v>
      </c>
      <c r="G397" s="20">
        <v>2070</v>
      </c>
      <c r="H397" s="20">
        <v>5160</v>
      </c>
      <c r="I397" s="20">
        <v>1872</v>
      </c>
      <c r="J397" s="20">
        <v>4680</v>
      </c>
      <c r="K397" s="20">
        <v>2508</v>
      </c>
      <c r="L397" s="20">
        <v>6261</v>
      </c>
      <c r="M397" s="20"/>
      <c r="N397" s="20"/>
      <c r="O397" s="20"/>
      <c r="P397" s="20"/>
      <c r="Q397" s="20"/>
      <c r="R397" s="20"/>
      <c r="S397" s="20"/>
      <c r="T397" s="20"/>
      <c r="U397" s="20"/>
      <c r="V397" s="20"/>
      <c r="W397" s="20"/>
      <c r="X397" s="20"/>
      <c r="Y397" s="20"/>
      <c r="Z397" s="20"/>
      <c r="AA397" s="20"/>
      <c r="AB397" s="20"/>
      <c r="AC397" s="22">
        <f t="shared" si="15"/>
        <v>48169</v>
      </c>
      <c r="AD397" s="22">
        <f t="shared" si="16"/>
        <v>120396</v>
      </c>
    </row>
    <row r="398" spans="1:30" x14ac:dyDescent="0.25">
      <c r="A398" s="13">
        <v>498</v>
      </c>
      <c r="B398" s="14" t="s">
        <v>834</v>
      </c>
      <c r="C398" s="26" t="s">
        <v>835</v>
      </c>
      <c r="D398" s="14" t="s">
        <v>42</v>
      </c>
      <c r="E398" s="20">
        <v>55574</v>
      </c>
      <c r="F398" s="20">
        <v>138932</v>
      </c>
      <c r="G398" s="20">
        <v>14623</v>
      </c>
      <c r="H398" s="20">
        <v>36372</v>
      </c>
      <c r="I398" s="20">
        <v>40640</v>
      </c>
      <c r="J398" s="20">
        <v>101600</v>
      </c>
      <c r="K398" s="20">
        <v>837</v>
      </c>
      <c r="L398" s="20">
        <v>2082</v>
      </c>
      <c r="M398" s="20"/>
      <c r="N398" s="20"/>
      <c r="O398" s="20"/>
      <c r="P398" s="20"/>
      <c r="Q398" s="20"/>
      <c r="R398" s="20"/>
      <c r="S398" s="20"/>
      <c r="T398" s="20"/>
      <c r="U398" s="20"/>
      <c r="V398" s="20"/>
      <c r="W398" s="20"/>
      <c r="X398" s="20"/>
      <c r="Y398" s="20"/>
      <c r="Z398" s="20"/>
      <c r="AA398" s="20"/>
      <c r="AB398" s="20"/>
      <c r="AC398" s="22">
        <f t="shared" si="15"/>
        <v>111674</v>
      </c>
      <c r="AD398" s="22">
        <f t="shared" si="16"/>
        <v>278986</v>
      </c>
    </row>
    <row r="399" spans="1:30" x14ac:dyDescent="0.25">
      <c r="A399" s="13">
        <v>499</v>
      </c>
      <c r="B399" s="14" t="s">
        <v>836</v>
      </c>
      <c r="C399" s="26" t="s">
        <v>837</v>
      </c>
      <c r="D399" s="14" t="s">
        <v>42</v>
      </c>
      <c r="E399" s="20">
        <v>16436</v>
      </c>
      <c r="F399" s="20">
        <v>41088</v>
      </c>
      <c r="G399" s="20">
        <v>93</v>
      </c>
      <c r="H399" s="20">
        <v>225</v>
      </c>
      <c r="I399" s="20">
        <v>1003</v>
      </c>
      <c r="J399" s="20">
        <v>2505</v>
      </c>
      <c r="K399" s="20"/>
      <c r="L399" s="20"/>
      <c r="M399" s="20"/>
      <c r="N399" s="20"/>
      <c r="O399" s="20"/>
      <c r="P399" s="20"/>
      <c r="Q399" s="20"/>
      <c r="R399" s="20"/>
      <c r="S399" s="20"/>
      <c r="T399" s="20"/>
      <c r="U399" s="20"/>
      <c r="V399" s="20"/>
      <c r="W399" s="20"/>
      <c r="X399" s="20"/>
      <c r="Y399" s="20"/>
      <c r="Z399" s="20"/>
      <c r="AA399" s="20"/>
      <c r="AB399" s="20"/>
      <c r="AC399" s="22">
        <f t="shared" si="15"/>
        <v>17532</v>
      </c>
      <c r="AD399" s="22">
        <f t="shared" si="16"/>
        <v>43818</v>
      </c>
    </row>
    <row r="400" spans="1:30" x14ac:dyDescent="0.25">
      <c r="A400" s="13">
        <v>500</v>
      </c>
      <c r="B400" s="14" t="s">
        <v>838</v>
      </c>
      <c r="C400" s="26" t="s">
        <v>839</v>
      </c>
      <c r="D400" s="14" t="s">
        <v>42</v>
      </c>
      <c r="E400" s="20">
        <v>4011</v>
      </c>
      <c r="F400" s="20">
        <v>10027</v>
      </c>
      <c r="G400" s="20">
        <v>857</v>
      </c>
      <c r="H400" s="20">
        <v>2124</v>
      </c>
      <c r="I400" s="20"/>
      <c r="J400" s="20"/>
      <c r="K400" s="20">
        <v>872</v>
      </c>
      <c r="L400" s="20">
        <v>2179</v>
      </c>
      <c r="M400" s="20"/>
      <c r="N400" s="20"/>
      <c r="O400" s="20"/>
      <c r="P400" s="20"/>
      <c r="Q400" s="20"/>
      <c r="R400" s="20"/>
      <c r="S400" s="20"/>
      <c r="T400" s="20"/>
      <c r="U400" s="20"/>
      <c r="V400" s="20"/>
      <c r="W400" s="20"/>
      <c r="X400" s="20"/>
      <c r="Y400" s="20"/>
      <c r="Z400" s="20"/>
      <c r="AA400" s="20"/>
      <c r="AB400" s="20"/>
      <c r="AC400" s="22">
        <f t="shared" si="15"/>
        <v>5740</v>
      </c>
      <c r="AD400" s="22">
        <f t="shared" si="16"/>
        <v>14330</v>
      </c>
    </row>
    <row r="401" spans="1:30" x14ac:dyDescent="0.25">
      <c r="A401" s="13">
        <v>501</v>
      </c>
      <c r="B401" s="14" t="s">
        <v>840</v>
      </c>
      <c r="C401" s="26" t="s">
        <v>841</v>
      </c>
      <c r="D401" s="14" t="s">
        <v>42</v>
      </c>
      <c r="E401" s="20"/>
      <c r="F401" s="20"/>
      <c r="G401" s="20">
        <v>131</v>
      </c>
      <c r="H401" s="20">
        <v>319</v>
      </c>
      <c r="I401" s="20">
        <v>4493</v>
      </c>
      <c r="J401" s="20">
        <v>11232</v>
      </c>
      <c r="K401" s="20">
        <v>446</v>
      </c>
      <c r="L401" s="20">
        <v>1109</v>
      </c>
      <c r="M401" s="20"/>
      <c r="N401" s="20"/>
      <c r="O401" s="20"/>
      <c r="P401" s="20"/>
      <c r="Q401" s="20"/>
      <c r="R401" s="20"/>
      <c r="S401" s="20"/>
      <c r="T401" s="20"/>
      <c r="U401" s="20"/>
      <c r="V401" s="20"/>
      <c r="W401" s="20"/>
      <c r="X401" s="20"/>
      <c r="Y401" s="20"/>
      <c r="Z401" s="20"/>
      <c r="AA401" s="20"/>
      <c r="AB401" s="20"/>
      <c r="AC401" s="22">
        <f t="shared" si="15"/>
        <v>5070</v>
      </c>
      <c r="AD401" s="22">
        <f t="shared" si="16"/>
        <v>12660</v>
      </c>
    </row>
    <row r="402" spans="1:30" x14ac:dyDescent="0.25">
      <c r="A402" s="13">
        <v>502</v>
      </c>
      <c r="B402" s="14" t="s">
        <v>842</v>
      </c>
      <c r="C402" s="26" t="s">
        <v>843</v>
      </c>
      <c r="D402" s="14" t="s">
        <v>42</v>
      </c>
      <c r="E402" s="20">
        <v>110664</v>
      </c>
      <c r="F402" s="20">
        <v>276658</v>
      </c>
      <c r="G402" s="20">
        <v>51451</v>
      </c>
      <c r="H402" s="20">
        <v>128561</v>
      </c>
      <c r="I402" s="20">
        <v>5803</v>
      </c>
      <c r="J402" s="20">
        <v>14507</v>
      </c>
      <c r="K402" s="20">
        <v>20759</v>
      </c>
      <c r="L402" s="20">
        <v>51876</v>
      </c>
      <c r="M402" s="20"/>
      <c r="N402" s="20"/>
      <c r="O402" s="20"/>
      <c r="P402" s="20"/>
      <c r="Q402" s="20"/>
      <c r="R402" s="20"/>
      <c r="S402" s="20">
        <v>276</v>
      </c>
      <c r="T402" s="20">
        <v>690</v>
      </c>
      <c r="U402" s="20"/>
      <c r="V402" s="20"/>
      <c r="W402" s="20"/>
      <c r="X402" s="20"/>
      <c r="Y402" s="20"/>
      <c r="Z402" s="20"/>
      <c r="AA402" s="20"/>
      <c r="AB402" s="20"/>
      <c r="AC402" s="22">
        <f t="shared" si="15"/>
        <v>188953</v>
      </c>
      <c r="AD402" s="22">
        <f t="shared" si="16"/>
        <v>472292</v>
      </c>
    </row>
    <row r="403" spans="1:30" x14ac:dyDescent="0.25">
      <c r="A403" s="13">
        <v>503</v>
      </c>
      <c r="B403" s="14" t="s">
        <v>844</v>
      </c>
      <c r="C403" s="26" t="s">
        <v>845</v>
      </c>
      <c r="D403" s="14" t="s">
        <v>42</v>
      </c>
      <c r="E403" s="20">
        <v>1084670</v>
      </c>
      <c r="F403" s="20">
        <v>2711674</v>
      </c>
      <c r="G403" s="20">
        <v>247605</v>
      </c>
      <c r="H403" s="20">
        <v>618918</v>
      </c>
      <c r="I403" s="20">
        <v>6280</v>
      </c>
      <c r="J403" s="20">
        <v>15700</v>
      </c>
      <c r="K403" s="20">
        <v>204754</v>
      </c>
      <c r="L403" s="20">
        <v>511872</v>
      </c>
      <c r="M403" s="20"/>
      <c r="N403" s="20"/>
      <c r="O403" s="20"/>
      <c r="P403" s="20"/>
      <c r="Q403" s="20"/>
      <c r="R403" s="20"/>
      <c r="S403" s="20">
        <v>936</v>
      </c>
      <c r="T403" s="20">
        <v>2340</v>
      </c>
      <c r="U403" s="20"/>
      <c r="V403" s="20"/>
      <c r="W403" s="20"/>
      <c r="X403" s="20"/>
      <c r="Y403" s="20"/>
      <c r="Z403" s="20"/>
      <c r="AA403" s="20"/>
      <c r="AB403" s="20"/>
      <c r="AC403" s="22">
        <f t="shared" si="15"/>
        <v>1544245</v>
      </c>
      <c r="AD403" s="22">
        <f t="shared" si="16"/>
        <v>3860504</v>
      </c>
    </row>
    <row r="404" spans="1:30" x14ac:dyDescent="0.25">
      <c r="A404" s="13">
        <v>505</v>
      </c>
      <c r="B404" s="14" t="s">
        <v>846</v>
      </c>
      <c r="C404" s="26" t="s">
        <v>847</v>
      </c>
      <c r="D404" s="14" t="s">
        <v>42</v>
      </c>
      <c r="E404" s="20"/>
      <c r="F404" s="20"/>
      <c r="G404" s="20">
        <v>10</v>
      </c>
      <c r="H404" s="20">
        <v>24</v>
      </c>
      <c r="I404" s="20"/>
      <c r="J404" s="20"/>
      <c r="K404" s="20">
        <v>8</v>
      </c>
      <c r="L404" s="20">
        <v>14</v>
      </c>
      <c r="M404" s="20"/>
      <c r="N404" s="20"/>
      <c r="O404" s="20"/>
      <c r="P404" s="20"/>
      <c r="Q404" s="20"/>
      <c r="R404" s="20"/>
      <c r="S404" s="20"/>
      <c r="T404" s="20"/>
      <c r="U404" s="20"/>
      <c r="V404" s="20"/>
      <c r="W404" s="20">
        <v>2051</v>
      </c>
      <c r="X404" s="20">
        <v>5080</v>
      </c>
      <c r="Y404" s="20"/>
      <c r="Z404" s="20"/>
      <c r="AA404" s="20"/>
      <c r="AB404" s="20"/>
      <c r="AC404" s="22">
        <f t="shared" si="15"/>
        <v>2069</v>
      </c>
      <c r="AD404" s="22">
        <f t="shared" si="16"/>
        <v>5118</v>
      </c>
    </row>
    <row r="405" spans="1:30" x14ac:dyDescent="0.25">
      <c r="A405" s="13">
        <v>507</v>
      </c>
      <c r="B405" s="14" t="s">
        <v>848</v>
      </c>
      <c r="C405" s="26" t="s">
        <v>849</v>
      </c>
      <c r="D405" s="14" t="s">
        <v>42</v>
      </c>
      <c r="E405" s="20">
        <v>201372</v>
      </c>
      <c r="F405" s="20">
        <v>503430</v>
      </c>
      <c r="G405" s="20">
        <v>50008</v>
      </c>
      <c r="H405" s="20">
        <v>124983</v>
      </c>
      <c r="I405" s="20"/>
      <c r="J405" s="20"/>
      <c r="K405" s="20">
        <v>10671</v>
      </c>
      <c r="L405" s="20">
        <v>26665</v>
      </c>
      <c r="M405" s="20"/>
      <c r="N405" s="20"/>
      <c r="O405" s="20"/>
      <c r="P405" s="20"/>
      <c r="Q405" s="20"/>
      <c r="R405" s="20"/>
      <c r="S405" s="20">
        <v>912</v>
      </c>
      <c r="T405" s="20">
        <v>2280</v>
      </c>
      <c r="U405" s="20"/>
      <c r="V405" s="20"/>
      <c r="W405" s="20"/>
      <c r="X405" s="20"/>
      <c r="Y405" s="20"/>
      <c r="Z405" s="20"/>
      <c r="AA405" s="20"/>
      <c r="AB405" s="20"/>
      <c r="AC405" s="22">
        <f t="shared" si="15"/>
        <v>262963</v>
      </c>
      <c r="AD405" s="22">
        <f t="shared" si="16"/>
        <v>657358</v>
      </c>
    </row>
    <row r="406" spans="1:30" x14ac:dyDescent="0.25">
      <c r="A406" s="13">
        <v>508</v>
      </c>
      <c r="B406" s="14" t="s">
        <v>850</v>
      </c>
      <c r="C406" s="26" t="s">
        <v>851</v>
      </c>
      <c r="D406" s="14" t="s">
        <v>42</v>
      </c>
      <c r="E406" s="20">
        <v>7732</v>
      </c>
      <c r="F406" s="20">
        <v>19328</v>
      </c>
      <c r="G406" s="20">
        <v>6042</v>
      </c>
      <c r="H406" s="20">
        <v>15028</v>
      </c>
      <c r="I406" s="20">
        <v>666</v>
      </c>
      <c r="J406" s="20">
        <v>1662</v>
      </c>
      <c r="K406" s="20">
        <v>4526</v>
      </c>
      <c r="L406" s="20">
        <v>11302</v>
      </c>
      <c r="M406" s="20">
        <v>1994</v>
      </c>
      <c r="N406" s="20">
        <v>4984</v>
      </c>
      <c r="O406" s="20"/>
      <c r="P406" s="20"/>
      <c r="Q406" s="20"/>
      <c r="R406" s="20"/>
      <c r="S406" s="20"/>
      <c r="T406" s="20"/>
      <c r="U406" s="20"/>
      <c r="V406" s="20"/>
      <c r="W406" s="20"/>
      <c r="X406" s="20"/>
      <c r="Y406" s="20"/>
      <c r="Z406" s="20"/>
      <c r="AA406" s="20"/>
      <c r="AB406" s="20"/>
      <c r="AC406" s="22">
        <f t="shared" si="15"/>
        <v>20960</v>
      </c>
      <c r="AD406" s="22">
        <f t="shared" si="16"/>
        <v>52304</v>
      </c>
    </row>
    <row r="407" spans="1:30" x14ac:dyDescent="0.25">
      <c r="A407" s="13">
        <v>509</v>
      </c>
      <c r="B407" s="14" t="s">
        <v>852</v>
      </c>
      <c r="C407" s="26" t="s">
        <v>853</v>
      </c>
      <c r="D407" s="14" t="s">
        <v>42</v>
      </c>
      <c r="E407" s="20">
        <v>1292</v>
      </c>
      <c r="F407" s="20">
        <v>3228</v>
      </c>
      <c r="G407" s="20">
        <v>81</v>
      </c>
      <c r="H407" s="20">
        <v>193</v>
      </c>
      <c r="I407" s="20">
        <v>22</v>
      </c>
      <c r="J407" s="20">
        <v>55</v>
      </c>
      <c r="K407" s="20">
        <v>8</v>
      </c>
      <c r="L407" s="20">
        <v>16</v>
      </c>
      <c r="M407" s="20">
        <v>508</v>
      </c>
      <c r="N407" s="20">
        <v>1270</v>
      </c>
      <c r="O407" s="20"/>
      <c r="P407" s="20"/>
      <c r="Q407" s="20"/>
      <c r="R407" s="20"/>
      <c r="S407" s="20"/>
      <c r="T407" s="20"/>
      <c r="U407" s="20"/>
      <c r="V407" s="20"/>
      <c r="W407" s="20">
        <v>5470</v>
      </c>
      <c r="X407" s="20">
        <v>13644</v>
      </c>
      <c r="Y407" s="20"/>
      <c r="Z407" s="20"/>
      <c r="AA407" s="20"/>
      <c r="AB407" s="20"/>
      <c r="AC407" s="22">
        <f t="shared" si="15"/>
        <v>7381</v>
      </c>
      <c r="AD407" s="22">
        <f t="shared" si="16"/>
        <v>18406</v>
      </c>
    </row>
    <row r="408" spans="1:30" x14ac:dyDescent="0.25">
      <c r="A408" s="13">
        <v>512</v>
      </c>
      <c r="B408" s="14" t="s">
        <v>854</v>
      </c>
      <c r="C408" s="26" t="s">
        <v>855</v>
      </c>
      <c r="D408" s="14" t="s">
        <v>42</v>
      </c>
      <c r="E408" s="20">
        <v>4434</v>
      </c>
      <c r="F408" s="20">
        <v>11084</v>
      </c>
      <c r="G408" s="20">
        <v>164</v>
      </c>
      <c r="H408" s="20">
        <v>408</v>
      </c>
      <c r="I408" s="20">
        <v>200</v>
      </c>
      <c r="J408" s="20">
        <v>500</v>
      </c>
      <c r="K408" s="20">
        <v>2</v>
      </c>
      <c r="L408" s="20">
        <v>4</v>
      </c>
      <c r="M408" s="20"/>
      <c r="N408" s="20"/>
      <c r="O408" s="20"/>
      <c r="P408" s="20"/>
      <c r="Q408" s="20"/>
      <c r="R408" s="20"/>
      <c r="S408" s="20"/>
      <c r="T408" s="20"/>
      <c r="U408" s="20"/>
      <c r="V408" s="20"/>
      <c r="W408" s="20">
        <v>3631</v>
      </c>
      <c r="X408" s="20">
        <v>9024</v>
      </c>
      <c r="Y408" s="20"/>
      <c r="Z408" s="20"/>
      <c r="AA408" s="20"/>
      <c r="AB408" s="20"/>
      <c r="AC408" s="22">
        <f t="shared" si="15"/>
        <v>8431</v>
      </c>
      <c r="AD408" s="22">
        <f t="shared" si="16"/>
        <v>21020</v>
      </c>
    </row>
    <row r="409" spans="1:30" x14ac:dyDescent="0.25">
      <c r="A409" s="13">
        <v>513</v>
      </c>
      <c r="B409" s="14" t="s">
        <v>856</v>
      </c>
      <c r="C409" s="26" t="s">
        <v>857</v>
      </c>
      <c r="D409" s="14" t="s">
        <v>42</v>
      </c>
      <c r="E409" s="20">
        <v>127</v>
      </c>
      <c r="F409" s="20">
        <v>315</v>
      </c>
      <c r="G409" s="20">
        <v>32</v>
      </c>
      <c r="H409" s="20">
        <v>77</v>
      </c>
      <c r="I409" s="20"/>
      <c r="J409" s="20"/>
      <c r="K409" s="20"/>
      <c r="L409" s="20"/>
      <c r="M409" s="20"/>
      <c r="N409" s="20"/>
      <c r="O409" s="20"/>
      <c r="P409" s="20"/>
      <c r="Q409" s="20"/>
      <c r="R409" s="20"/>
      <c r="S409" s="20"/>
      <c r="T409" s="20"/>
      <c r="U409" s="20"/>
      <c r="V409" s="20"/>
      <c r="W409" s="20"/>
      <c r="X409" s="20"/>
      <c r="Y409" s="20"/>
      <c r="Z409" s="20"/>
      <c r="AA409" s="20"/>
      <c r="AB409" s="20"/>
      <c r="AC409" s="22">
        <f t="shared" si="15"/>
        <v>159</v>
      </c>
      <c r="AD409" s="22">
        <f t="shared" si="16"/>
        <v>392</v>
      </c>
    </row>
    <row r="410" spans="1:30" x14ac:dyDescent="0.25">
      <c r="A410" s="13">
        <v>514</v>
      </c>
      <c r="B410" s="14" t="s">
        <v>858</v>
      </c>
      <c r="C410" s="26" t="s">
        <v>859</v>
      </c>
      <c r="D410" s="14" t="s">
        <v>42</v>
      </c>
      <c r="E410" s="20">
        <v>5161</v>
      </c>
      <c r="F410" s="20">
        <v>12902</v>
      </c>
      <c r="G410" s="20">
        <v>604</v>
      </c>
      <c r="H410" s="20">
        <v>1504</v>
      </c>
      <c r="I410" s="20"/>
      <c r="J410" s="20"/>
      <c r="K410" s="20">
        <v>28</v>
      </c>
      <c r="L410" s="20">
        <v>65</v>
      </c>
      <c r="M410" s="20">
        <v>1360</v>
      </c>
      <c r="N410" s="20">
        <v>3400</v>
      </c>
      <c r="O410" s="20"/>
      <c r="P410" s="20"/>
      <c r="Q410" s="20"/>
      <c r="R410" s="20"/>
      <c r="S410" s="20"/>
      <c r="T410" s="20"/>
      <c r="U410" s="20"/>
      <c r="V410" s="20"/>
      <c r="W410" s="20">
        <v>1029</v>
      </c>
      <c r="X410" s="20">
        <v>2530</v>
      </c>
      <c r="Y410" s="20"/>
      <c r="Z410" s="20"/>
      <c r="AA410" s="20"/>
      <c r="AB410" s="20"/>
      <c r="AC410" s="22">
        <f t="shared" si="15"/>
        <v>8182</v>
      </c>
      <c r="AD410" s="22">
        <f t="shared" si="16"/>
        <v>20401</v>
      </c>
    </row>
    <row r="411" spans="1:30" x14ac:dyDescent="0.25">
      <c r="A411" s="13">
        <v>515</v>
      </c>
      <c r="B411" s="14" t="s">
        <v>860</v>
      </c>
      <c r="C411" s="26" t="s">
        <v>861</v>
      </c>
      <c r="D411" s="14" t="s">
        <v>42</v>
      </c>
      <c r="E411" s="20">
        <v>385194</v>
      </c>
      <c r="F411" s="20">
        <v>962983</v>
      </c>
      <c r="G411" s="20">
        <v>191757</v>
      </c>
      <c r="H411" s="20">
        <v>479303</v>
      </c>
      <c r="I411" s="20">
        <v>66240</v>
      </c>
      <c r="J411" s="20">
        <v>165600</v>
      </c>
      <c r="K411" s="20">
        <v>36811</v>
      </c>
      <c r="L411" s="20">
        <v>92019</v>
      </c>
      <c r="M411" s="20">
        <v>10102</v>
      </c>
      <c r="N411" s="20">
        <v>25254</v>
      </c>
      <c r="O411" s="20"/>
      <c r="P411" s="20"/>
      <c r="Q411" s="20"/>
      <c r="R411" s="20"/>
      <c r="S411" s="20">
        <v>8</v>
      </c>
      <c r="T411" s="20">
        <v>20</v>
      </c>
      <c r="U411" s="20"/>
      <c r="V411" s="20"/>
      <c r="W411" s="20"/>
      <c r="X411" s="20"/>
      <c r="Y411" s="20"/>
      <c r="Z411" s="20"/>
      <c r="AA411" s="20">
        <v>4</v>
      </c>
      <c r="AB411" s="20">
        <v>10</v>
      </c>
      <c r="AC411" s="22">
        <f t="shared" si="15"/>
        <v>690116</v>
      </c>
      <c r="AD411" s="22">
        <f t="shared" si="16"/>
        <v>1725189</v>
      </c>
    </row>
    <row r="412" spans="1:30" x14ac:dyDescent="0.25">
      <c r="A412" s="13">
        <v>516</v>
      </c>
      <c r="B412" s="14" t="s">
        <v>862</v>
      </c>
      <c r="C412" s="26" t="s">
        <v>863</v>
      </c>
      <c r="D412" s="14" t="s">
        <v>42</v>
      </c>
      <c r="E412" s="20">
        <v>1432150</v>
      </c>
      <c r="F412" s="20">
        <v>3580374</v>
      </c>
      <c r="G412" s="20">
        <v>379884</v>
      </c>
      <c r="H412" s="20">
        <v>949675</v>
      </c>
      <c r="I412" s="20">
        <v>257400</v>
      </c>
      <c r="J412" s="20">
        <v>643500</v>
      </c>
      <c r="K412" s="20">
        <v>150886</v>
      </c>
      <c r="L412" s="20">
        <v>377204</v>
      </c>
      <c r="M412" s="20">
        <v>13702</v>
      </c>
      <c r="N412" s="20">
        <v>34254</v>
      </c>
      <c r="O412" s="20">
        <v>5448</v>
      </c>
      <c r="P412" s="20">
        <v>13618</v>
      </c>
      <c r="Q412" s="20"/>
      <c r="R412" s="20"/>
      <c r="S412" s="20">
        <v>12</v>
      </c>
      <c r="T412" s="20">
        <v>28</v>
      </c>
      <c r="U412" s="20"/>
      <c r="V412" s="20"/>
      <c r="W412" s="20"/>
      <c r="X412" s="20"/>
      <c r="Y412" s="20"/>
      <c r="Z412" s="20"/>
      <c r="AA412" s="20">
        <v>4</v>
      </c>
      <c r="AB412" s="20">
        <v>10</v>
      </c>
      <c r="AC412" s="22">
        <f t="shared" si="15"/>
        <v>2239486</v>
      </c>
      <c r="AD412" s="22">
        <f t="shared" si="16"/>
        <v>5598663</v>
      </c>
    </row>
    <row r="413" spans="1:30" x14ac:dyDescent="0.25">
      <c r="A413" s="13">
        <v>518</v>
      </c>
      <c r="B413" s="14" t="s">
        <v>864</v>
      </c>
      <c r="C413" s="26" t="s">
        <v>865</v>
      </c>
      <c r="D413" s="14" t="s">
        <v>42</v>
      </c>
      <c r="E413" s="20">
        <v>19779</v>
      </c>
      <c r="F413" s="20">
        <v>49446</v>
      </c>
      <c r="G413" s="20">
        <v>52245</v>
      </c>
      <c r="H413" s="20">
        <v>130582</v>
      </c>
      <c r="I413" s="20">
        <v>987</v>
      </c>
      <c r="J413" s="20">
        <v>2466</v>
      </c>
      <c r="K413" s="20">
        <v>2820</v>
      </c>
      <c r="L413" s="20">
        <v>7041</v>
      </c>
      <c r="M413" s="20"/>
      <c r="N413" s="20"/>
      <c r="O413" s="20"/>
      <c r="P413" s="20"/>
      <c r="Q413" s="20"/>
      <c r="R413" s="20"/>
      <c r="S413" s="20">
        <v>16</v>
      </c>
      <c r="T413" s="20">
        <v>40</v>
      </c>
      <c r="U413" s="20"/>
      <c r="V413" s="20"/>
      <c r="W413" s="20"/>
      <c r="X413" s="20"/>
      <c r="Y413" s="20"/>
      <c r="Z413" s="20"/>
      <c r="AA413" s="20"/>
      <c r="AB413" s="20"/>
      <c r="AC413" s="22">
        <f t="shared" si="15"/>
        <v>75847</v>
      </c>
      <c r="AD413" s="22">
        <f t="shared" si="16"/>
        <v>189575</v>
      </c>
    </row>
    <row r="414" spans="1:30" x14ac:dyDescent="0.25">
      <c r="A414" s="13">
        <v>520</v>
      </c>
      <c r="B414" s="14" t="s">
        <v>866</v>
      </c>
      <c r="C414" s="26" t="s">
        <v>867</v>
      </c>
      <c r="D414" s="14" t="s">
        <v>42</v>
      </c>
      <c r="E414" s="20">
        <v>840732</v>
      </c>
      <c r="F414" s="20">
        <v>2101830</v>
      </c>
      <c r="G414" s="20">
        <v>14009</v>
      </c>
      <c r="H414" s="20">
        <v>34952</v>
      </c>
      <c r="I414" s="20">
        <v>185818</v>
      </c>
      <c r="J414" s="20">
        <v>464544</v>
      </c>
      <c r="K414" s="20">
        <v>4423</v>
      </c>
      <c r="L414" s="20">
        <v>11047</v>
      </c>
      <c r="M414" s="20">
        <v>754</v>
      </c>
      <c r="N414" s="20">
        <v>1884</v>
      </c>
      <c r="O414" s="20"/>
      <c r="P414" s="20"/>
      <c r="Q414" s="20"/>
      <c r="R414" s="20"/>
      <c r="S414" s="20">
        <v>136</v>
      </c>
      <c r="T414" s="20">
        <v>340</v>
      </c>
      <c r="U414" s="20"/>
      <c r="V414" s="20"/>
      <c r="W414" s="20"/>
      <c r="X414" s="20"/>
      <c r="Y414" s="20"/>
      <c r="Z414" s="20"/>
      <c r="AA414" s="20">
        <v>28</v>
      </c>
      <c r="AB414" s="20">
        <v>70</v>
      </c>
      <c r="AC414" s="22">
        <f t="shared" si="15"/>
        <v>1045900</v>
      </c>
      <c r="AD414" s="22">
        <f t="shared" si="16"/>
        <v>2614667</v>
      </c>
    </row>
    <row r="415" spans="1:30" x14ac:dyDescent="0.25">
      <c r="A415" s="13">
        <v>521</v>
      </c>
      <c r="B415" s="14" t="s">
        <v>868</v>
      </c>
      <c r="C415" s="26" t="s">
        <v>869</v>
      </c>
      <c r="D415" s="14" t="s">
        <v>42</v>
      </c>
      <c r="E415" s="20">
        <v>614681</v>
      </c>
      <c r="F415" s="20">
        <v>1536699</v>
      </c>
      <c r="G415" s="20">
        <v>3300</v>
      </c>
      <c r="H415" s="20">
        <v>8236</v>
      </c>
      <c r="I415" s="20">
        <v>28437</v>
      </c>
      <c r="J415" s="20">
        <v>71092</v>
      </c>
      <c r="K415" s="20">
        <v>52545</v>
      </c>
      <c r="L415" s="20">
        <v>131337</v>
      </c>
      <c r="M415" s="20">
        <v>248</v>
      </c>
      <c r="N415" s="20">
        <v>620</v>
      </c>
      <c r="O415" s="20"/>
      <c r="P415" s="20"/>
      <c r="Q415" s="20"/>
      <c r="R415" s="20"/>
      <c r="S415" s="20">
        <v>40</v>
      </c>
      <c r="T415" s="20">
        <v>100</v>
      </c>
      <c r="U415" s="20"/>
      <c r="V415" s="20"/>
      <c r="W415" s="20"/>
      <c r="X415" s="20"/>
      <c r="Y415" s="20"/>
      <c r="Z415" s="20"/>
      <c r="AA415" s="20"/>
      <c r="AB415" s="20"/>
      <c r="AC415" s="22">
        <f t="shared" si="15"/>
        <v>699251</v>
      </c>
      <c r="AD415" s="22">
        <f t="shared" si="16"/>
        <v>1748084</v>
      </c>
    </row>
    <row r="416" spans="1:30" x14ac:dyDescent="0.25">
      <c r="A416" s="13">
        <v>522</v>
      </c>
      <c r="B416" s="14" t="s">
        <v>870</v>
      </c>
      <c r="C416" s="26" t="s">
        <v>871</v>
      </c>
      <c r="D416" s="14" t="s">
        <v>42</v>
      </c>
      <c r="E416" s="20">
        <v>448</v>
      </c>
      <c r="F416" s="20">
        <v>1118</v>
      </c>
      <c r="G416" s="20">
        <v>101</v>
      </c>
      <c r="H416" s="20">
        <v>248</v>
      </c>
      <c r="I416" s="20">
        <v>4</v>
      </c>
      <c r="J416" s="20">
        <v>8</v>
      </c>
      <c r="K416" s="20">
        <v>54</v>
      </c>
      <c r="L416" s="20">
        <v>128</v>
      </c>
      <c r="M416" s="20"/>
      <c r="N416" s="20"/>
      <c r="O416" s="20"/>
      <c r="P416" s="20"/>
      <c r="Q416" s="20"/>
      <c r="R416" s="20"/>
      <c r="S416" s="20"/>
      <c r="T416" s="20"/>
      <c r="U416" s="20"/>
      <c r="V416" s="20"/>
      <c r="W416" s="20"/>
      <c r="X416" s="20"/>
      <c r="Y416" s="20"/>
      <c r="Z416" s="20"/>
      <c r="AA416" s="20"/>
      <c r="AB416" s="20"/>
      <c r="AC416" s="22">
        <f t="shared" si="15"/>
        <v>607</v>
      </c>
      <c r="AD416" s="22">
        <f t="shared" si="16"/>
        <v>1502</v>
      </c>
    </row>
    <row r="417" spans="1:30" x14ac:dyDescent="0.25">
      <c r="A417" s="13">
        <v>524</v>
      </c>
      <c r="B417" s="14" t="s">
        <v>872</v>
      </c>
      <c r="C417" s="26" t="s">
        <v>873</v>
      </c>
      <c r="D417" s="14" t="s">
        <v>42</v>
      </c>
      <c r="E417" s="20"/>
      <c r="F417" s="20"/>
      <c r="G417" s="20">
        <v>24802</v>
      </c>
      <c r="H417" s="20">
        <v>61989</v>
      </c>
      <c r="I417" s="20"/>
      <c r="J417" s="20"/>
      <c r="K417" s="20">
        <v>884</v>
      </c>
      <c r="L417" s="20">
        <v>2210</v>
      </c>
      <c r="M417" s="20"/>
      <c r="N417" s="20"/>
      <c r="O417" s="20"/>
      <c r="P417" s="20"/>
      <c r="Q417" s="20"/>
      <c r="R417" s="20"/>
      <c r="S417" s="20"/>
      <c r="T417" s="20"/>
      <c r="U417" s="20"/>
      <c r="V417" s="20"/>
      <c r="W417" s="20"/>
      <c r="X417" s="20"/>
      <c r="Y417" s="20"/>
      <c r="Z417" s="20"/>
      <c r="AA417" s="20"/>
      <c r="AB417" s="20"/>
      <c r="AC417" s="22">
        <f t="shared" si="15"/>
        <v>25686</v>
      </c>
      <c r="AD417" s="22">
        <f t="shared" si="16"/>
        <v>64199</v>
      </c>
    </row>
    <row r="418" spans="1:30" x14ac:dyDescent="0.25">
      <c r="A418" s="13">
        <v>525</v>
      </c>
      <c r="B418" s="14" t="s">
        <v>874</v>
      </c>
      <c r="C418" s="26" t="s">
        <v>875</v>
      </c>
      <c r="D418" s="14" t="s">
        <v>42</v>
      </c>
      <c r="E418" s="20">
        <v>2520</v>
      </c>
      <c r="F418" s="20">
        <v>6299</v>
      </c>
      <c r="G418" s="20">
        <v>1483</v>
      </c>
      <c r="H418" s="20">
        <v>3697</v>
      </c>
      <c r="I418" s="20">
        <v>843</v>
      </c>
      <c r="J418" s="20">
        <v>2106</v>
      </c>
      <c r="K418" s="20">
        <v>2482</v>
      </c>
      <c r="L418" s="20">
        <v>6193</v>
      </c>
      <c r="M418" s="20">
        <v>576</v>
      </c>
      <c r="N418" s="20">
        <v>1440</v>
      </c>
      <c r="O418" s="20"/>
      <c r="P418" s="20"/>
      <c r="Q418" s="20"/>
      <c r="R418" s="20"/>
      <c r="S418" s="20"/>
      <c r="T418" s="20"/>
      <c r="U418" s="20"/>
      <c r="V418" s="20"/>
      <c r="W418" s="20"/>
      <c r="X418" s="20"/>
      <c r="Y418" s="20"/>
      <c r="Z418" s="20"/>
      <c r="AA418" s="20"/>
      <c r="AB418" s="20"/>
      <c r="AC418" s="22">
        <f t="shared" si="15"/>
        <v>7904</v>
      </c>
      <c r="AD418" s="22">
        <f t="shared" si="16"/>
        <v>19735</v>
      </c>
    </row>
    <row r="419" spans="1:30" x14ac:dyDescent="0.25">
      <c r="A419" s="13">
        <v>526</v>
      </c>
      <c r="B419" s="14" t="s">
        <v>876</v>
      </c>
      <c r="C419" s="26" t="s">
        <v>877</v>
      </c>
      <c r="D419" s="14" t="s">
        <v>42</v>
      </c>
      <c r="E419" s="20">
        <v>712</v>
      </c>
      <c r="F419" s="20">
        <v>1776</v>
      </c>
      <c r="G419" s="20">
        <v>1095</v>
      </c>
      <c r="H419" s="20">
        <v>2717</v>
      </c>
      <c r="I419" s="20"/>
      <c r="J419" s="20"/>
      <c r="K419" s="20">
        <v>885</v>
      </c>
      <c r="L419" s="20">
        <v>2207</v>
      </c>
      <c r="M419" s="20"/>
      <c r="N419" s="20"/>
      <c r="O419" s="20"/>
      <c r="P419" s="20"/>
      <c r="Q419" s="20"/>
      <c r="R419" s="20"/>
      <c r="S419" s="20"/>
      <c r="T419" s="20"/>
      <c r="U419" s="20"/>
      <c r="V419" s="20"/>
      <c r="W419" s="20"/>
      <c r="X419" s="20"/>
      <c r="Y419" s="20"/>
      <c r="Z419" s="20"/>
      <c r="AA419" s="20"/>
      <c r="AB419" s="20"/>
      <c r="AC419" s="22">
        <f t="shared" si="15"/>
        <v>2692</v>
      </c>
      <c r="AD419" s="22">
        <f t="shared" si="16"/>
        <v>6700</v>
      </c>
    </row>
    <row r="420" spans="1:30" x14ac:dyDescent="0.25">
      <c r="A420" s="13">
        <v>527</v>
      </c>
      <c r="B420" s="14" t="s">
        <v>878</v>
      </c>
      <c r="C420" s="26" t="s">
        <v>879</v>
      </c>
      <c r="D420" s="14" t="s">
        <v>42</v>
      </c>
      <c r="E420" s="20">
        <v>6936</v>
      </c>
      <c r="F420" s="20">
        <v>17340</v>
      </c>
      <c r="G420" s="20">
        <v>2284</v>
      </c>
      <c r="H420" s="20">
        <v>5689</v>
      </c>
      <c r="I420" s="20">
        <v>1843</v>
      </c>
      <c r="J420" s="20">
        <v>4605</v>
      </c>
      <c r="K420" s="20">
        <v>2618</v>
      </c>
      <c r="L420" s="20">
        <v>6528</v>
      </c>
      <c r="M420" s="20">
        <v>7502</v>
      </c>
      <c r="N420" s="20">
        <v>18754</v>
      </c>
      <c r="O420" s="20"/>
      <c r="P420" s="20"/>
      <c r="Q420" s="20"/>
      <c r="R420" s="20"/>
      <c r="S420" s="20">
        <v>10</v>
      </c>
      <c r="T420" s="20">
        <v>24</v>
      </c>
      <c r="U420" s="20"/>
      <c r="V420" s="20"/>
      <c r="W420" s="20"/>
      <c r="X420" s="20"/>
      <c r="Y420" s="20"/>
      <c r="Z420" s="20"/>
      <c r="AA420" s="20"/>
      <c r="AB420" s="20"/>
      <c r="AC420" s="22">
        <f t="shared" si="15"/>
        <v>21193</v>
      </c>
      <c r="AD420" s="22">
        <f t="shared" si="16"/>
        <v>52940</v>
      </c>
    </row>
    <row r="421" spans="1:30" x14ac:dyDescent="0.25">
      <c r="A421" s="13">
        <v>528</v>
      </c>
      <c r="B421" s="14" t="s">
        <v>880</v>
      </c>
      <c r="C421" s="26" t="s">
        <v>881</v>
      </c>
      <c r="D421" s="14" t="s">
        <v>42</v>
      </c>
      <c r="E421" s="20"/>
      <c r="F421" s="20"/>
      <c r="G421" s="20">
        <v>6455</v>
      </c>
      <c r="H421" s="20">
        <v>16119</v>
      </c>
      <c r="I421" s="20">
        <v>151768</v>
      </c>
      <c r="J421" s="20">
        <v>379420</v>
      </c>
      <c r="K421" s="20">
        <v>1302</v>
      </c>
      <c r="L421" s="20">
        <v>3255</v>
      </c>
      <c r="M421" s="20">
        <v>2640</v>
      </c>
      <c r="N421" s="20">
        <v>6596</v>
      </c>
      <c r="O421" s="20"/>
      <c r="P421" s="20"/>
      <c r="Q421" s="20"/>
      <c r="R421" s="20"/>
      <c r="S421" s="20">
        <v>440</v>
      </c>
      <c r="T421" s="20">
        <v>1096</v>
      </c>
      <c r="U421" s="20"/>
      <c r="V421" s="20"/>
      <c r="W421" s="20"/>
      <c r="X421" s="20"/>
      <c r="Y421" s="20"/>
      <c r="Z421" s="20"/>
      <c r="AA421" s="20"/>
      <c r="AB421" s="20"/>
      <c r="AC421" s="22">
        <f t="shared" si="15"/>
        <v>162605</v>
      </c>
      <c r="AD421" s="22">
        <f t="shared" si="16"/>
        <v>406486</v>
      </c>
    </row>
    <row r="422" spans="1:30" x14ac:dyDescent="0.25">
      <c r="A422" s="13">
        <v>529</v>
      </c>
      <c r="B422" s="14" t="s">
        <v>882</v>
      </c>
      <c r="C422" s="26" t="s">
        <v>883</v>
      </c>
      <c r="D422" s="14" t="s">
        <v>42</v>
      </c>
      <c r="E422" s="20"/>
      <c r="F422" s="20"/>
      <c r="G422" s="20">
        <v>391</v>
      </c>
      <c r="H422" s="20">
        <v>965</v>
      </c>
      <c r="I422" s="20"/>
      <c r="J422" s="20"/>
      <c r="K422" s="20">
        <v>1229</v>
      </c>
      <c r="L422" s="20">
        <v>3067</v>
      </c>
      <c r="M422" s="20"/>
      <c r="N422" s="20"/>
      <c r="O422" s="20"/>
      <c r="P422" s="20"/>
      <c r="Q422" s="20"/>
      <c r="R422" s="20"/>
      <c r="S422" s="20">
        <v>18</v>
      </c>
      <c r="T422" s="20">
        <v>44</v>
      </c>
      <c r="U422" s="20"/>
      <c r="V422" s="20"/>
      <c r="W422" s="20"/>
      <c r="X422" s="20"/>
      <c r="Y422" s="20"/>
      <c r="Z422" s="20"/>
      <c r="AA422" s="20"/>
      <c r="AB422" s="20"/>
      <c r="AC422" s="22">
        <f t="shared" si="15"/>
        <v>1638</v>
      </c>
      <c r="AD422" s="22">
        <f t="shared" si="16"/>
        <v>4076</v>
      </c>
    </row>
    <row r="423" spans="1:30" x14ac:dyDescent="0.25">
      <c r="A423" s="13">
        <v>530</v>
      </c>
      <c r="B423" s="14" t="s">
        <v>884</v>
      </c>
      <c r="C423" s="26" t="s">
        <v>885</v>
      </c>
      <c r="D423" s="14" t="s">
        <v>42</v>
      </c>
      <c r="E423" s="20">
        <v>2201</v>
      </c>
      <c r="F423" s="20">
        <v>5501</v>
      </c>
      <c r="G423" s="20">
        <v>78</v>
      </c>
      <c r="H423" s="20">
        <v>192</v>
      </c>
      <c r="I423" s="20"/>
      <c r="J423" s="20"/>
      <c r="K423" s="20"/>
      <c r="L423" s="20"/>
      <c r="M423" s="20"/>
      <c r="N423" s="20"/>
      <c r="O423" s="20"/>
      <c r="P423" s="20"/>
      <c r="Q423" s="20"/>
      <c r="R423" s="20"/>
      <c r="S423" s="20"/>
      <c r="T423" s="20"/>
      <c r="U423" s="20"/>
      <c r="V423" s="20"/>
      <c r="W423" s="20">
        <v>635</v>
      </c>
      <c r="X423" s="20">
        <v>1544</v>
      </c>
      <c r="Y423" s="20"/>
      <c r="Z423" s="20"/>
      <c r="AA423" s="20"/>
      <c r="AB423" s="20"/>
      <c r="AC423" s="22">
        <f t="shared" ref="AC423:AC453" si="17">SUM(E423+G423+I423+K423+M423+O423+Q423+S423+U423+W423+Y423+AA423)</f>
        <v>2914</v>
      </c>
      <c r="AD423" s="22">
        <f t="shared" ref="AD423:AD452" si="18">SUM(F423+H423+J423+L423+N423+P423+R423+T423+V423+X423+Z423+AB423)</f>
        <v>7237</v>
      </c>
    </row>
    <row r="424" spans="1:30" x14ac:dyDescent="0.25">
      <c r="A424" s="13">
        <v>531</v>
      </c>
      <c r="B424" s="14" t="s">
        <v>886</v>
      </c>
      <c r="C424" s="26" t="s">
        <v>887</v>
      </c>
      <c r="D424" s="14" t="s">
        <v>42</v>
      </c>
      <c r="E424" s="20">
        <v>811</v>
      </c>
      <c r="F424" s="20">
        <v>2026</v>
      </c>
      <c r="G424" s="20"/>
      <c r="H424" s="20"/>
      <c r="I424" s="20">
        <v>128</v>
      </c>
      <c r="J424" s="20">
        <v>320</v>
      </c>
      <c r="K424" s="20"/>
      <c r="L424" s="20"/>
      <c r="M424" s="20"/>
      <c r="N424" s="20"/>
      <c r="O424" s="20"/>
      <c r="P424" s="20"/>
      <c r="Q424" s="20"/>
      <c r="R424" s="20"/>
      <c r="S424" s="20"/>
      <c r="T424" s="20"/>
      <c r="U424" s="20"/>
      <c r="V424" s="20"/>
      <c r="W424" s="20">
        <v>93</v>
      </c>
      <c r="X424" s="20">
        <v>228</v>
      </c>
      <c r="Y424" s="20"/>
      <c r="Z424" s="20"/>
      <c r="AA424" s="20"/>
      <c r="AB424" s="20"/>
      <c r="AC424" s="22">
        <f t="shared" si="17"/>
        <v>1032</v>
      </c>
      <c r="AD424" s="22">
        <f t="shared" si="18"/>
        <v>2574</v>
      </c>
    </row>
    <row r="425" spans="1:30" x14ac:dyDescent="0.25">
      <c r="A425" s="13">
        <v>532</v>
      </c>
      <c r="B425" s="14" t="s">
        <v>888</v>
      </c>
      <c r="C425" s="26" t="s">
        <v>889</v>
      </c>
      <c r="D425" s="14" t="s">
        <v>42</v>
      </c>
      <c r="E425" s="20">
        <v>11772</v>
      </c>
      <c r="F425" s="20">
        <v>29428</v>
      </c>
      <c r="G425" s="20">
        <v>10889</v>
      </c>
      <c r="H425" s="20">
        <v>27165</v>
      </c>
      <c r="I425" s="20"/>
      <c r="J425" s="20"/>
      <c r="K425" s="20">
        <v>329</v>
      </c>
      <c r="L425" s="20">
        <v>804</v>
      </c>
      <c r="M425" s="20"/>
      <c r="N425" s="20"/>
      <c r="O425" s="20"/>
      <c r="P425" s="20"/>
      <c r="Q425" s="20"/>
      <c r="R425" s="20"/>
      <c r="S425" s="20"/>
      <c r="T425" s="20"/>
      <c r="U425" s="20"/>
      <c r="V425" s="20"/>
      <c r="W425" s="20"/>
      <c r="X425" s="20"/>
      <c r="Y425" s="20"/>
      <c r="Z425" s="20"/>
      <c r="AA425" s="20"/>
      <c r="AB425" s="20"/>
      <c r="AC425" s="22">
        <f t="shared" si="17"/>
        <v>22990</v>
      </c>
      <c r="AD425" s="22">
        <f t="shared" si="18"/>
        <v>57397</v>
      </c>
    </row>
    <row r="426" spans="1:30" x14ac:dyDescent="0.25">
      <c r="A426" s="13">
        <v>533</v>
      </c>
      <c r="B426" s="14" t="s">
        <v>890</v>
      </c>
      <c r="C426" s="26" t="s">
        <v>891</v>
      </c>
      <c r="D426" s="14" t="s">
        <v>42</v>
      </c>
      <c r="E426" s="20">
        <v>900</v>
      </c>
      <c r="F426" s="20">
        <v>2246</v>
      </c>
      <c r="G426" s="20">
        <v>254</v>
      </c>
      <c r="H426" s="20">
        <v>622</v>
      </c>
      <c r="I426" s="20">
        <v>357</v>
      </c>
      <c r="J426" s="20">
        <v>890</v>
      </c>
      <c r="K426" s="20">
        <v>753</v>
      </c>
      <c r="L426" s="20">
        <v>1869</v>
      </c>
      <c r="M426" s="20"/>
      <c r="N426" s="20"/>
      <c r="O426" s="20"/>
      <c r="P426" s="20"/>
      <c r="Q426" s="20"/>
      <c r="R426" s="20"/>
      <c r="S426" s="20"/>
      <c r="T426" s="20"/>
      <c r="U426" s="20"/>
      <c r="V426" s="20"/>
      <c r="W426" s="20"/>
      <c r="X426" s="20"/>
      <c r="Y426" s="20"/>
      <c r="Z426" s="20"/>
      <c r="AA426" s="20"/>
      <c r="AB426" s="20"/>
      <c r="AC426" s="22">
        <f t="shared" si="17"/>
        <v>2264</v>
      </c>
      <c r="AD426" s="22">
        <f t="shared" si="18"/>
        <v>5627</v>
      </c>
    </row>
    <row r="427" spans="1:30" x14ac:dyDescent="0.25">
      <c r="A427" s="13">
        <v>534</v>
      </c>
      <c r="B427" s="14" t="s">
        <v>892</v>
      </c>
      <c r="C427" s="26" t="s">
        <v>893</v>
      </c>
      <c r="D427" s="14" t="s">
        <v>42</v>
      </c>
      <c r="E427" s="20">
        <v>110922</v>
      </c>
      <c r="F427" s="20">
        <v>277304</v>
      </c>
      <c r="G427" s="20">
        <v>6089</v>
      </c>
      <c r="H427" s="20">
        <v>15206</v>
      </c>
      <c r="I427" s="20"/>
      <c r="J427" s="20"/>
      <c r="K427" s="20">
        <v>5325</v>
      </c>
      <c r="L427" s="20">
        <v>13299</v>
      </c>
      <c r="M427" s="20"/>
      <c r="N427" s="20"/>
      <c r="O427" s="20"/>
      <c r="P427" s="20"/>
      <c r="Q427" s="20"/>
      <c r="R427" s="20"/>
      <c r="S427" s="20">
        <v>12</v>
      </c>
      <c r="T427" s="20">
        <v>30</v>
      </c>
      <c r="U427" s="20"/>
      <c r="V427" s="20"/>
      <c r="W427" s="20"/>
      <c r="X427" s="20"/>
      <c r="Y427" s="20"/>
      <c r="Z427" s="20"/>
      <c r="AA427" s="20"/>
      <c r="AB427" s="20"/>
      <c r="AC427" s="22">
        <f t="shared" si="17"/>
        <v>122348</v>
      </c>
      <c r="AD427" s="22">
        <f t="shared" si="18"/>
        <v>305839</v>
      </c>
    </row>
    <row r="428" spans="1:30" x14ac:dyDescent="0.25">
      <c r="A428" s="13">
        <v>537</v>
      </c>
      <c r="B428" s="14" t="s">
        <v>894</v>
      </c>
      <c r="C428" s="26" t="s">
        <v>895</v>
      </c>
      <c r="D428" s="14" t="s">
        <v>42</v>
      </c>
      <c r="E428" s="20">
        <v>75590</v>
      </c>
      <c r="F428" s="20">
        <v>188974</v>
      </c>
      <c r="G428" s="20">
        <v>9856</v>
      </c>
      <c r="H428" s="20">
        <v>24617</v>
      </c>
      <c r="I428" s="20">
        <v>8975</v>
      </c>
      <c r="J428" s="20">
        <v>22437</v>
      </c>
      <c r="K428" s="20">
        <v>3063</v>
      </c>
      <c r="L428" s="20">
        <v>7647</v>
      </c>
      <c r="M428" s="20">
        <v>2326</v>
      </c>
      <c r="N428" s="20">
        <v>5812</v>
      </c>
      <c r="O428" s="20"/>
      <c r="P428" s="20"/>
      <c r="Q428" s="20"/>
      <c r="R428" s="20"/>
      <c r="S428" s="20"/>
      <c r="T428" s="20"/>
      <c r="U428" s="20"/>
      <c r="V428" s="20"/>
      <c r="W428" s="20"/>
      <c r="X428" s="20"/>
      <c r="Y428" s="20"/>
      <c r="Z428" s="20"/>
      <c r="AA428" s="20"/>
      <c r="AB428" s="20"/>
      <c r="AC428" s="22">
        <f t="shared" si="17"/>
        <v>99810</v>
      </c>
      <c r="AD428" s="22">
        <f t="shared" si="18"/>
        <v>249487</v>
      </c>
    </row>
    <row r="429" spans="1:30" x14ac:dyDescent="0.25">
      <c r="A429" s="13">
        <v>538</v>
      </c>
      <c r="B429" s="14" t="s">
        <v>896</v>
      </c>
      <c r="C429" s="26" t="s">
        <v>897</v>
      </c>
      <c r="D429" s="14" t="s">
        <v>42</v>
      </c>
      <c r="E429" s="20">
        <v>583792</v>
      </c>
      <c r="F429" s="20">
        <v>1459478</v>
      </c>
      <c r="G429" s="20">
        <v>44656</v>
      </c>
      <c r="H429" s="20">
        <v>111613</v>
      </c>
      <c r="I429" s="20">
        <v>105191</v>
      </c>
      <c r="J429" s="20">
        <v>262976</v>
      </c>
      <c r="K429" s="20">
        <v>19997</v>
      </c>
      <c r="L429" s="20">
        <v>49981</v>
      </c>
      <c r="M429" s="20">
        <v>2156</v>
      </c>
      <c r="N429" s="20">
        <v>5390</v>
      </c>
      <c r="O429" s="20"/>
      <c r="P429" s="20"/>
      <c r="Q429" s="20"/>
      <c r="R429" s="20"/>
      <c r="S429" s="20">
        <v>8</v>
      </c>
      <c r="T429" s="20">
        <v>20</v>
      </c>
      <c r="U429" s="20"/>
      <c r="V429" s="20"/>
      <c r="W429" s="20"/>
      <c r="X429" s="20"/>
      <c r="Y429" s="20"/>
      <c r="Z429" s="20"/>
      <c r="AA429" s="20">
        <v>2434</v>
      </c>
      <c r="AB429" s="20">
        <v>6084</v>
      </c>
      <c r="AC429" s="22">
        <f t="shared" si="17"/>
        <v>758234</v>
      </c>
      <c r="AD429" s="22">
        <f t="shared" si="18"/>
        <v>1895542</v>
      </c>
    </row>
    <row r="430" spans="1:30" x14ac:dyDescent="0.25">
      <c r="A430" s="13">
        <v>539</v>
      </c>
      <c r="B430" s="14" t="s">
        <v>898</v>
      </c>
      <c r="C430" s="26" t="s">
        <v>899</v>
      </c>
      <c r="D430" s="14" t="s">
        <v>42</v>
      </c>
      <c r="E430" s="20">
        <v>25172</v>
      </c>
      <c r="F430" s="20">
        <v>62930</v>
      </c>
      <c r="G430" s="20">
        <v>6228</v>
      </c>
      <c r="H430" s="20">
        <v>15550</v>
      </c>
      <c r="I430" s="20"/>
      <c r="J430" s="20"/>
      <c r="K430" s="20">
        <v>4398</v>
      </c>
      <c r="L430" s="20">
        <v>10986</v>
      </c>
      <c r="M430" s="20">
        <v>4078</v>
      </c>
      <c r="N430" s="20">
        <v>10192</v>
      </c>
      <c r="O430" s="20"/>
      <c r="P430" s="20"/>
      <c r="Q430" s="20"/>
      <c r="R430" s="20"/>
      <c r="S430" s="20">
        <v>6</v>
      </c>
      <c r="T430" s="20">
        <v>15</v>
      </c>
      <c r="U430" s="20"/>
      <c r="V430" s="20"/>
      <c r="W430" s="20"/>
      <c r="X430" s="20"/>
      <c r="Y430" s="20"/>
      <c r="Z430" s="20"/>
      <c r="AA430" s="20">
        <v>280</v>
      </c>
      <c r="AB430" s="20">
        <v>700</v>
      </c>
      <c r="AC430" s="22">
        <f t="shared" si="17"/>
        <v>40162</v>
      </c>
      <c r="AD430" s="22">
        <f t="shared" si="18"/>
        <v>100373</v>
      </c>
    </row>
    <row r="431" spans="1:30" x14ac:dyDescent="0.25">
      <c r="A431" s="13">
        <v>540</v>
      </c>
      <c r="B431" s="14" t="s">
        <v>900</v>
      </c>
      <c r="C431" s="26" t="s">
        <v>901</v>
      </c>
      <c r="D431" s="14" t="s">
        <v>42</v>
      </c>
      <c r="E431" s="20">
        <v>26</v>
      </c>
      <c r="F431" s="20">
        <v>63</v>
      </c>
      <c r="G431" s="20">
        <v>408</v>
      </c>
      <c r="H431" s="20">
        <v>1020</v>
      </c>
      <c r="I431" s="20">
        <v>14300</v>
      </c>
      <c r="J431" s="20">
        <v>35750</v>
      </c>
      <c r="K431" s="20">
        <v>1027</v>
      </c>
      <c r="L431" s="20">
        <v>2564</v>
      </c>
      <c r="M431" s="20"/>
      <c r="N431" s="20"/>
      <c r="O431" s="20"/>
      <c r="P431" s="20"/>
      <c r="Q431" s="20"/>
      <c r="R431" s="20"/>
      <c r="S431" s="20"/>
      <c r="T431" s="20"/>
      <c r="U431" s="20"/>
      <c r="V431" s="20"/>
      <c r="W431" s="20"/>
      <c r="X431" s="20"/>
      <c r="Y431" s="20"/>
      <c r="Z431" s="20"/>
      <c r="AA431" s="20"/>
      <c r="AB431" s="20"/>
      <c r="AC431" s="22">
        <f t="shared" si="17"/>
        <v>15761</v>
      </c>
      <c r="AD431" s="22">
        <f t="shared" si="18"/>
        <v>39397</v>
      </c>
    </row>
    <row r="432" spans="1:30" x14ac:dyDescent="0.25">
      <c r="A432" s="13">
        <v>541</v>
      </c>
      <c r="B432" s="14" t="s">
        <v>902</v>
      </c>
      <c r="C432" s="26" t="s">
        <v>903</v>
      </c>
      <c r="D432" s="14" t="s">
        <v>42</v>
      </c>
      <c r="E432" s="20">
        <v>24</v>
      </c>
      <c r="F432" s="20">
        <v>60</v>
      </c>
      <c r="G432" s="20">
        <v>24</v>
      </c>
      <c r="H432" s="20">
        <v>60</v>
      </c>
      <c r="I432" s="20">
        <v>12805</v>
      </c>
      <c r="J432" s="20">
        <v>32012</v>
      </c>
      <c r="K432" s="20">
        <v>1345</v>
      </c>
      <c r="L432" s="20">
        <v>3360</v>
      </c>
      <c r="M432" s="20"/>
      <c r="N432" s="20"/>
      <c r="O432" s="20"/>
      <c r="P432" s="20"/>
      <c r="Q432" s="20"/>
      <c r="R432" s="20"/>
      <c r="S432" s="20"/>
      <c r="T432" s="20"/>
      <c r="U432" s="20"/>
      <c r="V432" s="20"/>
      <c r="W432" s="20"/>
      <c r="X432" s="20"/>
      <c r="Y432" s="20"/>
      <c r="Z432" s="20"/>
      <c r="AA432" s="20"/>
      <c r="AB432" s="20"/>
      <c r="AC432" s="22">
        <f t="shared" si="17"/>
        <v>14198</v>
      </c>
      <c r="AD432" s="22">
        <f t="shared" si="18"/>
        <v>35492</v>
      </c>
    </row>
    <row r="433" spans="1:30" x14ac:dyDescent="0.25">
      <c r="A433" s="13">
        <v>542</v>
      </c>
      <c r="B433" s="14" t="s">
        <v>904</v>
      </c>
      <c r="C433" s="26" t="s">
        <v>905</v>
      </c>
      <c r="D433" s="14" t="s">
        <v>42</v>
      </c>
      <c r="E433" s="20">
        <v>9015</v>
      </c>
      <c r="F433" s="20">
        <v>22536</v>
      </c>
      <c r="G433" s="20">
        <v>20876</v>
      </c>
      <c r="H433" s="20">
        <v>52040</v>
      </c>
      <c r="I433" s="20">
        <v>3179</v>
      </c>
      <c r="J433" s="20">
        <v>7946</v>
      </c>
      <c r="K433" s="20">
        <v>20467</v>
      </c>
      <c r="L433" s="20">
        <v>51147</v>
      </c>
      <c r="M433" s="20"/>
      <c r="N433" s="20"/>
      <c r="O433" s="20"/>
      <c r="P433" s="20"/>
      <c r="Q433" s="20"/>
      <c r="R433" s="20"/>
      <c r="S433" s="20"/>
      <c r="T433" s="20"/>
      <c r="U433" s="20"/>
      <c r="V433" s="20"/>
      <c r="W433" s="20"/>
      <c r="X433" s="20"/>
      <c r="Y433" s="20"/>
      <c r="Z433" s="20"/>
      <c r="AA433" s="20"/>
      <c r="AB433" s="20"/>
      <c r="AC433" s="22">
        <f t="shared" si="17"/>
        <v>53537</v>
      </c>
      <c r="AD433" s="22">
        <f t="shared" si="18"/>
        <v>133669</v>
      </c>
    </row>
    <row r="434" spans="1:30" x14ac:dyDescent="0.25">
      <c r="A434" s="13">
        <v>544</v>
      </c>
      <c r="B434" s="14" t="s">
        <v>906</v>
      </c>
      <c r="C434" s="26" t="s">
        <v>907</v>
      </c>
      <c r="D434" s="14" t="s">
        <v>42</v>
      </c>
      <c r="E434" s="20"/>
      <c r="F434" s="20"/>
      <c r="G434" s="20">
        <v>27672</v>
      </c>
      <c r="H434" s="20">
        <v>69160</v>
      </c>
      <c r="I434" s="20"/>
      <c r="J434" s="20"/>
      <c r="K434" s="20">
        <v>1953</v>
      </c>
      <c r="L434" s="20">
        <v>4880</v>
      </c>
      <c r="M434" s="20"/>
      <c r="N434" s="20"/>
      <c r="O434" s="20"/>
      <c r="P434" s="20"/>
      <c r="Q434" s="20"/>
      <c r="R434" s="20"/>
      <c r="S434" s="20">
        <v>124</v>
      </c>
      <c r="T434" s="20">
        <v>310</v>
      </c>
      <c r="U434" s="20"/>
      <c r="V434" s="20"/>
      <c r="W434" s="20"/>
      <c r="X434" s="20"/>
      <c r="Y434" s="20"/>
      <c r="Z434" s="20"/>
      <c r="AA434" s="20"/>
      <c r="AB434" s="20"/>
      <c r="AC434" s="22">
        <f t="shared" si="17"/>
        <v>29749</v>
      </c>
      <c r="AD434" s="22">
        <f t="shared" si="18"/>
        <v>74350</v>
      </c>
    </row>
    <row r="435" spans="1:30" x14ac:dyDescent="0.25">
      <c r="A435" s="13">
        <v>545</v>
      </c>
      <c r="B435" s="14" t="s">
        <v>908</v>
      </c>
      <c r="C435" s="26" t="s">
        <v>909</v>
      </c>
      <c r="D435" s="14" t="s">
        <v>42</v>
      </c>
      <c r="E435" s="20">
        <v>4761916</v>
      </c>
      <c r="F435" s="20">
        <v>11904787</v>
      </c>
      <c r="G435" s="20">
        <v>335786</v>
      </c>
      <c r="H435" s="20">
        <v>839450</v>
      </c>
      <c r="I435" s="20"/>
      <c r="J435" s="20"/>
      <c r="K435" s="20">
        <v>67136</v>
      </c>
      <c r="L435" s="20">
        <v>167830</v>
      </c>
      <c r="M435" s="20"/>
      <c r="N435" s="20"/>
      <c r="O435" s="20"/>
      <c r="P435" s="20"/>
      <c r="Q435" s="20"/>
      <c r="R435" s="20"/>
      <c r="S435" s="20">
        <v>196</v>
      </c>
      <c r="T435" s="20">
        <v>490</v>
      </c>
      <c r="U435" s="20"/>
      <c r="V435" s="20"/>
      <c r="W435" s="20"/>
      <c r="X435" s="20"/>
      <c r="Y435" s="20"/>
      <c r="Z435" s="20"/>
      <c r="AA435" s="20">
        <v>2824</v>
      </c>
      <c r="AB435" s="20">
        <v>7060</v>
      </c>
      <c r="AC435" s="22">
        <f t="shared" si="17"/>
        <v>5167858</v>
      </c>
      <c r="AD435" s="22">
        <f t="shared" si="18"/>
        <v>12919617</v>
      </c>
    </row>
    <row r="436" spans="1:30" x14ac:dyDescent="0.25">
      <c r="A436" s="13">
        <v>546</v>
      </c>
      <c r="B436" s="14" t="s">
        <v>910</v>
      </c>
      <c r="C436" s="26" t="s">
        <v>911</v>
      </c>
      <c r="D436" s="14" t="s">
        <v>42</v>
      </c>
      <c r="E436" s="20">
        <v>6241718</v>
      </c>
      <c r="F436" s="20">
        <v>15604294</v>
      </c>
      <c r="G436" s="20">
        <v>441402</v>
      </c>
      <c r="H436" s="20">
        <v>1103492</v>
      </c>
      <c r="I436" s="20">
        <v>2363909</v>
      </c>
      <c r="J436" s="20">
        <v>5909772</v>
      </c>
      <c r="K436" s="20">
        <v>49507</v>
      </c>
      <c r="L436" s="20">
        <v>123756</v>
      </c>
      <c r="M436" s="20"/>
      <c r="N436" s="20"/>
      <c r="O436" s="20"/>
      <c r="P436" s="20"/>
      <c r="Q436" s="20"/>
      <c r="R436" s="20"/>
      <c r="S436" s="20">
        <v>276</v>
      </c>
      <c r="T436" s="20">
        <v>690</v>
      </c>
      <c r="U436" s="20"/>
      <c r="V436" s="20"/>
      <c r="W436" s="20"/>
      <c r="X436" s="20"/>
      <c r="Y436" s="20"/>
      <c r="Z436" s="20"/>
      <c r="AA436" s="20">
        <v>1296</v>
      </c>
      <c r="AB436" s="20">
        <v>3240</v>
      </c>
      <c r="AC436" s="22">
        <f t="shared" si="17"/>
        <v>9098108</v>
      </c>
      <c r="AD436" s="22">
        <f t="shared" si="18"/>
        <v>22745244</v>
      </c>
    </row>
    <row r="437" spans="1:30" x14ac:dyDescent="0.25">
      <c r="A437" s="13">
        <v>547</v>
      </c>
      <c r="B437" s="14" t="s">
        <v>912</v>
      </c>
      <c r="C437" s="26" t="s">
        <v>913</v>
      </c>
      <c r="D437" s="14" t="s">
        <v>42</v>
      </c>
      <c r="E437" s="20">
        <v>66644</v>
      </c>
      <c r="F437" s="20">
        <v>166608</v>
      </c>
      <c r="G437" s="20">
        <v>8944</v>
      </c>
      <c r="H437" s="20">
        <v>22349</v>
      </c>
      <c r="I437" s="20"/>
      <c r="J437" s="20"/>
      <c r="K437" s="20">
        <v>5208</v>
      </c>
      <c r="L437" s="20">
        <v>13016</v>
      </c>
      <c r="M437" s="20"/>
      <c r="N437" s="20"/>
      <c r="O437" s="20"/>
      <c r="P437" s="20"/>
      <c r="Q437" s="20"/>
      <c r="R437" s="20"/>
      <c r="S437" s="20"/>
      <c r="T437" s="20"/>
      <c r="U437" s="20"/>
      <c r="V437" s="20"/>
      <c r="W437" s="20"/>
      <c r="X437" s="20"/>
      <c r="Y437" s="20"/>
      <c r="Z437" s="20"/>
      <c r="AA437" s="20"/>
      <c r="AB437" s="20"/>
      <c r="AC437" s="22">
        <f t="shared" si="17"/>
        <v>80796</v>
      </c>
      <c r="AD437" s="22">
        <f t="shared" si="18"/>
        <v>201973</v>
      </c>
    </row>
    <row r="438" spans="1:30" x14ac:dyDescent="0.25">
      <c r="A438" s="13">
        <v>550</v>
      </c>
      <c r="B438" s="14" t="s">
        <v>914</v>
      </c>
      <c r="C438" s="26" t="s">
        <v>915</v>
      </c>
      <c r="D438" s="14" t="s">
        <v>42</v>
      </c>
      <c r="E438" s="20">
        <v>34388</v>
      </c>
      <c r="F438" s="20">
        <v>85968</v>
      </c>
      <c r="G438" s="20">
        <v>9170</v>
      </c>
      <c r="H438" s="20">
        <v>22883</v>
      </c>
      <c r="I438" s="20">
        <v>12964</v>
      </c>
      <c r="J438" s="20">
        <v>32410</v>
      </c>
      <c r="K438" s="20">
        <v>8451</v>
      </c>
      <c r="L438" s="20">
        <v>21118</v>
      </c>
      <c r="M438" s="20"/>
      <c r="N438" s="20"/>
      <c r="O438" s="20"/>
      <c r="P438" s="20"/>
      <c r="Q438" s="20"/>
      <c r="R438" s="20"/>
      <c r="S438" s="20"/>
      <c r="T438" s="20"/>
      <c r="U438" s="20"/>
      <c r="V438" s="20"/>
      <c r="W438" s="20"/>
      <c r="X438" s="20"/>
      <c r="Y438" s="20"/>
      <c r="Z438" s="20"/>
      <c r="AA438" s="20"/>
      <c r="AB438" s="20"/>
      <c r="AC438" s="22">
        <f t="shared" si="17"/>
        <v>64973</v>
      </c>
      <c r="AD438" s="22">
        <f t="shared" si="18"/>
        <v>162379</v>
      </c>
    </row>
    <row r="439" spans="1:30" x14ac:dyDescent="0.25">
      <c r="A439" s="13">
        <v>551</v>
      </c>
      <c r="B439" s="14" t="s">
        <v>916</v>
      </c>
      <c r="C439" s="26" t="s">
        <v>917</v>
      </c>
      <c r="D439" s="14" t="s">
        <v>42</v>
      </c>
      <c r="E439" s="20">
        <v>6064</v>
      </c>
      <c r="F439" s="20">
        <v>15158</v>
      </c>
      <c r="G439" s="20">
        <v>4194</v>
      </c>
      <c r="H439" s="20">
        <v>10465</v>
      </c>
      <c r="I439" s="20">
        <v>1598</v>
      </c>
      <c r="J439" s="20">
        <v>3993</v>
      </c>
      <c r="K439" s="20">
        <v>66</v>
      </c>
      <c r="L439" s="20">
        <v>160</v>
      </c>
      <c r="M439" s="20"/>
      <c r="N439" s="20"/>
      <c r="O439" s="20"/>
      <c r="P439" s="20"/>
      <c r="Q439" s="20"/>
      <c r="R439" s="20"/>
      <c r="S439" s="20"/>
      <c r="T439" s="20"/>
      <c r="U439" s="20"/>
      <c r="V439" s="20"/>
      <c r="W439" s="20"/>
      <c r="X439" s="20"/>
      <c r="Y439" s="20"/>
      <c r="Z439" s="20"/>
      <c r="AA439" s="20"/>
      <c r="AB439" s="20"/>
      <c r="AC439" s="22">
        <f t="shared" si="17"/>
        <v>11922</v>
      </c>
      <c r="AD439" s="22">
        <f t="shared" si="18"/>
        <v>29776</v>
      </c>
    </row>
    <row r="440" spans="1:30" x14ac:dyDescent="0.25">
      <c r="A440" s="13">
        <v>552</v>
      </c>
      <c r="B440" s="14" t="s">
        <v>918</v>
      </c>
      <c r="C440" s="26" t="s">
        <v>919</v>
      </c>
      <c r="D440" s="14" t="s">
        <v>42</v>
      </c>
      <c r="E440" s="20">
        <v>968152</v>
      </c>
      <c r="F440" s="20">
        <v>2420378</v>
      </c>
      <c r="G440" s="20">
        <v>215039</v>
      </c>
      <c r="H440" s="20">
        <v>537484</v>
      </c>
      <c r="I440" s="20">
        <v>199299</v>
      </c>
      <c r="J440" s="20">
        <v>498247</v>
      </c>
      <c r="K440" s="20">
        <v>159463</v>
      </c>
      <c r="L440" s="20">
        <v>398626</v>
      </c>
      <c r="M440" s="20">
        <v>7372</v>
      </c>
      <c r="N440" s="20">
        <v>18430</v>
      </c>
      <c r="O440" s="20"/>
      <c r="P440" s="20"/>
      <c r="Q440" s="20"/>
      <c r="R440" s="20"/>
      <c r="S440" s="20">
        <v>108</v>
      </c>
      <c r="T440" s="20">
        <v>270</v>
      </c>
      <c r="U440" s="20"/>
      <c r="V440" s="20"/>
      <c r="W440" s="20"/>
      <c r="X440" s="20"/>
      <c r="Y440" s="20"/>
      <c r="Z440" s="20"/>
      <c r="AA440" s="20"/>
      <c r="AB440" s="20"/>
      <c r="AC440" s="22">
        <f t="shared" si="17"/>
        <v>1549433</v>
      </c>
      <c r="AD440" s="22">
        <f t="shared" si="18"/>
        <v>3873435</v>
      </c>
    </row>
    <row r="441" spans="1:30" x14ac:dyDescent="0.25">
      <c r="A441" s="13">
        <v>554</v>
      </c>
      <c r="B441" s="14" t="s">
        <v>920</v>
      </c>
      <c r="C441" s="26" t="s">
        <v>921</v>
      </c>
      <c r="D441" s="14" t="s">
        <v>42</v>
      </c>
      <c r="E441" s="20">
        <v>48064</v>
      </c>
      <c r="F441" s="20">
        <v>120158</v>
      </c>
      <c r="G441" s="20">
        <v>43096</v>
      </c>
      <c r="H441" s="20">
        <v>107645</v>
      </c>
      <c r="I441" s="20">
        <v>21920</v>
      </c>
      <c r="J441" s="20">
        <v>54800</v>
      </c>
      <c r="K441" s="20">
        <v>24865</v>
      </c>
      <c r="L441" s="20">
        <v>62137</v>
      </c>
      <c r="M441" s="20"/>
      <c r="N441" s="20"/>
      <c r="O441" s="20"/>
      <c r="P441" s="20"/>
      <c r="Q441" s="20"/>
      <c r="R441" s="20"/>
      <c r="S441" s="20"/>
      <c r="T441" s="20"/>
      <c r="U441" s="20"/>
      <c r="V441" s="20"/>
      <c r="W441" s="20"/>
      <c r="X441" s="20"/>
      <c r="Y441" s="20"/>
      <c r="Z441" s="20"/>
      <c r="AA441" s="20"/>
      <c r="AB441" s="20"/>
      <c r="AC441" s="22">
        <f t="shared" si="17"/>
        <v>137945</v>
      </c>
      <c r="AD441" s="22">
        <f t="shared" si="18"/>
        <v>344740</v>
      </c>
    </row>
    <row r="442" spans="1:30" x14ac:dyDescent="0.25">
      <c r="A442" s="13">
        <v>556</v>
      </c>
      <c r="B442" s="14" t="s">
        <v>922</v>
      </c>
      <c r="C442" s="26" t="s">
        <v>923</v>
      </c>
      <c r="D442" s="14" t="s">
        <v>42</v>
      </c>
      <c r="E442" s="20">
        <v>28170</v>
      </c>
      <c r="F442" s="20">
        <v>70423</v>
      </c>
      <c r="G442" s="20">
        <v>33165</v>
      </c>
      <c r="H442" s="20">
        <v>82846</v>
      </c>
      <c r="I442" s="20">
        <v>10960</v>
      </c>
      <c r="J442" s="20">
        <v>27400</v>
      </c>
      <c r="K442" s="20">
        <v>19608</v>
      </c>
      <c r="L442" s="20">
        <v>48991</v>
      </c>
      <c r="M442" s="20"/>
      <c r="N442" s="20"/>
      <c r="O442" s="20"/>
      <c r="P442" s="20"/>
      <c r="Q442" s="20"/>
      <c r="R442" s="20"/>
      <c r="S442" s="20"/>
      <c r="T442" s="20"/>
      <c r="U442" s="20"/>
      <c r="V442" s="20"/>
      <c r="W442" s="20"/>
      <c r="X442" s="20"/>
      <c r="Y442" s="20"/>
      <c r="Z442" s="20"/>
      <c r="AA442" s="20"/>
      <c r="AB442" s="20"/>
      <c r="AC442" s="22">
        <f t="shared" si="17"/>
        <v>91903</v>
      </c>
      <c r="AD442" s="22">
        <f t="shared" si="18"/>
        <v>229660</v>
      </c>
    </row>
    <row r="443" spans="1:30" x14ac:dyDescent="0.25">
      <c r="A443" s="13">
        <v>557</v>
      </c>
      <c r="B443" s="14" t="s">
        <v>924</v>
      </c>
      <c r="C443" s="26" t="s">
        <v>925</v>
      </c>
      <c r="D443" s="14" t="s">
        <v>42</v>
      </c>
      <c r="E443" s="20">
        <v>3480</v>
      </c>
      <c r="F443" s="20">
        <v>8698</v>
      </c>
      <c r="G443" s="20">
        <v>2261</v>
      </c>
      <c r="H443" s="20">
        <v>5593</v>
      </c>
      <c r="I443" s="20">
        <v>224</v>
      </c>
      <c r="J443" s="20">
        <v>559</v>
      </c>
      <c r="K443" s="20">
        <v>696</v>
      </c>
      <c r="L443" s="20">
        <v>1723</v>
      </c>
      <c r="M443" s="20">
        <v>744</v>
      </c>
      <c r="N443" s="20">
        <v>1860</v>
      </c>
      <c r="O443" s="20">
        <v>35</v>
      </c>
      <c r="P443" s="20">
        <v>85</v>
      </c>
      <c r="Q443" s="20"/>
      <c r="R443" s="20"/>
      <c r="S443" s="20"/>
      <c r="T443" s="20"/>
      <c r="U443" s="20"/>
      <c r="V443" s="20"/>
      <c r="W443" s="20"/>
      <c r="X443" s="20"/>
      <c r="Y443" s="20"/>
      <c r="Z443" s="20"/>
      <c r="AA443" s="20"/>
      <c r="AB443" s="20"/>
      <c r="AC443" s="22">
        <f t="shared" si="17"/>
        <v>7440</v>
      </c>
      <c r="AD443" s="22">
        <f t="shared" si="18"/>
        <v>18518</v>
      </c>
    </row>
    <row r="444" spans="1:30" x14ac:dyDescent="0.25">
      <c r="A444" s="13">
        <v>559</v>
      </c>
      <c r="B444" s="14" t="s">
        <v>926</v>
      </c>
      <c r="C444" s="26" t="s">
        <v>927</v>
      </c>
      <c r="D444" s="14" t="s">
        <v>42</v>
      </c>
      <c r="E444" s="20">
        <v>26903</v>
      </c>
      <c r="F444" s="20">
        <v>67255</v>
      </c>
      <c r="G444" s="20">
        <v>4926</v>
      </c>
      <c r="H444" s="20">
        <v>12280</v>
      </c>
      <c r="I444" s="20">
        <v>16368</v>
      </c>
      <c r="J444" s="20">
        <v>40920</v>
      </c>
      <c r="K444" s="20">
        <v>1791</v>
      </c>
      <c r="L444" s="20">
        <v>4466</v>
      </c>
      <c r="M444" s="20"/>
      <c r="N444" s="20"/>
      <c r="O444" s="20"/>
      <c r="P444" s="20"/>
      <c r="Q444" s="20"/>
      <c r="R444" s="20"/>
      <c r="S444" s="20"/>
      <c r="T444" s="20"/>
      <c r="U444" s="20"/>
      <c r="V444" s="20"/>
      <c r="W444" s="20"/>
      <c r="X444" s="20"/>
      <c r="Y444" s="20"/>
      <c r="Z444" s="20"/>
      <c r="AA444" s="20"/>
      <c r="AB444" s="20"/>
      <c r="AC444" s="22">
        <f t="shared" si="17"/>
        <v>49988</v>
      </c>
      <c r="AD444" s="22">
        <f t="shared" si="18"/>
        <v>124921</v>
      </c>
    </row>
    <row r="445" spans="1:30" x14ac:dyDescent="0.25">
      <c r="A445" s="13">
        <v>560</v>
      </c>
      <c r="B445" s="14" t="s">
        <v>928</v>
      </c>
      <c r="C445" s="26" t="s">
        <v>929</v>
      </c>
      <c r="D445" s="14" t="s">
        <v>42</v>
      </c>
      <c r="E445" s="20">
        <v>3232</v>
      </c>
      <c r="F445" s="20">
        <v>8078</v>
      </c>
      <c r="G445" s="20">
        <v>1742</v>
      </c>
      <c r="H445" s="20">
        <v>4330</v>
      </c>
      <c r="I445" s="20">
        <v>78</v>
      </c>
      <c r="J445" s="20">
        <v>192</v>
      </c>
      <c r="K445" s="20">
        <v>46</v>
      </c>
      <c r="L445" s="20">
        <v>111</v>
      </c>
      <c r="M445" s="20"/>
      <c r="N445" s="20"/>
      <c r="O445" s="20"/>
      <c r="P445" s="20"/>
      <c r="Q445" s="20"/>
      <c r="R445" s="20"/>
      <c r="S445" s="20"/>
      <c r="T445" s="20"/>
      <c r="U445" s="20"/>
      <c r="V445" s="20"/>
      <c r="W445" s="20"/>
      <c r="X445" s="20"/>
      <c r="Y445" s="20"/>
      <c r="Z445" s="20"/>
      <c r="AA445" s="20"/>
      <c r="AB445" s="20"/>
      <c r="AC445" s="22">
        <f t="shared" si="17"/>
        <v>5098</v>
      </c>
      <c r="AD445" s="22">
        <f t="shared" si="18"/>
        <v>12711</v>
      </c>
    </row>
    <row r="446" spans="1:30" x14ac:dyDescent="0.25">
      <c r="A446" s="13">
        <v>563</v>
      </c>
      <c r="B446" s="14" t="s">
        <v>930</v>
      </c>
      <c r="C446" s="26" t="s">
        <v>931</v>
      </c>
      <c r="D446" s="14" t="s">
        <v>42</v>
      </c>
      <c r="E446" s="20">
        <v>15981</v>
      </c>
      <c r="F446" s="20">
        <v>39952</v>
      </c>
      <c r="G446" s="20">
        <v>5046</v>
      </c>
      <c r="H446" s="20">
        <v>12539</v>
      </c>
      <c r="I446" s="20">
        <v>30064</v>
      </c>
      <c r="J446" s="20">
        <v>75158</v>
      </c>
      <c r="K446" s="20">
        <v>9832</v>
      </c>
      <c r="L446" s="20">
        <v>24552</v>
      </c>
      <c r="M446" s="20"/>
      <c r="N446" s="20"/>
      <c r="O446" s="20"/>
      <c r="P446" s="20"/>
      <c r="Q446" s="20"/>
      <c r="R446" s="20"/>
      <c r="S446" s="20"/>
      <c r="T446" s="20"/>
      <c r="U446" s="20"/>
      <c r="V446" s="20"/>
      <c r="W446" s="20"/>
      <c r="X446" s="20"/>
      <c r="Y446" s="20"/>
      <c r="Z446" s="20"/>
      <c r="AA446" s="20"/>
      <c r="AB446" s="20"/>
      <c r="AC446" s="22">
        <f t="shared" si="17"/>
        <v>60923</v>
      </c>
      <c r="AD446" s="22">
        <f t="shared" si="18"/>
        <v>152201</v>
      </c>
    </row>
    <row r="447" spans="1:30" x14ac:dyDescent="0.25">
      <c r="A447" s="13">
        <v>564</v>
      </c>
      <c r="B447" s="14" t="s">
        <v>932</v>
      </c>
      <c r="C447" s="26" t="s">
        <v>933</v>
      </c>
      <c r="D447" s="14" t="s">
        <v>42</v>
      </c>
      <c r="E447" s="20">
        <v>27489</v>
      </c>
      <c r="F447" s="20">
        <v>68720</v>
      </c>
      <c r="G447" s="20">
        <v>8123</v>
      </c>
      <c r="H447" s="20">
        <v>20223</v>
      </c>
      <c r="I447" s="20"/>
      <c r="J447" s="20"/>
      <c r="K447" s="20">
        <v>9811</v>
      </c>
      <c r="L447" s="20">
        <v>24508</v>
      </c>
      <c r="M447" s="20"/>
      <c r="N447" s="20"/>
      <c r="O447" s="20"/>
      <c r="P447" s="20"/>
      <c r="Q447" s="20"/>
      <c r="R447" s="20"/>
      <c r="S447" s="20"/>
      <c r="T447" s="20"/>
      <c r="U447" s="20"/>
      <c r="V447" s="20"/>
      <c r="W447" s="20"/>
      <c r="X447" s="20"/>
      <c r="Y447" s="20"/>
      <c r="Z447" s="20"/>
      <c r="AA447" s="20"/>
      <c r="AB447" s="20"/>
      <c r="AC447" s="22">
        <f t="shared" si="17"/>
        <v>45423</v>
      </c>
      <c r="AD447" s="22">
        <f t="shared" si="18"/>
        <v>113451</v>
      </c>
    </row>
    <row r="448" spans="1:30" x14ac:dyDescent="0.25">
      <c r="A448" s="13">
        <v>565</v>
      </c>
      <c r="B448" s="14" t="s">
        <v>934</v>
      </c>
      <c r="C448" s="26" t="s">
        <v>935</v>
      </c>
      <c r="D448" s="14" t="s">
        <v>42</v>
      </c>
      <c r="E448" s="20">
        <v>43357</v>
      </c>
      <c r="F448" s="20">
        <v>108391</v>
      </c>
      <c r="G448" s="20">
        <v>12025</v>
      </c>
      <c r="H448" s="20">
        <v>29999</v>
      </c>
      <c r="I448" s="20">
        <v>13700</v>
      </c>
      <c r="J448" s="20">
        <v>34250</v>
      </c>
      <c r="K448" s="20">
        <v>9538</v>
      </c>
      <c r="L448" s="20">
        <v>23832</v>
      </c>
      <c r="M448" s="20"/>
      <c r="N448" s="20"/>
      <c r="O448" s="20"/>
      <c r="P448" s="20"/>
      <c r="Q448" s="20"/>
      <c r="R448" s="20"/>
      <c r="S448" s="20"/>
      <c r="T448" s="20"/>
      <c r="U448" s="20"/>
      <c r="V448" s="20"/>
      <c r="W448" s="20"/>
      <c r="X448" s="20"/>
      <c r="Y448" s="20"/>
      <c r="Z448" s="20"/>
      <c r="AA448" s="20"/>
      <c r="AB448" s="20"/>
      <c r="AC448" s="22">
        <f t="shared" si="17"/>
        <v>78620</v>
      </c>
      <c r="AD448" s="22">
        <f t="shared" si="18"/>
        <v>196472</v>
      </c>
    </row>
    <row r="449" spans="1:30" x14ac:dyDescent="0.25">
      <c r="A449" s="13">
        <v>566</v>
      </c>
      <c r="B449" s="14" t="s">
        <v>936</v>
      </c>
      <c r="C449" s="26" t="s">
        <v>937</v>
      </c>
      <c r="D449" s="14" t="s">
        <v>42</v>
      </c>
      <c r="E449" s="20">
        <v>7436</v>
      </c>
      <c r="F449" s="20">
        <v>18590</v>
      </c>
      <c r="G449" s="20">
        <v>599</v>
      </c>
      <c r="H449" s="20">
        <v>1473</v>
      </c>
      <c r="I449" s="20">
        <v>2111</v>
      </c>
      <c r="J449" s="20">
        <v>5277</v>
      </c>
      <c r="K449" s="20">
        <v>2012</v>
      </c>
      <c r="L449" s="20">
        <v>5021</v>
      </c>
      <c r="M449" s="20"/>
      <c r="N449" s="20"/>
      <c r="O449" s="20"/>
      <c r="P449" s="20"/>
      <c r="Q449" s="20"/>
      <c r="R449" s="20"/>
      <c r="S449" s="20"/>
      <c r="T449" s="20"/>
      <c r="U449" s="20"/>
      <c r="V449" s="20"/>
      <c r="W449" s="20"/>
      <c r="X449" s="20"/>
      <c r="Y449" s="20"/>
      <c r="Z449" s="20"/>
      <c r="AA449" s="20"/>
      <c r="AB449" s="20"/>
      <c r="AC449" s="22">
        <f t="shared" si="17"/>
        <v>12158</v>
      </c>
      <c r="AD449" s="22">
        <f t="shared" si="18"/>
        <v>30361</v>
      </c>
    </row>
    <row r="450" spans="1:30" x14ac:dyDescent="0.25">
      <c r="A450" s="13">
        <v>567</v>
      </c>
      <c r="B450" s="14" t="s">
        <v>938</v>
      </c>
      <c r="C450" s="26" t="s">
        <v>939</v>
      </c>
      <c r="D450" s="14" t="s">
        <v>42</v>
      </c>
      <c r="E450" s="20">
        <v>521</v>
      </c>
      <c r="F450" s="20">
        <v>1302</v>
      </c>
      <c r="G450" s="20">
        <v>1386</v>
      </c>
      <c r="H450" s="20">
        <v>3388</v>
      </c>
      <c r="I450" s="20"/>
      <c r="J450" s="20"/>
      <c r="K450" s="20">
        <v>748</v>
      </c>
      <c r="L450" s="20">
        <v>1855</v>
      </c>
      <c r="M450" s="20"/>
      <c r="N450" s="20"/>
      <c r="O450" s="20"/>
      <c r="P450" s="20"/>
      <c r="Q450" s="20"/>
      <c r="R450" s="20"/>
      <c r="S450" s="20"/>
      <c r="T450" s="20"/>
      <c r="U450" s="20"/>
      <c r="V450" s="20"/>
      <c r="W450" s="20"/>
      <c r="X450" s="20"/>
      <c r="Y450" s="20"/>
      <c r="Z450" s="20"/>
      <c r="AA450" s="20"/>
      <c r="AB450" s="20"/>
      <c r="AC450" s="22">
        <f t="shared" si="17"/>
        <v>2655</v>
      </c>
      <c r="AD450" s="22">
        <f t="shared" si="18"/>
        <v>6545</v>
      </c>
    </row>
    <row r="451" spans="1:30" x14ac:dyDescent="0.25">
      <c r="A451" s="13">
        <v>568</v>
      </c>
      <c r="B451" s="14" t="s">
        <v>940</v>
      </c>
      <c r="C451" s="26" t="s">
        <v>941</v>
      </c>
      <c r="D451" s="14" t="s">
        <v>42</v>
      </c>
      <c r="E451" s="20"/>
      <c r="F451" s="20"/>
      <c r="G451" s="20">
        <v>967</v>
      </c>
      <c r="H451" s="20">
        <v>2383</v>
      </c>
      <c r="I451" s="20"/>
      <c r="J451" s="20"/>
      <c r="K451" s="20">
        <v>1871</v>
      </c>
      <c r="L451" s="20">
        <v>4671</v>
      </c>
      <c r="M451" s="20"/>
      <c r="N451" s="20"/>
      <c r="O451" s="20"/>
      <c r="P451" s="20"/>
      <c r="Q451" s="20"/>
      <c r="R451" s="20"/>
      <c r="S451" s="20"/>
      <c r="T451" s="20"/>
      <c r="U451" s="20"/>
      <c r="V451" s="20"/>
      <c r="W451" s="20"/>
      <c r="X451" s="20"/>
      <c r="Y451" s="20"/>
      <c r="Z451" s="20"/>
      <c r="AA451" s="20"/>
      <c r="AB451" s="20"/>
      <c r="AC451" s="22">
        <f t="shared" si="17"/>
        <v>2838</v>
      </c>
      <c r="AD451" s="22">
        <f t="shared" si="18"/>
        <v>7054</v>
      </c>
    </row>
    <row r="452" spans="1:30" x14ac:dyDescent="0.25">
      <c r="A452" s="13">
        <v>569</v>
      </c>
      <c r="B452" s="14" t="s">
        <v>942</v>
      </c>
      <c r="C452" s="26" t="s">
        <v>943</v>
      </c>
      <c r="D452" s="14" t="s">
        <v>42</v>
      </c>
      <c r="E452" s="20">
        <v>1368</v>
      </c>
      <c r="F452" s="20">
        <v>3418</v>
      </c>
      <c r="G452" s="20">
        <v>589</v>
      </c>
      <c r="H452" s="20">
        <v>1428</v>
      </c>
      <c r="I452" s="20"/>
      <c r="J452" s="20"/>
      <c r="K452" s="20">
        <v>414</v>
      </c>
      <c r="L452" s="20">
        <v>1015</v>
      </c>
      <c r="M452" s="20"/>
      <c r="N452" s="20"/>
      <c r="O452" s="20"/>
      <c r="P452" s="20"/>
      <c r="Q452" s="20"/>
      <c r="R452" s="20"/>
      <c r="S452" s="20"/>
      <c r="T452" s="20"/>
      <c r="U452" s="20"/>
      <c r="V452" s="20"/>
      <c r="W452" s="20"/>
      <c r="X452" s="20"/>
      <c r="Y452" s="20"/>
      <c r="Z452" s="20"/>
      <c r="AA452" s="20"/>
      <c r="AB452" s="20"/>
      <c r="AC452" s="22">
        <f t="shared" si="17"/>
        <v>2371</v>
      </c>
      <c r="AD452" s="22">
        <f t="shared" si="18"/>
        <v>5861</v>
      </c>
    </row>
    <row r="453" spans="1:30" x14ac:dyDescent="0.25">
      <c r="A453" s="13">
        <v>570</v>
      </c>
      <c r="B453" s="14" t="s">
        <v>944</v>
      </c>
      <c r="C453" s="26" t="s">
        <v>945</v>
      </c>
      <c r="D453" s="14" t="s">
        <v>42</v>
      </c>
      <c r="E453" s="20">
        <v>1540</v>
      </c>
      <c r="F453" s="20">
        <v>3850</v>
      </c>
      <c r="G453" s="20">
        <v>48</v>
      </c>
      <c r="H453" s="20">
        <v>108</v>
      </c>
      <c r="I453" s="20">
        <v>658</v>
      </c>
      <c r="J453" s="20">
        <v>1644</v>
      </c>
      <c r="K453" s="20">
        <v>380</v>
      </c>
      <c r="L453" s="20">
        <v>940</v>
      </c>
      <c r="M453" s="20"/>
      <c r="N453" s="20"/>
      <c r="O453" s="20"/>
      <c r="P453" s="20"/>
      <c r="Q453" s="20"/>
      <c r="R453" s="20"/>
      <c r="S453" s="20"/>
      <c r="T453" s="20"/>
      <c r="U453" s="20"/>
      <c r="V453" s="20"/>
      <c r="W453" s="20"/>
      <c r="X453" s="20"/>
      <c r="Y453" s="20"/>
      <c r="Z453" s="20"/>
      <c r="AA453" s="20"/>
      <c r="AB453" s="20"/>
      <c r="AC453" s="22">
        <f t="shared" si="17"/>
        <v>2626</v>
      </c>
      <c r="AD453" s="22">
        <f t="shared" ref="AD453:AD516" si="19">SUM(F453+H453+J453+L453+N453+P453+R453+T453+V453+X453+Z453+AB453)</f>
        <v>6542</v>
      </c>
    </row>
    <row r="454" spans="1:30" x14ac:dyDescent="0.25">
      <c r="A454" s="13">
        <v>571</v>
      </c>
      <c r="B454" s="14" t="s">
        <v>946</v>
      </c>
      <c r="C454" s="26" t="s">
        <v>947</v>
      </c>
      <c r="D454" s="14" t="s">
        <v>42</v>
      </c>
      <c r="E454" s="20">
        <v>46867</v>
      </c>
      <c r="F454" s="20">
        <v>117165</v>
      </c>
      <c r="G454" s="20">
        <v>14609</v>
      </c>
      <c r="H454" s="20">
        <v>36423</v>
      </c>
      <c r="I454" s="20">
        <v>22468</v>
      </c>
      <c r="J454" s="20">
        <v>56170</v>
      </c>
      <c r="K454" s="20">
        <v>7025</v>
      </c>
      <c r="L454" s="20">
        <v>17524</v>
      </c>
      <c r="M454" s="20">
        <v>904</v>
      </c>
      <c r="N454" s="20">
        <v>2258</v>
      </c>
      <c r="O454" s="20"/>
      <c r="P454" s="20"/>
      <c r="Q454" s="20"/>
      <c r="R454" s="20"/>
      <c r="S454" s="20"/>
      <c r="T454" s="20"/>
      <c r="U454" s="20"/>
      <c r="V454" s="20"/>
      <c r="W454" s="20"/>
      <c r="X454" s="20"/>
      <c r="Y454" s="20"/>
      <c r="Z454" s="20"/>
      <c r="AA454" s="20"/>
      <c r="AB454" s="20"/>
      <c r="AC454" s="22">
        <f t="shared" ref="AC454:AC517" si="20">SUM(E454+G454+I454+K454+M454+O454+Q454+S454+U454+W454+Y454+AA454)</f>
        <v>91873</v>
      </c>
      <c r="AD454" s="22">
        <f t="shared" si="19"/>
        <v>229540</v>
      </c>
    </row>
    <row r="455" spans="1:30" x14ac:dyDescent="0.25">
      <c r="A455" s="13">
        <v>572</v>
      </c>
      <c r="B455" s="14" t="s">
        <v>948</v>
      </c>
      <c r="C455" s="26" t="s">
        <v>949</v>
      </c>
      <c r="D455" s="14" t="s">
        <v>42</v>
      </c>
      <c r="E455" s="20">
        <v>844</v>
      </c>
      <c r="F455" s="20">
        <v>2110</v>
      </c>
      <c r="G455" s="20">
        <v>226</v>
      </c>
      <c r="H455" s="20">
        <v>558</v>
      </c>
      <c r="I455" s="20">
        <v>348</v>
      </c>
      <c r="J455" s="20">
        <v>866</v>
      </c>
      <c r="K455" s="20">
        <v>748</v>
      </c>
      <c r="L455" s="20">
        <v>1868</v>
      </c>
      <c r="M455" s="20">
        <v>10</v>
      </c>
      <c r="N455" s="20">
        <v>24</v>
      </c>
      <c r="O455" s="20"/>
      <c r="P455" s="20"/>
      <c r="Q455" s="20"/>
      <c r="R455" s="20"/>
      <c r="S455" s="20"/>
      <c r="T455" s="20"/>
      <c r="U455" s="20"/>
      <c r="V455" s="20"/>
      <c r="W455" s="20"/>
      <c r="X455" s="20"/>
      <c r="Y455" s="20"/>
      <c r="Z455" s="20"/>
      <c r="AA455" s="20"/>
      <c r="AB455" s="20"/>
      <c r="AC455" s="22">
        <f t="shared" si="20"/>
        <v>2176</v>
      </c>
      <c r="AD455" s="22">
        <f t="shared" si="19"/>
        <v>5426</v>
      </c>
    </row>
    <row r="456" spans="1:30" x14ac:dyDescent="0.25">
      <c r="A456" s="13">
        <v>573</v>
      </c>
      <c r="B456" s="14" t="s">
        <v>950</v>
      </c>
      <c r="C456" s="26" t="s">
        <v>951</v>
      </c>
      <c r="D456" s="14" t="s">
        <v>42</v>
      </c>
      <c r="E456" s="20">
        <v>174</v>
      </c>
      <c r="F456" s="20">
        <v>432</v>
      </c>
      <c r="G456" s="20">
        <v>2149</v>
      </c>
      <c r="H456" s="20">
        <v>5345</v>
      </c>
      <c r="I456" s="20"/>
      <c r="J456" s="20"/>
      <c r="K456" s="20">
        <v>4232</v>
      </c>
      <c r="L456" s="20">
        <v>10579</v>
      </c>
      <c r="M456" s="20">
        <v>986</v>
      </c>
      <c r="N456" s="20">
        <v>2462</v>
      </c>
      <c r="O456" s="20"/>
      <c r="P456" s="20"/>
      <c r="Q456" s="20"/>
      <c r="R456" s="20"/>
      <c r="S456" s="20"/>
      <c r="T456" s="20"/>
      <c r="U456" s="20"/>
      <c r="V456" s="20"/>
      <c r="W456" s="20"/>
      <c r="X456" s="20"/>
      <c r="Y456" s="20"/>
      <c r="Z456" s="20"/>
      <c r="AA456" s="20">
        <v>172</v>
      </c>
      <c r="AB456" s="20">
        <v>430</v>
      </c>
      <c r="AC456" s="22">
        <f t="shared" si="20"/>
        <v>7713</v>
      </c>
      <c r="AD456" s="22">
        <f t="shared" si="19"/>
        <v>19248</v>
      </c>
    </row>
    <row r="457" spans="1:30" x14ac:dyDescent="0.25">
      <c r="A457" s="13">
        <v>574</v>
      </c>
      <c r="B457" s="14" t="s">
        <v>952</v>
      </c>
      <c r="C457" s="26" t="s">
        <v>953</v>
      </c>
      <c r="D457" s="14" t="s">
        <v>42</v>
      </c>
      <c r="E457" s="20">
        <v>7059</v>
      </c>
      <c r="F457" s="20">
        <v>17645</v>
      </c>
      <c r="G457" s="20">
        <v>8560</v>
      </c>
      <c r="H457" s="20">
        <v>21351</v>
      </c>
      <c r="I457" s="20">
        <v>6287</v>
      </c>
      <c r="J457" s="20">
        <v>15716</v>
      </c>
      <c r="K457" s="20">
        <v>13558</v>
      </c>
      <c r="L457" s="20">
        <v>33867</v>
      </c>
      <c r="M457" s="20"/>
      <c r="N457" s="20"/>
      <c r="O457" s="20"/>
      <c r="P457" s="20"/>
      <c r="Q457" s="20"/>
      <c r="R457" s="20"/>
      <c r="S457" s="20"/>
      <c r="T457" s="20"/>
      <c r="U457" s="20"/>
      <c r="V457" s="20"/>
      <c r="W457" s="20"/>
      <c r="X457" s="20"/>
      <c r="Y457" s="20"/>
      <c r="Z457" s="20"/>
      <c r="AA457" s="20"/>
      <c r="AB457" s="20"/>
      <c r="AC457" s="22">
        <f t="shared" si="20"/>
        <v>35464</v>
      </c>
      <c r="AD457" s="22">
        <f t="shared" si="19"/>
        <v>88579</v>
      </c>
    </row>
    <row r="458" spans="1:30" x14ac:dyDescent="0.25">
      <c r="A458" s="13">
        <v>575</v>
      </c>
      <c r="B458" s="14" t="s">
        <v>954</v>
      </c>
      <c r="C458" s="26" t="s">
        <v>955</v>
      </c>
      <c r="D458" s="14" t="s">
        <v>42</v>
      </c>
      <c r="E458" s="20">
        <v>8132</v>
      </c>
      <c r="F458" s="20">
        <v>20330</v>
      </c>
      <c r="G458" s="20">
        <v>13677</v>
      </c>
      <c r="H458" s="20">
        <v>34137</v>
      </c>
      <c r="I458" s="20">
        <v>12048</v>
      </c>
      <c r="J458" s="20">
        <v>30118</v>
      </c>
      <c r="K458" s="20">
        <v>10085</v>
      </c>
      <c r="L458" s="20">
        <v>25188</v>
      </c>
      <c r="M458" s="20"/>
      <c r="N458" s="20"/>
      <c r="O458" s="20"/>
      <c r="P458" s="20"/>
      <c r="Q458" s="20"/>
      <c r="R458" s="20"/>
      <c r="S458" s="20"/>
      <c r="T458" s="20"/>
      <c r="U458" s="20"/>
      <c r="V458" s="20"/>
      <c r="W458" s="20"/>
      <c r="X458" s="20"/>
      <c r="Y458" s="20"/>
      <c r="Z458" s="20"/>
      <c r="AA458" s="20"/>
      <c r="AB458" s="20"/>
      <c r="AC458" s="22">
        <f t="shared" si="20"/>
        <v>43942</v>
      </c>
      <c r="AD458" s="22">
        <f t="shared" si="19"/>
        <v>109773</v>
      </c>
    </row>
    <row r="459" spans="1:30" x14ac:dyDescent="0.25">
      <c r="A459" s="13">
        <v>576</v>
      </c>
      <c r="B459" s="14" t="s">
        <v>956</v>
      </c>
      <c r="C459" s="26" t="s">
        <v>957</v>
      </c>
      <c r="D459" s="14" t="s">
        <v>42</v>
      </c>
      <c r="E459" s="20">
        <v>467</v>
      </c>
      <c r="F459" s="20">
        <v>1165</v>
      </c>
      <c r="G459" s="20">
        <v>193</v>
      </c>
      <c r="H459" s="20">
        <v>476</v>
      </c>
      <c r="I459" s="20">
        <v>192</v>
      </c>
      <c r="J459" s="20">
        <v>478</v>
      </c>
      <c r="K459" s="20">
        <v>156</v>
      </c>
      <c r="L459" s="20">
        <v>388</v>
      </c>
      <c r="M459" s="20"/>
      <c r="N459" s="20"/>
      <c r="O459" s="20"/>
      <c r="P459" s="20"/>
      <c r="Q459" s="20"/>
      <c r="R459" s="20"/>
      <c r="S459" s="20"/>
      <c r="T459" s="20"/>
      <c r="U459" s="20"/>
      <c r="V459" s="20"/>
      <c r="W459" s="20"/>
      <c r="X459" s="20"/>
      <c r="Y459" s="20"/>
      <c r="Z459" s="20"/>
      <c r="AA459" s="20"/>
      <c r="AB459" s="20"/>
      <c r="AC459" s="22">
        <f t="shared" si="20"/>
        <v>1008</v>
      </c>
      <c r="AD459" s="22">
        <f t="shared" si="19"/>
        <v>2507</v>
      </c>
    </row>
    <row r="460" spans="1:30" x14ac:dyDescent="0.25">
      <c r="A460" s="13">
        <v>577</v>
      </c>
      <c r="B460" s="14" t="s">
        <v>958</v>
      </c>
      <c r="C460" s="26" t="s">
        <v>959</v>
      </c>
      <c r="D460" s="14" t="s">
        <v>42</v>
      </c>
      <c r="E460" s="20">
        <v>4804</v>
      </c>
      <c r="F460" s="20">
        <v>12009</v>
      </c>
      <c r="G460" s="20">
        <v>5539</v>
      </c>
      <c r="H460" s="20">
        <v>13822</v>
      </c>
      <c r="I460" s="20">
        <v>15108</v>
      </c>
      <c r="J460" s="20">
        <v>37770</v>
      </c>
      <c r="K460" s="20">
        <v>4381</v>
      </c>
      <c r="L460" s="20">
        <v>10940</v>
      </c>
      <c r="M460" s="20"/>
      <c r="N460" s="20"/>
      <c r="O460" s="20"/>
      <c r="P460" s="20"/>
      <c r="Q460" s="20"/>
      <c r="R460" s="20"/>
      <c r="S460" s="20"/>
      <c r="T460" s="20"/>
      <c r="U460" s="20"/>
      <c r="V460" s="20"/>
      <c r="W460" s="20"/>
      <c r="X460" s="20"/>
      <c r="Y460" s="20"/>
      <c r="Z460" s="20"/>
      <c r="AA460" s="20"/>
      <c r="AB460" s="20"/>
      <c r="AC460" s="22">
        <f t="shared" si="20"/>
        <v>29832</v>
      </c>
      <c r="AD460" s="22">
        <f t="shared" si="19"/>
        <v>74541</v>
      </c>
    </row>
    <row r="461" spans="1:30" x14ac:dyDescent="0.25">
      <c r="A461" s="13">
        <v>579</v>
      </c>
      <c r="B461" s="14" t="s">
        <v>960</v>
      </c>
      <c r="C461" s="26" t="s">
        <v>961</v>
      </c>
      <c r="D461" s="14" t="s">
        <v>42</v>
      </c>
      <c r="E461" s="20">
        <v>2816532</v>
      </c>
      <c r="F461" s="20">
        <v>7041326</v>
      </c>
      <c r="G461" s="20">
        <v>367618</v>
      </c>
      <c r="H461" s="20">
        <v>919006</v>
      </c>
      <c r="I461" s="20">
        <v>1032</v>
      </c>
      <c r="J461" s="20">
        <v>2580</v>
      </c>
      <c r="K461" s="20">
        <v>12420</v>
      </c>
      <c r="L461" s="20">
        <v>31043</v>
      </c>
      <c r="M461" s="20">
        <v>18534</v>
      </c>
      <c r="N461" s="20">
        <v>46334</v>
      </c>
      <c r="O461" s="20"/>
      <c r="P461" s="20"/>
      <c r="Q461" s="20"/>
      <c r="R461" s="20"/>
      <c r="S461" s="20">
        <v>7064</v>
      </c>
      <c r="T461" s="20">
        <v>17660</v>
      </c>
      <c r="U461" s="20"/>
      <c r="V461" s="20"/>
      <c r="W461" s="20"/>
      <c r="X461" s="20"/>
      <c r="Y461" s="20"/>
      <c r="Z461" s="20"/>
      <c r="AA461" s="20">
        <v>15448</v>
      </c>
      <c r="AB461" s="20">
        <v>38620</v>
      </c>
      <c r="AC461" s="22">
        <f t="shared" si="20"/>
        <v>3238648</v>
      </c>
      <c r="AD461" s="22">
        <f t="shared" si="19"/>
        <v>8096569</v>
      </c>
    </row>
    <row r="462" spans="1:30" x14ac:dyDescent="0.25">
      <c r="A462" s="13">
        <v>581</v>
      </c>
      <c r="B462" s="14" t="s">
        <v>962</v>
      </c>
      <c r="C462" s="26" t="s">
        <v>963</v>
      </c>
      <c r="D462" s="14" t="s">
        <v>42</v>
      </c>
      <c r="E462" s="20">
        <v>339502</v>
      </c>
      <c r="F462" s="20">
        <v>848752</v>
      </c>
      <c r="G462" s="20">
        <v>92079</v>
      </c>
      <c r="H462" s="20">
        <v>230163</v>
      </c>
      <c r="I462" s="20"/>
      <c r="J462" s="20"/>
      <c r="K462" s="20">
        <v>17877</v>
      </c>
      <c r="L462" s="20">
        <v>44678</v>
      </c>
      <c r="M462" s="20">
        <v>6552</v>
      </c>
      <c r="N462" s="20">
        <v>16380</v>
      </c>
      <c r="O462" s="20"/>
      <c r="P462" s="20"/>
      <c r="Q462" s="20"/>
      <c r="R462" s="20"/>
      <c r="S462" s="20">
        <v>8502</v>
      </c>
      <c r="T462" s="20">
        <v>21255</v>
      </c>
      <c r="U462" s="20"/>
      <c r="V462" s="20"/>
      <c r="W462" s="20"/>
      <c r="X462" s="20"/>
      <c r="Y462" s="20"/>
      <c r="Z462" s="20"/>
      <c r="AA462" s="20">
        <v>8200</v>
      </c>
      <c r="AB462" s="20">
        <v>20500</v>
      </c>
      <c r="AC462" s="22">
        <f t="shared" si="20"/>
        <v>472712</v>
      </c>
      <c r="AD462" s="22">
        <f t="shared" si="19"/>
        <v>1181728</v>
      </c>
    </row>
    <row r="463" spans="1:30" x14ac:dyDescent="0.25">
      <c r="A463" s="13">
        <v>582</v>
      </c>
      <c r="B463" s="14" t="s">
        <v>964</v>
      </c>
      <c r="C463" s="26" t="s">
        <v>965</v>
      </c>
      <c r="D463" s="14" t="s">
        <v>42</v>
      </c>
      <c r="E463" s="20">
        <v>1707492</v>
      </c>
      <c r="F463" s="20">
        <v>4268728</v>
      </c>
      <c r="G463" s="20">
        <v>541563</v>
      </c>
      <c r="H463" s="20">
        <v>1353859</v>
      </c>
      <c r="I463" s="20">
        <v>295920</v>
      </c>
      <c r="J463" s="20">
        <v>739800</v>
      </c>
      <c r="K463" s="20">
        <v>6504</v>
      </c>
      <c r="L463" s="20">
        <v>16237</v>
      </c>
      <c r="M463" s="20">
        <v>32374</v>
      </c>
      <c r="N463" s="20">
        <v>80932</v>
      </c>
      <c r="O463" s="20">
        <v>10987</v>
      </c>
      <c r="P463" s="20">
        <v>27467</v>
      </c>
      <c r="Q463" s="20">
        <v>63968</v>
      </c>
      <c r="R463" s="20">
        <v>159920</v>
      </c>
      <c r="S463" s="20">
        <v>6124</v>
      </c>
      <c r="T463" s="20">
        <v>15310</v>
      </c>
      <c r="U463" s="20"/>
      <c r="V463" s="20"/>
      <c r="W463" s="20"/>
      <c r="X463" s="20"/>
      <c r="Y463" s="20"/>
      <c r="Z463" s="20"/>
      <c r="AA463" s="20">
        <v>4</v>
      </c>
      <c r="AB463" s="20">
        <v>8</v>
      </c>
      <c r="AC463" s="22">
        <f t="shared" si="20"/>
        <v>2664936</v>
      </c>
      <c r="AD463" s="22">
        <f t="shared" si="19"/>
        <v>6662261</v>
      </c>
    </row>
    <row r="464" spans="1:30" x14ac:dyDescent="0.25">
      <c r="A464" s="13">
        <v>583</v>
      </c>
      <c r="B464" s="14" t="s">
        <v>966</v>
      </c>
      <c r="C464" s="26" t="s">
        <v>967</v>
      </c>
      <c r="D464" s="14" t="s">
        <v>42</v>
      </c>
      <c r="E464" s="20">
        <v>1223978</v>
      </c>
      <c r="F464" s="20">
        <v>3059942</v>
      </c>
      <c r="G464" s="20">
        <v>210102</v>
      </c>
      <c r="H464" s="20">
        <v>525209</v>
      </c>
      <c r="I464" s="20">
        <v>2192000</v>
      </c>
      <c r="J464" s="20">
        <v>5480000</v>
      </c>
      <c r="K464" s="20">
        <v>9067</v>
      </c>
      <c r="L464" s="20">
        <v>22653</v>
      </c>
      <c r="M464" s="20"/>
      <c r="N464" s="20"/>
      <c r="O464" s="20">
        <v>9522</v>
      </c>
      <c r="P464" s="20">
        <v>23804</v>
      </c>
      <c r="Q464" s="20"/>
      <c r="R464" s="20"/>
      <c r="S464" s="20">
        <v>2966</v>
      </c>
      <c r="T464" s="20">
        <v>7415</v>
      </c>
      <c r="U464" s="20"/>
      <c r="V464" s="20"/>
      <c r="W464" s="20"/>
      <c r="X464" s="20"/>
      <c r="Y464" s="20"/>
      <c r="Z464" s="20"/>
      <c r="AA464" s="20">
        <v>8</v>
      </c>
      <c r="AB464" s="20">
        <v>20</v>
      </c>
      <c r="AC464" s="22">
        <f t="shared" si="20"/>
        <v>3647643</v>
      </c>
      <c r="AD464" s="22">
        <f t="shared" si="19"/>
        <v>9119043</v>
      </c>
    </row>
    <row r="465" spans="1:30" x14ac:dyDescent="0.25">
      <c r="A465" s="13">
        <v>584</v>
      </c>
      <c r="B465" s="14" t="s">
        <v>968</v>
      </c>
      <c r="C465" s="26" t="s">
        <v>969</v>
      </c>
      <c r="D465" s="14" t="s">
        <v>42</v>
      </c>
      <c r="E465" s="20">
        <v>6471888</v>
      </c>
      <c r="F465" s="20">
        <v>16179718</v>
      </c>
      <c r="G465" s="20">
        <v>57409</v>
      </c>
      <c r="H465" s="20">
        <v>143507</v>
      </c>
      <c r="I465" s="20"/>
      <c r="J465" s="20"/>
      <c r="K465" s="20">
        <v>24758</v>
      </c>
      <c r="L465" s="20">
        <v>61874</v>
      </c>
      <c r="M465" s="20"/>
      <c r="N465" s="20"/>
      <c r="O465" s="20">
        <v>16615</v>
      </c>
      <c r="P465" s="20">
        <v>41536</v>
      </c>
      <c r="Q465" s="20">
        <v>66952</v>
      </c>
      <c r="R465" s="20">
        <v>167380</v>
      </c>
      <c r="S465" s="20">
        <v>8540</v>
      </c>
      <c r="T465" s="20">
        <v>21350</v>
      </c>
      <c r="U465" s="20"/>
      <c r="V465" s="20"/>
      <c r="W465" s="20"/>
      <c r="X465" s="20"/>
      <c r="Y465" s="20"/>
      <c r="Z465" s="20"/>
      <c r="AA465" s="20">
        <v>2</v>
      </c>
      <c r="AB465" s="20">
        <v>2</v>
      </c>
      <c r="AC465" s="22">
        <f t="shared" si="20"/>
        <v>6646164</v>
      </c>
      <c r="AD465" s="22">
        <f t="shared" si="19"/>
        <v>16615367</v>
      </c>
    </row>
    <row r="466" spans="1:30" x14ac:dyDescent="0.25">
      <c r="A466" s="13">
        <v>588</v>
      </c>
      <c r="B466" s="14" t="s">
        <v>970</v>
      </c>
      <c r="C466" s="26" t="s">
        <v>971</v>
      </c>
      <c r="D466" s="14" t="s">
        <v>42</v>
      </c>
      <c r="E466" s="20">
        <v>3536</v>
      </c>
      <c r="F466" s="20">
        <v>8838</v>
      </c>
      <c r="G466" s="20">
        <v>910</v>
      </c>
      <c r="H466" s="20">
        <v>2263</v>
      </c>
      <c r="I466" s="20">
        <v>1001</v>
      </c>
      <c r="J466" s="20">
        <v>2502</v>
      </c>
      <c r="K466" s="20">
        <v>1516</v>
      </c>
      <c r="L466" s="20">
        <v>3786</v>
      </c>
      <c r="M466" s="20"/>
      <c r="N466" s="20"/>
      <c r="O466" s="20"/>
      <c r="P466" s="20"/>
      <c r="Q466" s="20"/>
      <c r="R466" s="20"/>
      <c r="S466" s="20"/>
      <c r="T466" s="20"/>
      <c r="U466" s="20"/>
      <c r="V466" s="20"/>
      <c r="W466" s="20"/>
      <c r="X466" s="20"/>
      <c r="Y466" s="20"/>
      <c r="Z466" s="20"/>
      <c r="AA466" s="20"/>
      <c r="AB466" s="20"/>
      <c r="AC466" s="22">
        <f t="shared" si="20"/>
        <v>6963</v>
      </c>
      <c r="AD466" s="22">
        <f t="shared" si="19"/>
        <v>17389</v>
      </c>
    </row>
    <row r="467" spans="1:30" x14ac:dyDescent="0.25">
      <c r="A467" s="13">
        <v>597</v>
      </c>
      <c r="B467" s="14" t="s">
        <v>972</v>
      </c>
      <c r="C467" s="26" t="s">
        <v>973</v>
      </c>
      <c r="D467" s="14" t="s">
        <v>42</v>
      </c>
      <c r="E467" s="20"/>
      <c r="F467" s="20"/>
      <c r="G467" s="20">
        <v>5</v>
      </c>
      <c r="H467" s="20">
        <v>10</v>
      </c>
      <c r="I467" s="20"/>
      <c r="J467" s="20"/>
      <c r="K467" s="20">
        <v>287</v>
      </c>
      <c r="L467" s="20">
        <v>717</v>
      </c>
      <c r="M467" s="20"/>
      <c r="N467" s="20"/>
      <c r="O467" s="20"/>
      <c r="P467" s="20"/>
      <c r="Q467" s="20"/>
      <c r="R467" s="20"/>
      <c r="S467" s="20"/>
      <c r="T467" s="20"/>
      <c r="U467" s="20"/>
      <c r="V467" s="20"/>
      <c r="W467" s="20"/>
      <c r="X467" s="20"/>
      <c r="Y467" s="20"/>
      <c r="Z467" s="20"/>
      <c r="AA467" s="20"/>
      <c r="AB467" s="20"/>
      <c r="AC467" s="22">
        <f t="shared" si="20"/>
        <v>292</v>
      </c>
      <c r="AD467" s="22">
        <f t="shared" si="19"/>
        <v>727</v>
      </c>
    </row>
    <row r="468" spans="1:30" x14ac:dyDescent="0.25">
      <c r="A468" s="13">
        <v>610</v>
      </c>
      <c r="B468" s="14" t="s">
        <v>974</v>
      </c>
      <c r="C468" s="26" t="s">
        <v>975</v>
      </c>
      <c r="D468" s="14" t="s">
        <v>42</v>
      </c>
      <c r="E468" s="20">
        <v>1134</v>
      </c>
      <c r="F468" s="20">
        <v>2832</v>
      </c>
      <c r="G468" s="20">
        <v>22315</v>
      </c>
      <c r="H468" s="20">
        <v>55771</v>
      </c>
      <c r="I468" s="20"/>
      <c r="J468" s="20"/>
      <c r="K468" s="20">
        <v>2309</v>
      </c>
      <c r="L468" s="20">
        <v>5759</v>
      </c>
      <c r="M468" s="20"/>
      <c r="N468" s="20"/>
      <c r="O468" s="20"/>
      <c r="P468" s="20"/>
      <c r="Q468" s="20"/>
      <c r="R468" s="20"/>
      <c r="S468" s="20">
        <v>914</v>
      </c>
      <c r="T468" s="20">
        <v>2285</v>
      </c>
      <c r="U468" s="20"/>
      <c r="V468" s="20"/>
      <c r="W468" s="20"/>
      <c r="X468" s="20"/>
      <c r="Y468" s="20"/>
      <c r="Z468" s="20"/>
      <c r="AA468" s="20"/>
      <c r="AB468" s="20"/>
      <c r="AC468" s="22">
        <f t="shared" si="20"/>
        <v>26672</v>
      </c>
      <c r="AD468" s="22">
        <f t="shared" si="19"/>
        <v>66647</v>
      </c>
    </row>
    <row r="469" spans="1:30" x14ac:dyDescent="0.25">
      <c r="A469" s="13">
        <v>623</v>
      </c>
      <c r="B469" s="14" t="s">
        <v>976</v>
      </c>
      <c r="C469" s="26" t="s">
        <v>977</v>
      </c>
      <c r="D469" s="14" t="s">
        <v>42</v>
      </c>
      <c r="E469" s="20">
        <v>420</v>
      </c>
      <c r="F469" s="20">
        <v>1047</v>
      </c>
      <c r="G469" s="20">
        <v>1419</v>
      </c>
      <c r="H469" s="20">
        <v>3513</v>
      </c>
      <c r="I469" s="20">
        <v>164</v>
      </c>
      <c r="J469" s="20">
        <v>408</v>
      </c>
      <c r="K469" s="20">
        <v>419</v>
      </c>
      <c r="L469" s="20">
        <v>1044</v>
      </c>
      <c r="M469" s="20"/>
      <c r="N469" s="20"/>
      <c r="O469" s="20"/>
      <c r="P469" s="20"/>
      <c r="Q469" s="20"/>
      <c r="R469" s="20"/>
      <c r="S469" s="20"/>
      <c r="T469" s="20"/>
      <c r="U469" s="20"/>
      <c r="V469" s="20"/>
      <c r="W469" s="20"/>
      <c r="X469" s="20"/>
      <c r="Y469" s="20"/>
      <c r="Z469" s="20"/>
      <c r="AA469" s="20"/>
      <c r="AB469" s="20"/>
      <c r="AC469" s="22">
        <f t="shared" si="20"/>
        <v>2422</v>
      </c>
      <c r="AD469" s="22">
        <f t="shared" si="19"/>
        <v>6012</v>
      </c>
    </row>
    <row r="470" spans="1:30" x14ac:dyDescent="0.25">
      <c r="A470" s="13">
        <v>624</v>
      </c>
      <c r="B470" s="14" t="s">
        <v>978</v>
      </c>
      <c r="C470" s="26" t="s">
        <v>979</v>
      </c>
      <c r="D470" s="14" t="s">
        <v>42</v>
      </c>
      <c r="E470" s="20">
        <v>39</v>
      </c>
      <c r="F470" s="20">
        <v>96</v>
      </c>
      <c r="G470" s="20">
        <v>3925</v>
      </c>
      <c r="H470" s="20">
        <v>9795</v>
      </c>
      <c r="I470" s="20"/>
      <c r="J470" s="20"/>
      <c r="K470" s="20">
        <v>3869</v>
      </c>
      <c r="L470" s="20">
        <v>9666</v>
      </c>
      <c r="M470" s="20">
        <v>898</v>
      </c>
      <c r="N470" s="20">
        <v>2244</v>
      </c>
      <c r="O470" s="20"/>
      <c r="P470" s="20"/>
      <c r="Q470" s="20"/>
      <c r="R470" s="20"/>
      <c r="S470" s="20">
        <v>16</v>
      </c>
      <c r="T470" s="20">
        <v>40</v>
      </c>
      <c r="U470" s="20"/>
      <c r="V470" s="20"/>
      <c r="W470" s="20"/>
      <c r="X470" s="20"/>
      <c r="Y470" s="20"/>
      <c r="Z470" s="20"/>
      <c r="AA470" s="20"/>
      <c r="AB470" s="20"/>
      <c r="AC470" s="22">
        <f t="shared" si="20"/>
        <v>8747</v>
      </c>
      <c r="AD470" s="22">
        <f t="shared" si="19"/>
        <v>21841</v>
      </c>
    </row>
    <row r="471" spans="1:30" x14ac:dyDescent="0.25">
      <c r="A471" s="13">
        <v>630</v>
      </c>
      <c r="B471" s="14" t="s">
        <v>980</v>
      </c>
      <c r="C471" s="26" t="s">
        <v>981</v>
      </c>
      <c r="D471" s="14" t="s">
        <v>42</v>
      </c>
      <c r="E471" s="20">
        <v>2424</v>
      </c>
      <c r="F471" s="20">
        <v>6060</v>
      </c>
      <c r="G471" s="20">
        <v>234</v>
      </c>
      <c r="H471" s="20">
        <v>577</v>
      </c>
      <c r="I471" s="20"/>
      <c r="J471" s="20"/>
      <c r="K471" s="20">
        <v>4034</v>
      </c>
      <c r="L471" s="20">
        <v>10082</v>
      </c>
      <c r="M471" s="20"/>
      <c r="N471" s="20"/>
      <c r="O471" s="20"/>
      <c r="P471" s="20"/>
      <c r="Q471" s="20"/>
      <c r="R471" s="20"/>
      <c r="S471" s="20"/>
      <c r="T471" s="20"/>
      <c r="U471" s="20"/>
      <c r="V471" s="20"/>
      <c r="W471" s="20"/>
      <c r="X471" s="20"/>
      <c r="Y471" s="20"/>
      <c r="Z471" s="20"/>
      <c r="AA471" s="20"/>
      <c r="AB471" s="20"/>
      <c r="AC471" s="22">
        <f t="shared" si="20"/>
        <v>6692</v>
      </c>
      <c r="AD471" s="22">
        <f t="shared" si="19"/>
        <v>16719</v>
      </c>
    </row>
    <row r="472" spans="1:30" x14ac:dyDescent="0.25">
      <c r="A472" s="13">
        <v>632</v>
      </c>
      <c r="B472" s="14" t="s">
        <v>982</v>
      </c>
      <c r="C472" s="26" t="s">
        <v>983</v>
      </c>
      <c r="D472" s="14" t="s">
        <v>42</v>
      </c>
      <c r="E472" s="20">
        <v>137840</v>
      </c>
      <c r="F472" s="20">
        <v>344598</v>
      </c>
      <c r="G472" s="20">
        <v>5095</v>
      </c>
      <c r="H472" s="20">
        <v>12721</v>
      </c>
      <c r="I472" s="20"/>
      <c r="J472" s="20"/>
      <c r="K472" s="20">
        <v>11060</v>
      </c>
      <c r="L472" s="20">
        <v>27646</v>
      </c>
      <c r="M472" s="20">
        <v>1530</v>
      </c>
      <c r="N472" s="20">
        <v>3824</v>
      </c>
      <c r="O472" s="20"/>
      <c r="P472" s="20"/>
      <c r="Q472" s="20"/>
      <c r="R472" s="20"/>
      <c r="S472" s="20"/>
      <c r="T472" s="20"/>
      <c r="U472" s="20"/>
      <c r="V472" s="20"/>
      <c r="W472" s="20"/>
      <c r="X472" s="20"/>
      <c r="Y472" s="20"/>
      <c r="Z472" s="20"/>
      <c r="AA472" s="20"/>
      <c r="AB472" s="20"/>
      <c r="AC472" s="22">
        <f t="shared" si="20"/>
        <v>155525</v>
      </c>
      <c r="AD472" s="22">
        <f t="shared" si="19"/>
        <v>388789</v>
      </c>
    </row>
    <row r="473" spans="1:30" x14ac:dyDescent="0.25">
      <c r="A473" s="13">
        <v>633</v>
      </c>
      <c r="B473" s="14" t="s">
        <v>984</v>
      </c>
      <c r="C473" s="26" t="s">
        <v>985</v>
      </c>
      <c r="D473" s="14" t="s">
        <v>42</v>
      </c>
      <c r="E473" s="20">
        <v>826</v>
      </c>
      <c r="F473" s="20">
        <v>2064</v>
      </c>
      <c r="G473" s="20">
        <v>1119</v>
      </c>
      <c r="H473" s="20">
        <v>2783</v>
      </c>
      <c r="I473" s="20"/>
      <c r="J473" s="20"/>
      <c r="K473" s="20">
        <v>3772</v>
      </c>
      <c r="L473" s="20">
        <v>9421</v>
      </c>
      <c r="M473" s="20"/>
      <c r="N473" s="20"/>
      <c r="O473" s="20"/>
      <c r="P473" s="20"/>
      <c r="Q473" s="20"/>
      <c r="R473" s="20"/>
      <c r="S473" s="20">
        <v>8</v>
      </c>
      <c r="T473" s="20">
        <v>16</v>
      </c>
      <c r="U473" s="20"/>
      <c r="V473" s="20"/>
      <c r="W473" s="20"/>
      <c r="X473" s="20"/>
      <c r="Y473" s="20"/>
      <c r="Z473" s="20"/>
      <c r="AA473" s="20"/>
      <c r="AB473" s="20"/>
      <c r="AC473" s="22">
        <f t="shared" si="20"/>
        <v>5725</v>
      </c>
      <c r="AD473" s="22">
        <f t="shared" si="19"/>
        <v>14284</v>
      </c>
    </row>
    <row r="474" spans="1:30" x14ac:dyDescent="0.25">
      <c r="A474" s="13">
        <v>635</v>
      </c>
      <c r="B474" s="14" t="s">
        <v>986</v>
      </c>
      <c r="C474" s="26" t="s">
        <v>987</v>
      </c>
      <c r="D474" s="14" t="s">
        <v>42</v>
      </c>
      <c r="E474" s="20">
        <v>418866</v>
      </c>
      <c r="F474" s="20">
        <v>1047164</v>
      </c>
      <c r="G474" s="20">
        <v>368673</v>
      </c>
      <c r="H474" s="20">
        <v>921569</v>
      </c>
      <c r="I474" s="20"/>
      <c r="J474" s="20"/>
      <c r="K474" s="20">
        <v>91850</v>
      </c>
      <c r="L474" s="20">
        <v>229608</v>
      </c>
      <c r="M474" s="20"/>
      <c r="N474" s="20"/>
      <c r="O474" s="20"/>
      <c r="P474" s="20"/>
      <c r="Q474" s="20"/>
      <c r="R474" s="20"/>
      <c r="S474" s="20">
        <v>290</v>
      </c>
      <c r="T474" s="20">
        <v>725</v>
      </c>
      <c r="U474" s="20"/>
      <c r="V474" s="20"/>
      <c r="W474" s="20"/>
      <c r="X474" s="20"/>
      <c r="Y474" s="20"/>
      <c r="Z474" s="20"/>
      <c r="AA474" s="20"/>
      <c r="AB474" s="20"/>
      <c r="AC474" s="22">
        <f t="shared" si="20"/>
        <v>879679</v>
      </c>
      <c r="AD474" s="22">
        <f t="shared" si="19"/>
        <v>2199066</v>
      </c>
    </row>
    <row r="475" spans="1:30" x14ac:dyDescent="0.25">
      <c r="A475" s="13">
        <v>636</v>
      </c>
      <c r="B475" s="14" t="s">
        <v>988</v>
      </c>
      <c r="C475" s="26" t="s">
        <v>989</v>
      </c>
      <c r="D475" s="14" t="s">
        <v>42</v>
      </c>
      <c r="E475" s="20">
        <v>143202</v>
      </c>
      <c r="F475" s="20">
        <v>358004</v>
      </c>
      <c r="G475" s="20">
        <v>32813</v>
      </c>
      <c r="H475" s="20">
        <v>82012</v>
      </c>
      <c r="I475" s="20"/>
      <c r="J475" s="20"/>
      <c r="K475" s="20">
        <v>1712</v>
      </c>
      <c r="L475" s="20">
        <v>4278</v>
      </c>
      <c r="M475" s="20"/>
      <c r="N475" s="20"/>
      <c r="O475" s="20"/>
      <c r="P475" s="20"/>
      <c r="Q475" s="20"/>
      <c r="R475" s="20"/>
      <c r="S475" s="20">
        <v>4</v>
      </c>
      <c r="T475" s="20">
        <v>6</v>
      </c>
      <c r="U475" s="20"/>
      <c r="V475" s="20"/>
      <c r="W475" s="20"/>
      <c r="X475" s="20"/>
      <c r="Y475" s="20"/>
      <c r="Z475" s="20"/>
      <c r="AA475" s="20">
        <v>1</v>
      </c>
      <c r="AB475" s="20">
        <v>1</v>
      </c>
      <c r="AC475" s="22">
        <f t="shared" si="20"/>
        <v>177732</v>
      </c>
      <c r="AD475" s="22">
        <f t="shared" si="19"/>
        <v>444301</v>
      </c>
    </row>
    <row r="476" spans="1:30" x14ac:dyDescent="0.25">
      <c r="A476" s="13">
        <v>637</v>
      </c>
      <c r="B476" s="14" t="s">
        <v>990</v>
      </c>
      <c r="C476" s="26" t="s">
        <v>991</v>
      </c>
      <c r="D476" s="14" t="s">
        <v>42</v>
      </c>
      <c r="E476" s="20"/>
      <c r="F476" s="20"/>
      <c r="G476" s="20">
        <v>30376</v>
      </c>
      <c r="H476" s="20">
        <v>75929</v>
      </c>
      <c r="I476" s="20"/>
      <c r="J476" s="20"/>
      <c r="K476" s="20">
        <v>4728</v>
      </c>
      <c r="L476" s="20">
        <v>11820</v>
      </c>
      <c r="M476" s="20"/>
      <c r="N476" s="20"/>
      <c r="O476" s="20"/>
      <c r="P476" s="20"/>
      <c r="Q476" s="20"/>
      <c r="R476" s="20"/>
      <c r="S476" s="20">
        <v>160</v>
      </c>
      <c r="T476" s="20">
        <v>400</v>
      </c>
      <c r="U476" s="20"/>
      <c r="V476" s="20"/>
      <c r="W476" s="20"/>
      <c r="X476" s="20"/>
      <c r="Y476" s="20"/>
      <c r="Z476" s="20"/>
      <c r="AA476" s="20"/>
      <c r="AB476" s="20"/>
      <c r="AC476" s="22">
        <f t="shared" si="20"/>
        <v>35264</v>
      </c>
      <c r="AD476" s="22">
        <f t="shared" si="19"/>
        <v>88149</v>
      </c>
    </row>
    <row r="477" spans="1:30" x14ac:dyDescent="0.25">
      <c r="A477" s="13">
        <v>655</v>
      </c>
      <c r="B477" s="14" t="s">
        <v>992</v>
      </c>
      <c r="C477" s="26" t="s">
        <v>993</v>
      </c>
      <c r="D477" s="14" t="s">
        <v>42</v>
      </c>
      <c r="E477" s="20">
        <v>2056</v>
      </c>
      <c r="F477" s="20">
        <v>5136</v>
      </c>
      <c r="G477" s="20">
        <v>1980</v>
      </c>
      <c r="H477" s="20">
        <v>4886</v>
      </c>
      <c r="I477" s="20">
        <v>2851</v>
      </c>
      <c r="J477" s="20">
        <v>7127</v>
      </c>
      <c r="K477" s="20">
        <v>4175</v>
      </c>
      <c r="L477" s="20">
        <v>10420</v>
      </c>
      <c r="M477" s="20"/>
      <c r="N477" s="20"/>
      <c r="O477" s="20"/>
      <c r="P477" s="20"/>
      <c r="Q477" s="20"/>
      <c r="R477" s="20"/>
      <c r="S477" s="20"/>
      <c r="T477" s="20"/>
      <c r="U477" s="20"/>
      <c r="V477" s="20"/>
      <c r="W477" s="20"/>
      <c r="X477" s="20"/>
      <c r="Y477" s="20"/>
      <c r="Z477" s="20"/>
      <c r="AA477" s="20"/>
      <c r="AB477" s="20"/>
      <c r="AC477" s="22">
        <f t="shared" si="20"/>
        <v>11062</v>
      </c>
      <c r="AD477" s="22">
        <f t="shared" si="19"/>
        <v>27569</v>
      </c>
    </row>
    <row r="478" spans="1:30" x14ac:dyDescent="0.25">
      <c r="A478" s="13">
        <v>662</v>
      </c>
      <c r="B478" s="14" t="s">
        <v>994</v>
      </c>
      <c r="C478" s="26" t="s">
        <v>995</v>
      </c>
      <c r="D478" s="14" t="s">
        <v>42</v>
      </c>
      <c r="E478" s="20">
        <v>3364</v>
      </c>
      <c r="F478" s="20">
        <v>8408</v>
      </c>
      <c r="G478" s="20">
        <v>562</v>
      </c>
      <c r="H478" s="20">
        <v>1376</v>
      </c>
      <c r="I478" s="20">
        <v>3288</v>
      </c>
      <c r="J478" s="20">
        <v>8220</v>
      </c>
      <c r="K478" s="20">
        <v>1380</v>
      </c>
      <c r="L478" s="20">
        <v>3440</v>
      </c>
      <c r="M478" s="20"/>
      <c r="N478" s="20"/>
      <c r="O478" s="20"/>
      <c r="P478" s="20"/>
      <c r="Q478" s="20"/>
      <c r="R478" s="20"/>
      <c r="S478" s="20"/>
      <c r="T478" s="20"/>
      <c r="U478" s="20"/>
      <c r="V478" s="20"/>
      <c r="W478" s="20"/>
      <c r="X478" s="20"/>
      <c r="Y478" s="20"/>
      <c r="Z478" s="20"/>
      <c r="AA478" s="20"/>
      <c r="AB478" s="20"/>
      <c r="AC478" s="22">
        <f t="shared" si="20"/>
        <v>8594</v>
      </c>
      <c r="AD478" s="22">
        <f t="shared" si="19"/>
        <v>21444</v>
      </c>
    </row>
    <row r="479" spans="1:30" x14ac:dyDescent="0.25">
      <c r="A479" s="13">
        <v>664</v>
      </c>
      <c r="B479" s="14" t="s">
        <v>996</v>
      </c>
      <c r="C479" s="26" t="s">
        <v>997</v>
      </c>
      <c r="D479" s="14" t="s">
        <v>42</v>
      </c>
      <c r="E479" s="20">
        <v>19206</v>
      </c>
      <c r="F479" s="20">
        <v>48013</v>
      </c>
      <c r="G479" s="20">
        <v>5492</v>
      </c>
      <c r="H479" s="20">
        <v>13722</v>
      </c>
      <c r="I479" s="20"/>
      <c r="J479" s="20"/>
      <c r="K479" s="20">
        <v>6894</v>
      </c>
      <c r="L479" s="20">
        <v>17228</v>
      </c>
      <c r="M479" s="20">
        <v>8920</v>
      </c>
      <c r="N479" s="20">
        <v>22298</v>
      </c>
      <c r="O479" s="20"/>
      <c r="P479" s="20"/>
      <c r="Q479" s="20"/>
      <c r="R479" s="20"/>
      <c r="S479" s="20"/>
      <c r="T479" s="20"/>
      <c r="U479" s="20"/>
      <c r="V479" s="20"/>
      <c r="W479" s="20"/>
      <c r="X479" s="20"/>
      <c r="Y479" s="20"/>
      <c r="Z479" s="20"/>
      <c r="AA479" s="20"/>
      <c r="AB479" s="20"/>
      <c r="AC479" s="22">
        <f t="shared" si="20"/>
        <v>40512</v>
      </c>
      <c r="AD479" s="22">
        <f t="shared" si="19"/>
        <v>101261</v>
      </c>
    </row>
    <row r="480" spans="1:30" x14ac:dyDescent="0.25">
      <c r="A480" s="13">
        <v>665</v>
      </c>
      <c r="B480" s="14" t="s">
        <v>998</v>
      </c>
      <c r="C480" s="26" t="s">
        <v>999</v>
      </c>
      <c r="D480" s="14" t="s">
        <v>42</v>
      </c>
      <c r="E480" s="20"/>
      <c r="F480" s="20"/>
      <c r="G480" s="20">
        <v>3344</v>
      </c>
      <c r="H480" s="20">
        <v>8358</v>
      </c>
      <c r="I480" s="20"/>
      <c r="J480" s="20"/>
      <c r="K480" s="20">
        <v>128</v>
      </c>
      <c r="L480" s="20">
        <v>320</v>
      </c>
      <c r="M480" s="20"/>
      <c r="N480" s="20"/>
      <c r="O480" s="20"/>
      <c r="P480" s="20"/>
      <c r="Q480" s="20"/>
      <c r="R480" s="20"/>
      <c r="S480" s="20"/>
      <c r="T480" s="20"/>
      <c r="U480" s="20"/>
      <c r="V480" s="20"/>
      <c r="W480" s="20"/>
      <c r="X480" s="20"/>
      <c r="Y480" s="20"/>
      <c r="Z480" s="20"/>
      <c r="AA480" s="20"/>
      <c r="AB480" s="20"/>
      <c r="AC480" s="22">
        <f t="shared" si="20"/>
        <v>3472</v>
      </c>
      <c r="AD480" s="22">
        <f t="shared" si="19"/>
        <v>8678</v>
      </c>
    </row>
    <row r="481" spans="1:30" x14ac:dyDescent="0.25">
      <c r="A481" s="13">
        <v>667</v>
      </c>
      <c r="B481" s="14" t="s">
        <v>1000</v>
      </c>
      <c r="C481" s="26" t="s">
        <v>1001</v>
      </c>
      <c r="D481" s="14" t="s">
        <v>42</v>
      </c>
      <c r="E481" s="20">
        <v>129634</v>
      </c>
      <c r="F481" s="20">
        <v>324084</v>
      </c>
      <c r="G481" s="20">
        <v>76806</v>
      </c>
      <c r="H481" s="20">
        <v>191993</v>
      </c>
      <c r="I481" s="20"/>
      <c r="J481" s="20"/>
      <c r="K481" s="20">
        <v>12316</v>
      </c>
      <c r="L481" s="20">
        <v>30781</v>
      </c>
      <c r="M481" s="20">
        <v>77468</v>
      </c>
      <c r="N481" s="20">
        <v>193668</v>
      </c>
      <c r="O481" s="20">
        <v>8334</v>
      </c>
      <c r="P481" s="20">
        <v>20834</v>
      </c>
      <c r="Q481" s="20">
        <v>83048</v>
      </c>
      <c r="R481" s="20">
        <v>207620</v>
      </c>
      <c r="S481" s="20">
        <v>2800</v>
      </c>
      <c r="T481" s="20">
        <v>7000</v>
      </c>
      <c r="U481" s="20"/>
      <c r="V481" s="20"/>
      <c r="W481" s="20"/>
      <c r="X481" s="20"/>
      <c r="Y481" s="20"/>
      <c r="Z481" s="20"/>
      <c r="AA481" s="20"/>
      <c r="AB481" s="20"/>
      <c r="AC481" s="22">
        <f t="shared" si="20"/>
        <v>390406</v>
      </c>
      <c r="AD481" s="22">
        <f t="shared" si="19"/>
        <v>975980</v>
      </c>
    </row>
    <row r="482" spans="1:30" x14ac:dyDescent="0.25">
      <c r="A482" s="13">
        <v>668</v>
      </c>
      <c r="B482" s="14" t="s">
        <v>1002</v>
      </c>
      <c r="C482" s="26" t="s">
        <v>1003</v>
      </c>
      <c r="D482" s="14" t="s">
        <v>42</v>
      </c>
      <c r="E482" s="20"/>
      <c r="F482" s="20"/>
      <c r="G482" s="20">
        <v>247062</v>
      </c>
      <c r="H482" s="20">
        <v>617641</v>
      </c>
      <c r="I482" s="20"/>
      <c r="J482" s="20"/>
      <c r="K482" s="20">
        <v>34183</v>
      </c>
      <c r="L482" s="20">
        <v>85445</v>
      </c>
      <c r="M482" s="20">
        <v>66412</v>
      </c>
      <c r="N482" s="20">
        <v>166030</v>
      </c>
      <c r="O482" s="20">
        <v>5175</v>
      </c>
      <c r="P482" s="20">
        <v>12936</v>
      </c>
      <c r="Q482" s="20"/>
      <c r="R482" s="20"/>
      <c r="S482" s="20">
        <v>3296</v>
      </c>
      <c r="T482" s="20">
        <v>8240</v>
      </c>
      <c r="U482" s="20"/>
      <c r="V482" s="20"/>
      <c r="W482" s="20"/>
      <c r="X482" s="20"/>
      <c r="Y482" s="20"/>
      <c r="Z482" s="20"/>
      <c r="AA482" s="20"/>
      <c r="AB482" s="20"/>
      <c r="AC482" s="22">
        <f t="shared" si="20"/>
        <v>356128</v>
      </c>
      <c r="AD482" s="22">
        <f t="shared" si="19"/>
        <v>890292</v>
      </c>
    </row>
    <row r="483" spans="1:30" x14ac:dyDescent="0.25">
      <c r="A483" s="13">
        <v>669</v>
      </c>
      <c r="B483" s="14" t="s">
        <v>1004</v>
      </c>
      <c r="C483" s="26" t="s">
        <v>1005</v>
      </c>
      <c r="D483" s="14" t="s">
        <v>42</v>
      </c>
      <c r="E483" s="20"/>
      <c r="F483" s="20"/>
      <c r="G483" s="20">
        <v>53899</v>
      </c>
      <c r="H483" s="20">
        <v>134737</v>
      </c>
      <c r="I483" s="20"/>
      <c r="J483" s="20"/>
      <c r="K483" s="20">
        <v>7540</v>
      </c>
      <c r="L483" s="20">
        <v>18830</v>
      </c>
      <c r="M483" s="20"/>
      <c r="N483" s="20"/>
      <c r="O483" s="20">
        <v>6416</v>
      </c>
      <c r="P483" s="20">
        <v>16038</v>
      </c>
      <c r="Q483" s="20"/>
      <c r="R483" s="20"/>
      <c r="S483" s="20">
        <v>3680</v>
      </c>
      <c r="T483" s="20">
        <v>9200</v>
      </c>
      <c r="U483" s="20"/>
      <c r="V483" s="20"/>
      <c r="W483" s="20"/>
      <c r="X483" s="20"/>
      <c r="Y483" s="20"/>
      <c r="Z483" s="20"/>
      <c r="AA483" s="20">
        <v>92</v>
      </c>
      <c r="AB483" s="20">
        <v>230</v>
      </c>
      <c r="AC483" s="22">
        <f t="shared" si="20"/>
        <v>71627</v>
      </c>
      <c r="AD483" s="22">
        <f t="shared" si="19"/>
        <v>179035</v>
      </c>
    </row>
    <row r="484" spans="1:30" x14ac:dyDescent="0.25">
      <c r="A484" s="13">
        <v>670</v>
      </c>
      <c r="B484" s="14" t="s">
        <v>1006</v>
      </c>
      <c r="C484" s="26" t="s">
        <v>1007</v>
      </c>
      <c r="D484" s="14" t="s">
        <v>42</v>
      </c>
      <c r="E484" s="20"/>
      <c r="F484" s="20"/>
      <c r="G484" s="20">
        <v>152459</v>
      </c>
      <c r="H484" s="20">
        <v>381126</v>
      </c>
      <c r="I484" s="20"/>
      <c r="J484" s="20"/>
      <c r="K484" s="20">
        <v>10678</v>
      </c>
      <c r="L484" s="20">
        <v>26681</v>
      </c>
      <c r="M484" s="20"/>
      <c r="N484" s="20"/>
      <c r="O484" s="20">
        <v>4779</v>
      </c>
      <c r="P484" s="20">
        <v>11946</v>
      </c>
      <c r="Q484" s="20">
        <v>105216</v>
      </c>
      <c r="R484" s="20">
        <v>263040</v>
      </c>
      <c r="S484" s="20">
        <v>7326</v>
      </c>
      <c r="T484" s="20">
        <v>18315</v>
      </c>
      <c r="U484" s="20"/>
      <c r="V484" s="20"/>
      <c r="W484" s="20"/>
      <c r="X484" s="20"/>
      <c r="Y484" s="20"/>
      <c r="Z484" s="20"/>
      <c r="AA484" s="20"/>
      <c r="AB484" s="20"/>
      <c r="AC484" s="22">
        <f t="shared" si="20"/>
        <v>280458</v>
      </c>
      <c r="AD484" s="22">
        <f t="shared" si="19"/>
        <v>701108</v>
      </c>
    </row>
    <row r="485" spans="1:30" x14ac:dyDescent="0.25">
      <c r="A485" s="13">
        <v>671</v>
      </c>
      <c r="B485" s="14" t="s">
        <v>1008</v>
      </c>
      <c r="C485" s="26" t="s">
        <v>1009</v>
      </c>
      <c r="D485" s="14" t="s">
        <v>42</v>
      </c>
      <c r="E485" s="20">
        <v>33562</v>
      </c>
      <c r="F485" s="20">
        <v>83904</v>
      </c>
      <c r="G485" s="20">
        <v>291487</v>
      </c>
      <c r="H485" s="20">
        <v>728686</v>
      </c>
      <c r="I485" s="20"/>
      <c r="J485" s="20"/>
      <c r="K485" s="20">
        <v>18986</v>
      </c>
      <c r="L485" s="20">
        <v>47456</v>
      </c>
      <c r="M485" s="20">
        <v>67128</v>
      </c>
      <c r="N485" s="20">
        <v>167820</v>
      </c>
      <c r="O485" s="20"/>
      <c r="P485" s="20"/>
      <c r="Q485" s="20"/>
      <c r="R485" s="20"/>
      <c r="S485" s="20">
        <v>20</v>
      </c>
      <c r="T485" s="20">
        <v>50</v>
      </c>
      <c r="U485" s="20"/>
      <c r="V485" s="20"/>
      <c r="W485" s="20"/>
      <c r="X485" s="20"/>
      <c r="Y485" s="20"/>
      <c r="Z485" s="20"/>
      <c r="AA485" s="20"/>
      <c r="AB485" s="20"/>
      <c r="AC485" s="22">
        <f t="shared" si="20"/>
        <v>411183</v>
      </c>
      <c r="AD485" s="22">
        <f t="shared" si="19"/>
        <v>1027916</v>
      </c>
    </row>
    <row r="486" spans="1:30" x14ac:dyDescent="0.25">
      <c r="A486" s="13">
        <v>672</v>
      </c>
      <c r="B486" s="14" t="s">
        <v>1010</v>
      </c>
      <c r="C486" s="26" t="s">
        <v>1011</v>
      </c>
      <c r="D486" s="14" t="s">
        <v>42</v>
      </c>
      <c r="E486" s="20">
        <v>912</v>
      </c>
      <c r="F486" s="20">
        <v>2280</v>
      </c>
      <c r="G486" s="20">
        <v>139567</v>
      </c>
      <c r="H486" s="20">
        <v>348899</v>
      </c>
      <c r="I486" s="20"/>
      <c r="J486" s="20"/>
      <c r="K486" s="20">
        <v>8016</v>
      </c>
      <c r="L486" s="20">
        <v>20033</v>
      </c>
      <c r="M486" s="20"/>
      <c r="N486" s="20"/>
      <c r="O486" s="20"/>
      <c r="P486" s="20"/>
      <c r="Q486" s="20"/>
      <c r="R486" s="20"/>
      <c r="S486" s="20">
        <v>4</v>
      </c>
      <c r="T486" s="20">
        <v>10</v>
      </c>
      <c r="U486" s="20"/>
      <c r="V486" s="20"/>
      <c r="W486" s="20"/>
      <c r="X486" s="20"/>
      <c r="Y486" s="20"/>
      <c r="Z486" s="20"/>
      <c r="AA486" s="20"/>
      <c r="AB486" s="20"/>
      <c r="AC486" s="22">
        <f t="shared" si="20"/>
        <v>148499</v>
      </c>
      <c r="AD486" s="22">
        <f t="shared" si="19"/>
        <v>371222</v>
      </c>
    </row>
    <row r="487" spans="1:30" x14ac:dyDescent="0.25">
      <c r="A487" s="13">
        <v>680</v>
      </c>
      <c r="B487" s="14" t="s">
        <v>1012</v>
      </c>
      <c r="C487" s="26" t="s">
        <v>1013</v>
      </c>
      <c r="D487" s="14" t="s">
        <v>42</v>
      </c>
      <c r="E487" s="20">
        <v>723387</v>
      </c>
      <c r="F487" s="20">
        <v>1808466</v>
      </c>
      <c r="G487" s="20">
        <v>132652</v>
      </c>
      <c r="H487" s="20">
        <v>331588</v>
      </c>
      <c r="I487" s="20">
        <v>149733</v>
      </c>
      <c r="J487" s="20">
        <v>374330</v>
      </c>
      <c r="K487" s="20">
        <v>42872</v>
      </c>
      <c r="L487" s="20">
        <v>107164</v>
      </c>
      <c r="M487" s="20"/>
      <c r="N487" s="20"/>
      <c r="O487" s="20"/>
      <c r="P487" s="20"/>
      <c r="Q487" s="20"/>
      <c r="R487" s="20"/>
      <c r="S487" s="20">
        <v>574</v>
      </c>
      <c r="T487" s="20">
        <v>1435</v>
      </c>
      <c r="U487" s="20"/>
      <c r="V487" s="20"/>
      <c r="W487" s="20"/>
      <c r="X487" s="20"/>
      <c r="Y487" s="20"/>
      <c r="Z487" s="20"/>
      <c r="AA487" s="20">
        <v>43</v>
      </c>
      <c r="AB487" s="20">
        <v>105</v>
      </c>
      <c r="AC487" s="22">
        <f t="shared" si="20"/>
        <v>1049261</v>
      </c>
      <c r="AD487" s="22">
        <f t="shared" si="19"/>
        <v>2623088</v>
      </c>
    </row>
    <row r="488" spans="1:30" x14ac:dyDescent="0.25">
      <c r="A488" s="13">
        <v>691</v>
      </c>
      <c r="B488" s="14" t="s">
        <v>1014</v>
      </c>
      <c r="C488" s="26" t="s">
        <v>1015</v>
      </c>
      <c r="D488" s="14" t="s">
        <v>42</v>
      </c>
      <c r="E488" s="20">
        <v>45076</v>
      </c>
      <c r="F488" s="20">
        <v>112686</v>
      </c>
      <c r="G488" s="20">
        <v>14015</v>
      </c>
      <c r="H488" s="20">
        <v>34997</v>
      </c>
      <c r="I488" s="20">
        <v>13674</v>
      </c>
      <c r="J488" s="20">
        <v>34183</v>
      </c>
      <c r="K488" s="20">
        <v>11155</v>
      </c>
      <c r="L488" s="20">
        <v>27882</v>
      </c>
      <c r="M488" s="20"/>
      <c r="N488" s="20"/>
      <c r="O488" s="20"/>
      <c r="P488" s="20"/>
      <c r="Q488" s="20"/>
      <c r="R488" s="20"/>
      <c r="S488" s="20"/>
      <c r="T488" s="20"/>
      <c r="U488" s="20"/>
      <c r="V488" s="20"/>
      <c r="W488" s="20"/>
      <c r="X488" s="20"/>
      <c r="Y488" s="20"/>
      <c r="Z488" s="20"/>
      <c r="AA488" s="20"/>
      <c r="AB488" s="20"/>
      <c r="AC488" s="22">
        <f t="shared" si="20"/>
        <v>83920</v>
      </c>
      <c r="AD488" s="22">
        <f t="shared" si="19"/>
        <v>209748</v>
      </c>
    </row>
    <row r="489" spans="1:30" x14ac:dyDescent="0.25">
      <c r="A489" s="13">
        <v>693</v>
      </c>
      <c r="B489" s="14" t="s">
        <v>1016</v>
      </c>
      <c r="C489" s="26" t="s">
        <v>1017</v>
      </c>
      <c r="D489" s="14" t="s">
        <v>43</v>
      </c>
      <c r="E489" s="20">
        <v>884</v>
      </c>
      <c r="F489" s="20">
        <v>2208</v>
      </c>
      <c r="G489" s="20">
        <v>146</v>
      </c>
      <c r="H489" s="20">
        <v>362</v>
      </c>
      <c r="I489" s="20">
        <v>220</v>
      </c>
      <c r="J489" s="20">
        <v>548</v>
      </c>
      <c r="K489" s="20">
        <v>2910</v>
      </c>
      <c r="L489" s="20">
        <v>7274</v>
      </c>
      <c r="M489" s="20"/>
      <c r="N489" s="20"/>
      <c r="O489" s="20"/>
      <c r="P489" s="20"/>
      <c r="Q489" s="20"/>
      <c r="R489" s="20"/>
      <c r="S489" s="20"/>
      <c r="T489" s="20"/>
      <c r="U489" s="20"/>
      <c r="V489" s="20"/>
      <c r="W489" s="20"/>
      <c r="X489" s="20"/>
      <c r="Y489" s="20"/>
      <c r="Z489" s="20"/>
      <c r="AA489" s="20"/>
      <c r="AB489" s="20"/>
      <c r="AC489" s="22">
        <f t="shared" si="20"/>
        <v>4160</v>
      </c>
      <c r="AD489" s="22">
        <f t="shared" si="19"/>
        <v>10392</v>
      </c>
    </row>
    <row r="490" spans="1:30" x14ac:dyDescent="0.25">
      <c r="A490" s="13">
        <v>694</v>
      </c>
      <c r="B490" s="14" t="s">
        <v>1018</v>
      </c>
      <c r="C490" s="26" t="s">
        <v>1019</v>
      </c>
      <c r="D490" s="14" t="s">
        <v>43</v>
      </c>
      <c r="E490" s="20">
        <v>2430</v>
      </c>
      <c r="F490" s="20">
        <v>6072</v>
      </c>
      <c r="G490" s="20">
        <v>144</v>
      </c>
      <c r="H490" s="20">
        <v>356</v>
      </c>
      <c r="I490" s="20">
        <v>274</v>
      </c>
      <c r="J490" s="20">
        <v>685</v>
      </c>
      <c r="K490" s="20">
        <v>2104</v>
      </c>
      <c r="L490" s="20">
        <v>5260</v>
      </c>
      <c r="M490" s="20"/>
      <c r="N490" s="20"/>
      <c r="O490" s="20"/>
      <c r="P490" s="20"/>
      <c r="Q490" s="20"/>
      <c r="R490" s="20"/>
      <c r="S490" s="20"/>
      <c r="T490" s="20"/>
      <c r="U490" s="20"/>
      <c r="V490" s="20"/>
      <c r="W490" s="20"/>
      <c r="X490" s="20"/>
      <c r="Y490" s="20"/>
      <c r="Z490" s="20"/>
      <c r="AA490" s="20"/>
      <c r="AB490" s="20"/>
      <c r="AC490" s="22">
        <f t="shared" si="20"/>
        <v>4952</v>
      </c>
      <c r="AD490" s="22">
        <f t="shared" si="19"/>
        <v>12373</v>
      </c>
    </row>
    <row r="491" spans="1:30" x14ac:dyDescent="0.25">
      <c r="A491" s="13">
        <v>695</v>
      </c>
      <c r="B491" s="14" t="s">
        <v>1020</v>
      </c>
      <c r="C491" s="26" t="s">
        <v>1021</v>
      </c>
      <c r="D491" s="14" t="s">
        <v>43</v>
      </c>
      <c r="E491" s="20">
        <v>873</v>
      </c>
      <c r="F491" s="20">
        <v>2181</v>
      </c>
      <c r="G491" s="20">
        <v>634</v>
      </c>
      <c r="H491" s="20">
        <v>1573</v>
      </c>
      <c r="I491" s="20"/>
      <c r="J491" s="20"/>
      <c r="K491" s="20">
        <v>850</v>
      </c>
      <c r="L491" s="20">
        <v>2118</v>
      </c>
      <c r="M491" s="20"/>
      <c r="N491" s="20"/>
      <c r="O491" s="20"/>
      <c r="P491" s="20"/>
      <c r="Q491" s="20"/>
      <c r="R491" s="20"/>
      <c r="S491" s="20"/>
      <c r="T491" s="20"/>
      <c r="U491" s="20"/>
      <c r="V491" s="20"/>
      <c r="W491" s="20"/>
      <c r="X491" s="20"/>
      <c r="Y491" s="20"/>
      <c r="Z491" s="20"/>
      <c r="AA491" s="20"/>
      <c r="AB491" s="20"/>
      <c r="AC491" s="22">
        <f t="shared" si="20"/>
        <v>2357</v>
      </c>
      <c r="AD491" s="22">
        <f t="shared" si="19"/>
        <v>5872</v>
      </c>
    </row>
    <row r="492" spans="1:30" x14ac:dyDescent="0.25">
      <c r="A492" s="13">
        <v>696</v>
      </c>
      <c r="B492" s="14" t="s">
        <v>1022</v>
      </c>
      <c r="C492" s="26" t="s">
        <v>1023</v>
      </c>
      <c r="D492" s="14" t="s">
        <v>43</v>
      </c>
      <c r="E492" s="20"/>
      <c r="F492" s="20"/>
      <c r="G492" s="20">
        <v>64</v>
      </c>
      <c r="H492" s="20">
        <v>154</v>
      </c>
      <c r="I492" s="20">
        <v>83</v>
      </c>
      <c r="J492" s="20">
        <v>204</v>
      </c>
      <c r="K492" s="20">
        <v>38</v>
      </c>
      <c r="L492" s="20">
        <v>94</v>
      </c>
      <c r="M492" s="20"/>
      <c r="N492" s="20"/>
      <c r="O492" s="20"/>
      <c r="P492" s="20"/>
      <c r="Q492" s="20"/>
      <c r="R492" s="20"/>
      <c r="S492" s="20"/>
      <c r="T492" s="20"/>
      <c r="U492" s="20"/>
      <c r="V492" s="20"/>
      <c r="W492" s="20"/>
      <c r="X492" s="20"/>
      <c r="Y492" s="20"/>
      <c r="Z492" s="20"/>
      <c r="AA492" s="20"/>
      <c r="AB492" s="20"/>
      <c r="AC492" s="22">
        <f t="shared" si="20"/>
        <v>185</v>
      </c>
      <c r="AD492" s="22">
        <f t="shared" si="19"/>
        <v>452</v>
      </c>
    </row>
    <row r="493" spans="1:30" x14ac:dyDescent="0.25">
      <c r="A493" s="13">
        <v>698</v>
      </c>
      <c r="B493" s="14" t="s">
        <v>1024</v>
      </c>
      <c r="C493" s="26" t="s">
        <v>1025</v>
      </c>
      <c r="D493" s="14" t="s">
        <v>43</v>
      </c>
      <c r="E493" s="20">
        <v>5970</v>
      </c>
      <c r="F493" s="20">
        <v>14921</v>
      </c>
      <c r="G493" s="20">
        <v>40</v>
      </c>
      <c r="H493" s="20">
        <v>93</v>
      </c>
      <c r="I493" s="20">
        <v>946</v>
      </c>
      <c r="J493" s="20">
        <v>2364</v>
      </c>
      <c r="K493" s="20">
        <v>839</v>
      </c>
      <c r="L493" s="20">
        <v>2092</v>
      </c>
      <c r="M493" s="20"/>
      <c r="N493" s="20"/>
      <c r="O493" s="20"/>
      <c r="P493" s="20"/>
      <c r="Q493" s="20"/>
      <c r="R493" s="20"/>
      <c r="S493" s="20"/>
      <c r="T493" s="20"/>
      <c r="U493" s="20"/>
      <c r="V493" s="20"/>
      <c r="W493" s="20"/>
      <c r="X493" s="20"/>
      <c r="Y493" s="20"/>
      <c r="Z493" s="20"/>
      <c r="AA493" s="20"/>
      <c r="AB493" s="20"/>
      <c r="AC493" s="22">
        <f t="shared" si="20"/>
        <v>7795</v>
      </c>
      <c r="AD493" s="22">
        <f t="shared" si="19"/>
        <v>19470</v>
      </c>
    </row>
    <row r="494" spans="1:30" x14ac:dyDescent="0.25">
      <c r="A494" s="13">
        <v>699</v>
      </c>
      <c r="B494" s="14" t="s">
        <v>1026</v>
      </c>
      <c r="C494" s="26" t="s">
        <v>1027</v>
      </c>
      <c r="D494" s="14" t="s">
        <v>43</v>
      </c>
      <c r="E494" s="20">
        <v>4808</v>
      </c>
      <c r="F494" s="20">
        <v>12018</v>
      </c>
      <c r="G494" s="20">
        <v>1260</v>
      </c>
      <c r="H494" s="20">
        <v>3144</v>
      </c>
      <c r="I494" s="20">
        <v>1480</v>
      </c>
      <c r="J494" s="20">
        <v>3699</v>
      </c>
      <c r="K494" s="20">
        <v>781</v>
      </c>
      <c r="L494" s="20">
        <v>1952</v>
      </c>
      <c r="M494" s="20"/>
      <c r="N494" s="20"/>
      <c r="O494" s="20"/>
      <c r="P494" s="20"/>
      <c r="Q494" s="20"/>
      <c r="R494" s="20"/>
      <c r="S494" s="20"/>
      <c r="T494" s="20"/>
      <c r="U494" s="20"/>
      <c r="V494" s="20"/>
      <c r="W494" s="20"/>
      <c r="X494" s="20"/>
      <c r="Y494" s="20"/>
      <c r="Z494" s="20"/>
      <c r="AA494" s="20"/>
      <c r="AB494" s="20"/>
      <c r="AC494" s="22">
        <f t="shared" si="20"/>
        <v>8329</v>
      </c>
      <c r="AD494" s="22">
        <f t="shared" si="19"/>
        <v>20813</v>
      </c>
    </row>
    <row r="495" spans="1:30" x14ac:dyDescent="0.25">
      <c r="A495" s="13">
        <v>700</v>
      </c>
      <c r="B495" s="14" t="s">
        <v>1028</v>
      </c>
      <c r="C495" s="26" t="s">
        <v>1029</v>
      </c>
      <c r="D495" s="14" t="s">
        <v>43</v>
      </c>
      <c r="E495" s="20">
        <v>288</v>
      </c>
      <c r="F495" s="20">
        <v>720</v>
      </c>
      <c r="G495" s="20">
        <v>19790</v>
      </c>
      <c r="H495" s="20">
        <v>49458</v>
      </c>
      <c r="I495" s="20"/>
      <c r="J495" s="20"/>
      <c r="K495" s="20">
        <v>216</v>
      </c>
      <c r="L495" s="20">
        <v>536</v>
      </c>
      <c r="M495" s="20"/>
      <c r="N495" s="20"/>
      <c r="O495" s="20"/>
      <c r="P495" s="20"/>
      <c r="Q495" s="20"/>
      <c r="R495" s="20"/>
      <c r="S495" s="20"/>
      <c r="T495" s="20"/>
      <c r="U495" s="20"/>
      <c r="V495" s="20"/>
      <c r="W495" s="20"/>
      <c r="X495" s="20"/>
      <c r="Y495" s="20"/>
      <c r="Z495" s="20"/>
      <c r="AA495" s="20"/>
      <c r="AB495" s="20"/>
      <c r="AC495" s="22">
        <f t="shared" si="20"/>
        <v>20294</v>
      </c>
      <c r="AD495" s="22">
        <f t="shared" si="19"/>
        <v>50714</v>
      </c>
    </row>
    <row r="496" spans="1:30" x14ac:dyDescent="0.25">
      <c r="A496" s="13">
        <v>702</v>
      </c>
      <c r="B496" s="14" t="s">
        <v>1030</v>
      </c>
      <c r="C496" s="26" t="s">
        <v>1031</v>
      </c>
      <c r="D496" s="14" t="s">
        <v>43</v>
      </c>
      <c r="E496" s="20">
        <v>540</v>
      </c>
      <c r="F496" s="20">
        <v>1348</v>
      </c>
      <c r="G496" s="20">
        <v>260</v>
      </c>
      <c r="H496" s="20">
        <v>633</v>
      </c>
      <c r="I496" s="20"/>
      <c r="J496" s="20"/>
      <c r="K496" s="20">
        <v>31</v>
      </c>
      <c r="L496" s="20">
        <v>72</v>
      </c>
      <c r="M496" s="20">
        <v>24</v>
      </c>
      <c r="N496" s="20">
        <v>60</v>
      </c>
      <c r="O496" s="20"/>
      <c r="P496" s="20"/>
      <c r="Q496" s="20"/>
      <c r="R496" s="20"/>
      <c r="S496" s="20"/>
      <c r="T496" s="20"/>
      <c r="U496" s="20"/>
      <c r="V496" s="20"/>
      <c r="W496" s="20"/>
      <c r="X496" s="20"/>
      <c r="Y496" s="20"/>
      <c r="Z496" s="20"/>
      <c r="AA496" s="20"/>
      <c r="AB496" s="20"/>
      <c r="AC496" s="22">
        <f t="shared" si="20"/>
        <v>855</v>
      </c>
      <c r="AD496" s="22">
        <f t="shared" si="19"/>
        <v>2113</v>
      </c>
    </row>
    <row r="497" spans="1:30" x14ac:dyDescent="0.25">
      <c r="A497" s="13">
        <v>708</v>
      </c>
      <c r="B497" s="14" t="s">
        <v>1032</v>
      </c>
      <c r="C497" s="26" t="s">
        <v>1033</v>
      </c>
      <c r="D497" s="14" t="s">
        <v>43</v>
      </c>
      <c r="E497" s="20">
        <v>838</v>
      </c>
      <c r="F497" s="20">
        <v>2094</v>
      </c>
      <c r="G497" s="20">
        <v>3232</v>
      </c>
      <c r="H497" s="20">
        <v>8048</v>
      </c>
      <c r="I497" s="20">
        <v>39</v>
      </c>
      <c r="J497" s="20">
        <v>94</v>
      </c>
      <c r="K497" s="20">
        <v>346</v>
      </c>
      <c r="L497" s="20">
        <v>850</v>
      </c>
      <c r="M497" s="20"/>
      <c r="N497" s="20"/>
      <c r="O497" s="20"/>
      <c r="P497" s="20"/>
      <c r="Q497" s="20"/>
      <c r="R497" s="20"/>
      <c r="S497" s="20"/>
      <c r="T497" s="20"/>
      <c r="U497" s="20"/>
      <c r="V497" s="20"/>
      <c r="W497" s="20"/>
      <c r="X497" s="20"/>
      <c r="Y497" s="20"/>
      <c r="Z497" s="20"/>
      <c r="AA497" s="20"/>
      <c r="AB497" s="20"/>
      <c r="AC497" s="22">
        <f t="shared" si="20"/>
        <v>4455</v>
      </c>
      <c r="AD497" s="22">
        <f t="shared" si="19"/>
        <v>11086</v>
      </c>
    </row>
    <row r="498" spans="1:30" x14ac:dyDescent="0.25">
      <c r="A498" s="13">
        <v>709</v>
      </c>
      <c r="B498" s="14" t="s">
        <v>1034</v>
      </c>
      <c r="C498" s="26" t="s">
        <v>1035</v>
      </c>
      <c r="D498" s="14" t="s">
        <v>43</v>
      </c>
      <c r="E498" s="20">
        <v>68</v>
      </c>
      <c r="F498" s="20">
        <v>168</v>
      </c>
      <c r="G498" s="20"/>
      <c r="H498" s="20"/>
      <c r="I498" s="20"/>
      <c r="J498" s="20"/>
      <c r="K498" s="20">
        <v>1000</v>
      </c>
      <c r="L498" s="20">
        <v>2496</v>
      </c>
      <c r="M498" s="20"/>
      <c r="N498" s="20"/>
      <c r="O498" s="20"/>
      <c r="P498" s="20"/>
      <c r="Q498" s="20"/>
      <c r="R498" s="20"/>
      <c r="S498" s="20"/>
      <c r="T498" s="20"/>
      <c r="U498" s="20"/>
      <c r="V498" s="20"/>
      <c r="W498" s="20"/>
      <c r="X498" s="20"/>
      <c r="Y498" s="20"/>
      <c r="Z498" s="20"/>
      <c r="AA498" s="20"/>
      <c r="AB498" s="20"/>
      <c r="AC498" s="22">
        <f t="shared" si="20"/>
        <v>1068</v>
      </c>
      <c r="AD498" s="22">
        <f t="shared" si="19"/>
        <v>2664</v>
      </c>
    </row>
    <row r="499" spans="1:30" x14ac:dyDescent="0.25">
      <c r="A499" s="13">
        <v>710</v>
      </c>
      <c r="B499" s="14" t="s">
        <v>1036</v>
      </c>
      <c r="C499" s="26" t="s">
        <v>1037</v>
      </c>
      <c r="D499" s="14" t="s">
        <v>43</v>
      </c>
      <c r="E499" s="20">
        <v>4369</v>
      </c>
      <c r="F499" s="20">
        <v>10921</v>
      </c>
      <c r="G499" s="20">
        <v>1366</v>
      </c>
      <c r="H499" s="20">
        <v>3403</v>
      </c>
      <c r="I499" s="20">
        <v>1754</v>
      </c>
      <c r="J499" s="20">
        <v>4384</v>
      </c>
      <c r="K499" s="20">
        <v>3261</v>
      </c>
      <c r="L499" s="20">
        <v>8141</v>
      </c>
      <c r="M499" s="20"/>
      <c r="N499" s="20"/>
      <c r="O499" s="20"/>
      <c r="P499" s="20"/>
      <c r="Q499" s="20"/>
      <c r="R499" s="20"/>
      <c r="S499" s="20"/>
      <c r="T499" s="20"/>
      <c r="U499" s="20"/>
      <c r="V499" s="20"/>
      <c r="W499" s="20"/>
      <c r="X499" s="20"/>
      <c r="Y499" s="20"/>
      <c r="Z499" s="20"/>
      <c r="AA499" s="20"/>
      <c r="AB499" s="20"/>
      <c r="AC499" s="22">
        <f t="shared" si="20"/>
        <v>10750</v>
      </c>
      <c r="AD499" s="22">
        <f t="shared" si="19"/>
        <v>26849</v>
      </c>
    </row>
    <row r="500" spans="1:30" x14ac:dyDescent="0.25">
      <c r="A500" s="13">
        <v>711</v>
      </c>
      <c r="B500" s="14" t="s">
        <v>1038</v>
      </c>
      <c r="C500" s="26" t="s">
        <v>1039</v>
      </c>
      <c r="D500" s="14" t="s">
        <v>43</v>
      </c>
      <c r="E500" s="20">
        <v>5170</v>
      </c>
      <c r="F500" s="20">
        <v>12921</v>
      </c>
      <c r="G500" s="20">
        <v>4251</v>
      </c>
      <c r="H500" s="20">
        <v>10625</v>
      </c>
      <c r="I500" s="20">
        <v>877</v>
      </c>
      <c r="J500" s="20">
        <v>2192</v>
      </c>
      <c r="K500" s="20">
        <v>878</v>
      </c>
      <c r="L500" s="20">
        <v>2191</v>
      </c>
      <c r="M500" s="20"/>
      <c r="N500" s="20"/>
      <c r="O500" s="20"/>
      <c r="P500" s="20"/>
      <c r="Q500" s="20"/>
      <c r="R500" s="20"/>
      <c r="S500" s="20"/>
      <c r="T500" s="20"/>
      <c r="U500" s="20"/>
      <c r="V500" s="20"/>
      <c r="W500" s="20"/>
      <c r="X500" s="20"/>
      <c r="Y500" s="20"/>
      <c r="Z500" s="20"/>
      <c r="AA500" s="20"/>
      <c r="AB500" s="20"/>
      <c r="AC500" s="22">
        <f t="shared" si="20"/>
        <v>11176</v>
      </c>
      <c r="AD500" s="22">
        <f t="shared" si="19"/>
        <v>27929</v>
      </c>
    </row>
    <row r="501" spans="1:30" x14ac:dyDescent="0.25">
      <c r="A501" s="13">
        <v>727</v>
      </c>
      <c r="B501" s="14" t="s">
        <v>1040</v>
      </c>
      <c r="C501" s="26" t="s">
        <v>1041</v>
      </c>
      <c r="D501" s="14" t="s">
        <v>43</v>
      </c>
      <c r="E501" s="20"/>
      <c r="F501" s="20"/>
      <c r="G501" s="20">
        <v>7147</v>
      </c>
      <c r="H501" s="20">
        <v>17853</v>
      </c>
      <c r="I501" s="20"/>
      <c r="J501" s="20"/>
      <c r="K501" s="20">
        <v>381</v>
      </c>
      <c r="L501" s="20">
        <v>947</v>
      </c>
      <c r="M501" s="20"/>
      <c r="N501" s="20"/>
      <c r="O501" s="20"/>
      <c r="P501" s="20"/>
      <c r="Q501" s="20"/>
      <c r="R501" s="20"/>
      <c r="S501" s="20"/>
      <c r="T501" s="20"/>
      <c r="U501" s="20"/>
      <c r="V501" s="20"/>
      <c r="W501" s="20"/>
      <c r="X501" s="20"/>
      <c r="Y501" s="20"/>
      <c r="Z501" s="20"/>
      <c r="AA501" s="20"/>
      <c r="AB501" s="20"/>
      <c r="AC501" s="22">
        <f t="shared" si="20"/>
        <v>7528</v>
      </c>
      <c r="AD501" s="22">
        <f t="shared" si="19"/>
        <v>18800</v>
      </c>
    </row>
    <row r="502" spans="1:30" x14ac:dyDescent="0.25">
      <c r="A502" s="13">
        <v>739</v>
      </c>
      <c r="B502" s="14" t="s">
        <v>1042</v>
      </c>
      <c r="C502" s="26" t="s">
        <v>1043</v>
      </c>
      <c r="D502" s="14" t="s">
        <v>43</v>
      </c>
      <c r="E502" s="20"/>
      <c r="F502" s="20"/>
      <c r="G502" s="20">
        <v>18529</v>
      </c>
      <c r="H502" s="20">
        <v>46294</v>
      </c>
      <c r="I502" s="20"/>
      <c r="J502" s="20"/>
      <c r="K502" s="20">
        <v>5811</v>
      </c>
      <c r="L502" s="20">
        <v>14525</v>
      </c>
      <c r="M502" s="20"/>
      <c r="N502" s="20"/>
      <c r="O502" s="20"/>
      <c r="P502" s="20"/>
      <c r="Q502" s="20"/>
      <c r="R502" s="20"/>
      <c r="S502" s="20">
        <v>864</v>
      </c>
      <c r="T502" s="20">
        <v>2160</v>
      </c>
      <c r="U502" s="20"/>
      <c r="V502" s="20"/>
      <c r="W502" s="20"/>
      <c r="X502" s="20"/>
      <c r="Y502" s="20"/>
      <c r="Z502" s="20"/>
      <c r="AA502" s="20">
        <v>192</v>
      </c>
      <c r="AB502" s="20">
        <v>480</v>
      </c>
      <c r="AC502" s="22">
        <f t="shared" si="20"/>
        <v>25396</v>
      </c>
      <c r="AD502" s="22">
        <f t="shared" si="19"/>
        <v>63459</v>
      </c>
    </row>
    <row r="503" spans="1:30" x14ac:dyDescent="0.25">
      <c r="A503" s="13">
        <v>741</v>
      </c>
      <c r="B503" s="14" t="s">
        <v>1044</v>
      </c>
      <c r="C503" s="26" t="s">
        <v>1045</v>
      </c>
      <c r="D503" s="14" t="s">
        <v>43</v>
      </c>
      <c r="E503" s="20">
        <v>29</v>
      </c>
      <c r="F503" s="20">
        <v>72</v>
      </c>
      <c r="G503" s="20">
        <v>1699</v>
      </c>
      <c r="H503" s="20">
        <v>4243</v>
      </c>
      <c r="I503" s="20"/>
      <c r="J503" s="20"/>
      <c r="K503" s="20">
        <v>783</v>
      </c>
      <c r="L503" s="20">
        <v>1948</v>
      </c>
      <c r="M503" s="20"/>
      <c r="N503" s="20"/>
      <c r="O503" s="20"/>
      <c r="P503" s="20"/>
      <c r="Q503" s="20"/>
      <c r="R503" s="20"/>
      <c r="S503" s="20"/>
      <c r="T503" s="20"/>
      <c r="U503" s="20"/>
      <c r="V503" s="20"/>
      <c r="W503" s="20"/>
      <c r="X503" s="20"/>
      <c r="Y503" s="20"/>
      <c r="Z503" s="20"/>
      <c r="AA503" s="20"/>
      <c r="AB503" s="20"/>
      <c r="AC503" s="22">
        <f t="shared" si="20"/>
        <v>2511</v>
      </c>
      <c r="AD503" s="22">
        <f t="shared" si="19"/>
        <v>6263</v>
      </c>
    </row>
    <row r="504" spans="1:30" x14ac:dyDescent="0.25">
      <c r="A504" s="13">
        <v>751</v>
      </c>
      <c r="B504" s="14" t="s">
        <v>1046</v>
      </c>
      <c r="C504" s="26" t="s">
        <v>1047</v>
      </c>
      <c r="D504" s="14" t="s">
        <v>43</v>
      </c>
      <c r="E504" s="20">
        <v>74</v>
      </c>
      <c r="F504" s="20">
        <v>182</v>
      </c>
      <c r="G504" s="20">
        <v>44</v>
      </c>
      <c r="H504" s="20">
        <v>106</v>
      </c>
      <c r="I504" s="20"/>
      <c r="J504" s="20"/>
      <c r="K504" s="20">
        <v>285</v>
      </c>
      <c r="L504" s="20">
        <v>708</v>
      </c>
      <c r="M504" s="20"/>
      <c r="N504" s="20"/>
      <c r="O504" s="20"/>
      <c r="P504" s="20"/>
      <c r="Q504" s="20"/>
      <c r="R504" s="20"/>
      <c r="S504" s="20"/>
      <c r="T504" s="20"/>
      <c r="U504" s="20"/>
      <c r="V504" s="20"/>
      <c r="W504" s="20"/>
      <c r="X504" s="20"/>
      <c r="Y504" s="20"/>
      <c r="Z504" s="20"/>
      <c r="AA504" s="20"/>
      <c r="AB504" s="20"/>
      <c r="AC504" s="22">
        <f t="shared" si="20"/>
        <v>403</v>
      </c>
      <c r="AD504" s="22">
        <f t="shared" si="19"/>
        <v>996</v>
      </c>
    </row>
    <row r="505" spans="1:30" x14ac:dyDescent="0.25">
      <c r="A505" s="13">
        <v>756</v>
      </c>
      <c r="B505" s="14" t="s">
        <v>1048</v>
      </c>
      <c r="C505" s="26" t="s">
        <v>1049</v>
      </c>
      <c r="D505" s="14" t="s">
        <v>43</v>
      </c>
      <c r="E505" s="20">
        <v>96</v>
      </c>
      <c r="F505" s="20">
        <v>237</v>
      </c>
      <c r="G505" s="20"/>
      <c r="H505" s="20"/>
      <c r="I505" s="20"/>
      <c r="J505" s="20"/>
      <c r="K505" s="20"/>
      <c r="L505" s="20"/>
      <c r="M505" s="20"/>
      <c r="N505" s="20"/>
      <c r="O505" s="20"/>
      <c r="P505" s="20"/>
      <c r="Q505" s="20"/>
      <c r="R505" s="20"/>
      <c r="S505" s="20"/>
      <c r="T505" s="20"/>
      <c r="U505" s="20"/>
      <c r="V505" s="20"/>
      <c r="W505" s="20">
        <v>1116</v>
      </c>
      <c r="X505" s="20">
        <v>2752</v>
      </c>
      <c r="Y505" s="20"/>
      <c r="Z505" s="20"/>
      <c r="AA505" s="20"/>
      <c r="AB505" s="20"/>
      <c r="AC505" s="22">
        <f t="shared" si="20"/>
        <v>1212</v>
      </c>
      <c r="AD505" s="22">
        <f t="shared" si="19"/>
        <v>2989</v>
      </c>
    </row>
    <row r="506" spans="1:30" x14ac:dyDescent="0.25">
      <c r="A506" s="13">
        <v>757</v>
      </c>
      <c r="B506" s="14" t="s">
        <v>1050</v>
      </c>
      <c r="C506" s="26" t="s">
        <v>1051</v>
      </c>
      <c r="D506" s="14" t="s">
        <v>43</v>
      </c>
      <c r="E506" s="20">
        <v>16628</v>
      </c>
      <c r="F506" s="20">
        <v>41570</v>
      </c>
      <c r="G506" s="20">
        <v>7717</v>
      </c>
      <c r="H506" s="20">
        <v>19274</v>
      </c>
      <c r="I506" s="20">
        <v>2740</v>
      </c>
      <c r="J506" s="20">
        <v>6850</v>
      </c>
      <c r="K506" s="20">
        <v>14197</v>
      </c>
      <c r="L506" s="20">
        <v>35481</v>
      </c>
      <c r="M506" s="20">
        <v>944</v>
      </c>
      <c r="N506" s="20">
        <v>2360</v>
      </c>
      <c r="O506" s="20"/>
      <c r="P506" s="20"/>
      <c r="Q506" s="20"/>
      <c r="R506" s="20"/>
      <c r="S506" s="20"/>
      <c r="T506" s="20"/>
      <c r="U506" s="20"/>
      <c r="V506" s="20"/>
      <c r="W506" s="20"/>
      <c r="X506" s="20"/>
      <c r="Y506" s="20"/>
      <c r="Z506" s="20"/>
      <c r="AA506" s="20"/>
      <c r="AB506" s="20"/>
      <c r="AC506" s="22">
        <f t="shared" si="20"/>
        <v>42226</v>
      </c>
      <c r="AD506" s="22">
        <f t="shared" si="19"/>
        <v>105535</v>
      </c>
    </row>
    <row r="507" spans="1:30" x14ac:dyDescent="0.25">
      <c r="A507" s="13">
        <v>758</v>
      </c>
      <c r="B507" s="14" t="s">
        <v>1052</v>
      </c>
      <c r="C507" s="26" t="s">
        <v>1053</v>
      </c>
      <c r="D507" s="14" t="s">
        <v>43</v>
      </c>
      <c r="E507" s="20">
        <v>30</v>
      </c>
      <c r="F507" s="20">
        <v>72</v>
      </c>
      <c r="G507" s="20"/>
      <c r="H507" s="20"/>
      <c r="I507" s="20"/>
      <c r="J507" s="20"/>
      <c r="K507" s="20">
        <v>64</v>
      </c>
      <c r="L507" s="20">
        <v>158</v>
      </c>
      <c r="M507" s="20"/>
      <c r="N507" s="20"/>
      <c r="O507" s="20"/>
      <c r="P507" s="20"/>
      <c r="Q507" s="20"/>
      <c r="R507" s="20"/>
      <c r="S507" s="20"/>
      <c r="T507" s="20"/>
      <c r="U507" s="20"/>
      <c r="V507" s="20"/>
      <c r="W507" s="20"/>
      <c r="X507" s="20"/>
      <c r="Y507" s="20"/>
      <c r="Z507" s="20"/>
      <c r="AA507" s="20"/>
      <c r="AB507" s="20"/>
      <c r="AC507" s="22">
        <f t="shared" si="20"/>
        <v>94</v>
      </c>
      <c r="AD507" s="22">
        <f t="shared" si="19"/>
        <v>230</v>
      </c>
    </row>
    <row r="508" spans="1:30" x14ac:dyDescent="0.25">
      <c r="A508" s="13">
        <v>759</v>
      </c>
      <c r="B508" s="14" t="s">
        <v>1054</v>
      </c>
      <c r="C508" s="26" t="s">
        <v>1055</v>
      </c>
      <c r="D508" s="14" t="s">
        <v>43</v>
      </c>
      <c r="E508" s="20">
        <v>262</v>
      </c>
      <c r="F508" s="20">
        <v>652</v>
      </c>
      <c r="G508" s="20">
        <v>4</v>
      </c>
      <c r="H508" s="20">
        <v>7</v>
      </c>
      <c r="I508" s="20">
        <v>46</v>
      </c>
      <c r="J508" s="20">
        <v>113</v>
      </c>
      <c r="K508" s="20">
        <v>457</v>
      </c>
      <c r="L508" s="20">
        <v>1136</v>
      </c>
      <c r="M508" s="20"/>
      <c r="N508" s="20"/>
      <c r="O508" s="20"/>
      <c r="P508" s="20"/>
      <c r="Q508" s="20"/>
      <c r="R508" s="20"/>
      <c r="S508" s="20"/>
      <c r="T508" s="20"/>
      <c r="U508" s="20"/>
      <c r="V508" s="20"/>
      <c r="W508" s="20"/>
      <c r="X508" s="20"/>
      <c r="Y508" s="20"/>
      <c r="Z508" s="20"/>
      <c r="AA508" s="20"/>
      <c r="AB508" s="20"/>
      <c r="AC508" s="22">
        <f t="shared" si="20"/>
        <v>769</v>
      </c>
      <c r="AD508" s="22">
        <f t="shared" si="19"/>
        <v>1908</v>
      </c>
    </row>
    <row r="509" spans="1:30" x14ac:dyDescent="0.25">
      <c r="A509" s="13">
        <v>770</v>
      </c>
      <c r="B509" s="14" t="s">
        <v>1056</v>
      </c>
      <c r="C509" s="26" t="s">
        <v>1057</v>
      </c>
      <c r="D509" s="14" t="s">
        <v>42</v>
      </c>
      <c r="E509" s="20">
        <v>216</v>
      </c>
      <c r="F509" s="20">
        <v>536</v>
      </c>
      <c r="G509" s="20">
        <v>1960</v>
      </c>
      <c r="H509" s="20">
        <v>4883</v>
      </c>
      <c r="I509" s="20"/>
      <c r="J509" s="20"/>
      <c r="K509" s="20">
        <v>3462</v>
      </c>
      <c r="L509" s="20">
        <v>8640</v>
      </c>
      <c r="M509" s="20"/>
      <c r="N509" s="20"/>
      <c r="O509" s="20"/>
      <c r="P509" s="20"/>
      <c r="Q509" s="20"/>
      <c r="R509" s="20"/>
      <c r="S509" s="20">
        <v>5</v>
      </c>
      <c r="T509" s="20">
        <v>10</v>
      </c>
      <c r="U509" s="20"/>
      <c r="V509" s="20"/>
      <c r="W509" s="20"/>
      <c r="X509" s="20"/>
      <c r="Y509" s="20"/>
      <c r="Z509" s="20"/>
      <c r="AA509" s="20">
        <v>4</v>
      </c>
      <c r="AB509" s="20">
        <v>10</v>
      </c>
      <c r="AC509" s="22">
        <f t="shared" si="20"/>
        <v>5647</v>
      </c>
      <c r="AD509" s="22">
        <f t="shared" si="19"/>
        <v>14079</v>
      </c>
    </row>
    <row r="510" spans="1:30" x14ac:dyDescent="0.25">
      <c r="A510" s="13">
        <v>780</v>
      </c>
      <c r="B510" s="14" t="s">
        <v>1058</v>
      </c>
      <c r="C510" s="26" t="s">
        <v>1059</v>
      </c>
      <c r="D510" s="14" t="s">
        <v>42</v>
      </c>
      <c r="E510" s="20">
        <v>284</v>
      </c>
      <c r="F510" s="20">
        <v>708</v>
      </c>
      <c r="G510" s="20">
        <v>830</v>
      </c>
      <c r="H510" s="20">
        <v>2054</v>
      </c>
      <c r="I510" s="20">
        <v>40</v>
      </c>
      <c r="J510" s="20">
        <v>97</v>
      </c>
      <c r="K510" s="20">
        <v>1305</v>
      </c>
      <c r="L510" s="20">
        <v>3238</v>
      </c>
      <c r="M510" s="20"/>
      <c r="N510" s="20"/>
      <c r="O510" s="20">
        <v>20</v>
      </c>
      <c r="P510" s="20">
        <v>48</v>
      </c>
      <c r="Q510" s="20"/>
      <c r="R510" s="20"/>
      <c r="S510" s="20"/>
      <c r="T510" s="20"/>
      <c r="U510" s="20"/>
      <c r="V510" s="20"/>
      <c r="W510" s="20"/>
      <c r="X510" s="20"/>
      <c r="Y510" s="20"/>
      <c r="Z510" s="20"/>
      <c r="AA510" s="20"/>
      <c r="AB510" s="20"/>
      <c r="AC510" s="22">
        <f t="shared" si="20"/>
        <v>2479</v>
      </c>
      <c r="AD510" s="22">
        <f t="shared" si="19"/>
        <v>6145</v>
      </c>
    </row>
    <row r="511" spans="1:30" x14ac:dyDescent="0.25">
      <c r="A511" s="13">
        <v>781</v>
      </c>
      <c r="B511" s="14" t="s">
        <v>1060</v>
      </c>
      <c r="C511" s="26" t="s">
        <v>1061</v>
      </c>
      <c r="D511" s="14" t="s">
        <v>42</v>
      </c>
      <c r="E511" s="20">
        <v>40</v>
      </c>
      <c r="F511" s="20">
        <v>96</v>
      </c>
      <c r="G511" s="20">
        <v>2037</v>
      </c>
      <c r="H511" s="20">
        <v>5084</v>
      </c>
      <c r="I511" s="20"/>
      <c r="J511" s="20"/>
      <c r="K511" s="20">
        <v>7564</v>
      </c>
      <c r="L511" s="20">
        <v>18879</v>
      </c>
      <c r="M511" s="20"/>
      <c r="N511" s="20"/>
      <c r="O511" s="20"/>
      <c r="P511" s="20"/>
      <c r="Q511" s="20"/>
      <c r="R511" s="20"/>
      <c r="S511" s="20"/>
      <c r="T511" s="20"/>
      <c r="U511" s="20"/>
      <c r="V511" s="20"/>
      <c r="W511" s="20"/>
      <c r="X511" s="20"/>
      <c r="Y511" s="20"/>
      <c r="Z511" s="20"/>
      <c r="AA511" s="20"/>
      <c r="AB511" s="20"/>
      <c r="AC511" s="22">
        <f t="shared" si="20"/>
        <v>9641</v>
      </c>
      <c r="AD511" s="22">
        <f t="shared" si="19"/>
        <v>24059</v>
      </c>
    </row>
    <row r="512" spans="1:30" x14ac:dyDescent="0.25">
      <c r="A512" s="13">
        <v>782</v>
      </c>
      <c r="B512" s="14" t="s">
        <v>1062</v>
      </c>
      <c r="C512" s="26" t="s">
        <v>1063</v>
      </c>
      <c r="D512" s="14" t="s">
        <v>42</v>
      </c>
      <c r="E512" s="20"/>
      <c r="F512" s="20"/>
      <c r="G512" s="20">
        <v>913</v>
      </c>
      <c r="H512" s="20">
        <v>2278</v>
      </c>
      <c r="I512" s="20"/>
      <c r="J512" s="20"/>
      <c r="K512" s="20">
        <v>6256</v>
      </c>
      <c r="L512" s="20">
        <v>15612</v>
      </c>
      <c r="M512" s="20"/>
      <c r="N512" s="20"/>
      <c r="O512" s="20"/>
      <c r="P512" s="20"/>
      <c r="Q512" s="20"/>
      <c r="R512" s="20"/>
      <c r="S512" s="20">
        <v>4</v>
      </c>
      <c r="T512" s="20">
        <v>8</v>
      </c>
      <c r="U512" s="20"/>
      <c r="V512" s="20"/>
      <c r="W512" s="20"/>
      <c r="X512" s="20"/>
      <c r="Y512" s="20"/>
      <c r="Z512" s="20"/>
      <c r="AA512" s="20">
        <v>60</v>
      </c>
      <c r="AB512" s="20">
        <v>150</v>
      </c>
      <c r="AC512" s="22">
        <f t="shared" si="20"/>
        <v>7233</v>
      </c>
      <c r="AD512" s="22">
        <f t="shared" si="19"/>
        <v>18048</v>
      </c>
    </row>
    <row r="513" spans="1:30" x14ac:dyDescent="0.25">
      <c r="A513" s="13">
        <v>798</v>
      </c>
      <c r="B513" s="14" t="s">
        <v>1064</v>
      </c>
      <c r="C513" s="26" t="s">
        <v>1065</v>
      </c>
      <c r="D513" s="14" t="s">
        <v>42</v>
      </c>
      <c r="E513" s="20">
        <v>44</v>
      </c>
      <c r="F513" s="20">
        <v>110</v>
      </c>
      <c r="G513" s="20">
        <v>47</v>
      </c>
      <c r="H513" s="20">
        <v>99</v>
      </c>
      <c r="I513" s="20"/>
      <c r="J513" s="20"/>
      <c r="K513" s="20">
        <v>85</v>
      </c>
      <c r="L513" s="20">
        <v>202</v>
      </c>
      <c r="M513" s="20"/>
      <c r="N513" s="20"/>
      <c r="O513" s="20"/>
      <c r="P513" s="20"/>
      <c r="Q513" s="20"/>
      <c r="R513" s="20"/>
      <c r="S513" s="20"/>
      <c r="T513" s="20"/>
      <c r="U513" s="20"/>
      <c r="V513" s="20"/>
      <c r="W513" s="20"/>
      <c r="X513" s="20"/>
      <c r="Y513" s="20"/>
      <c r="Z513" s="20"/>
      <c r="AA513" s="20"/>
      <c r="AB513" s="20"/>
      <c r="AC513" s="22">
        <f t="shared" si="20"/>
        <v>176</v>
      </c>
      <c r="AD513" s="22">
        <f t="shared" si="19"/>
        <v>411</v>
      </c>
    </row>
    <row r="514" spans="1:30" x14ac:dyDescent="0.25">
      <c r="A514" s="13">
        <v>803</v>
      </c>
      <c r="B514" s="14" t="s">
        <v>1066</v>
      </c>
      <c r="C514" s="26" t="s">
        <v>1067</v>
      </c>
      <c r="D514" s="14" t="s">
        <v>43</v>
      </c>
      <c r="E514" s="20">
        <v>82116</v>
      </c>
      <c r="F514" s="20">
        <v>205290</v>
      </c>
      <c r="G514" s="20">
        <v>8394</v>
      </c>
      <c r="H514" s="20">
        <v>20893</v>
      </c>
      <c r="I514" s="20">
        <v>12039</v>
      </c>
      <c r="J514" s="20">
        <v>30096</v>
      </c>
      <c r="K514" s="20">
        <v>8457</v>
      </c>
      <c r="L514" s="20">
        <v>21118</v>
      </c>
      <c r="M514" s="20"/>
      <c r="N514" s="20"/>
      <c r="O514" s="20"/>
      <c r="P514" s="20"/>
      <c r="Q514" s="20"/>
      <c r="R514" s="20"/>
      <c r="S514" s="20"/>
      <c r="T514" s="20"/>
      <c r="U514" s="20"/>
      <c r="V514" s="20"/>
      <c r="W514" s="20"/>
      <c r="X514" s="20"/>
      <c r="Y514" s="20"/>
      <c r="Z514" s="20"/>
      <c r="AA514" s="20"/>
      <c r="AB514" s="20"/>
      <c r="AC514" s="22">
        <f t="shared" si="20"/>
        <v>111006</v>
      </c>
      <c r="AD514" s="22">
        <f t="shared" si="19"/>
        <v>277397</v>
      </c>
    </row>
    <row r="515" spans="1:30" x14ac:dyDescent="0.25">
      <c r="A515" s="13">
        <v>807</v>
      </c>
      <c r="B515" s="14" t="s">
        <v>1068</v>
      </c>
      <c r="C515" s="26" t="s">
        <v>1069</v>
      </c>
      <c r="D515" s="14" t="s">
        <v>43</v>
      </c>
      <c r="E515" s="20">
        <v>2248</v>
      </c>
      <c r="F515" s="20">
        <v>5616</v>
      </c>
      <c r="G515" s="20">
        <v>2546</v>
      </c>
      <c r="H515" s="20">
        <v>6317</v>
      </c>
      <c r="I515" s="20"/>
      <c r="J515" s="20"/>
      <c r="K515" s="20">
        <v>15413</v>
      </c>
      <c r="L515" s="20">
        <v>38526</v>
      </c>
      <c r="M515" s="20"/>
      <c r="N515" s="20"/>
      <c r="O515" s="20"/>
      <c r="P515" s="20"/>
      <c r="Q515" s="20"/>
      <c r="R515" s="20"/>
      <c r="S515" s="20"/>
      <c r="T515" s="20"/>
      <c r="U515" s="20"/>
      <c r="V515" s="20"/>
      <c r="W515" s="20"/>
      <c r="X515" s="20"/>
      <c r="Y515" s="20"/>
      <c r="Z515" s="20"/>
      <c r="AA515" s="20"/>
      <c r="AB515" s="20"/>
      <c r="AC515" s="22">
        <f t="shared" si="20"/>
        <v>20207</v>
      </c>
      <c r="AD515" s="22">
        <f t="shared" si="19"/>
        <v>50459</v>
      </c>
    </row>
    <row r="516" spans="1:30" x14ac:dyDescent="0.25">
      <c r="A516" s="13">
        <v>808</v>
      </c>
      <c r="B516" s="14" t="s">
        <v>1070</v>
      </c>
      <c r="C516" s="26" t="s">
        <v>1071</v>
      </c>
      <c r="D516" s="14" t="s">
        <v>43</v>
      </c>
      <c r="E516" s="20">
        <v>3496</v>
      </c>
      <c r="F516" s="20">
        <v>8738</v>
      </c>
      <c r="G516" s="20">
        <v>1983</v>
      </c>
      <c r="H516" s="20">
        <v>4910</v>
      </c>
      <c r="I516" s="20"/>
      <c r="J516" s="20"/>
      <c r="K516" s="20">
        <v>2177</v>
      </c>
      <c r="L516" s="20">
        <v>5434</v>
      </c>
      <c r="M516" s="20"/>
      <c r="N516" s="20"/>
      <c r="O516" s="20"/>
      <c r="P516" s="20"/>
      <c r="Q516" s="20"/>
      <c r="R516" s="20"/>
      <c r="S516" s="20"/>
      <c r="T516" s="20"/>
      <c r="U516" s="20"/>
      <c r="V516" s="20"/>
      <c r="W516" s="20"/>
      <c r="X516" s="20"/>
      <c r="Y516" s="20"/>
      <c r="Z516" s="20"/>
      <c r="AA516" s="20"/>
      <c r="AB516" s="20"/>
      <c r="AC516" s="22">
        <f t="shared" si="20"/>
        <v>7656</v>
      </c>
      <c r="AD516" s="22">
        <f t="shared" si="19"/>
        <v>19082</v>
      </c>
    </row>
    <row r="517" spans="1:30" x14ac:dyDescent="0.25">
      <c r="A517" s="13">
        <v>809</v>
      </c>
      <c r="B517" s="14" t="s">
        <v>1072</v>
      </c>
      <c r="C517" s="26" t="s">
        <v>1073</v>
      </c>
      <c r="D517" s="14" t="s">
        <v>43</v>
      </c>
      <c r="E517" s="20"/>
      <c r="F517" s="20"/>
      <c r="G517" s="20">
        <v>74</v>
      </c>
      <c r="H517" s="20">
        <v>170</v>
      </c>
      <c r="I517" s="20"/>
      <c r="J517" s="20"/>
      <c r="K517" s="20">
        <v>1260</v>
      </c>
      <c r="L517" s="20">
        <v>3146</v>
      </c>
      <c r="M517" s="20"/>
      <c r="N517" s="20"/>
      <c r="O517" s="20"/>
      <c r="P517" s="20"/>
      <c r="Q517" s="20"/>
      <c r="R517" s="20"/>
      <c r="S517" s="20"/>
      <c r="T517" s="20"/>
      <c r="U517" s="20"/>
      <c r="V517" s="20"/>
      <c r="W517" s="20"/>
      <c r="X517" s="20"/>
      <c r="Y517" s="20"/>
      <c r="Z517" s="20"/>
      <c r="AA517" s="20"/>
      <c r="AB517" s="20"/>
      <c r="AC517" s="22">
        <f t="shared" si="20"/>
        <v>1334</v>
      </c>
      <c r="AD517" s="22">
        <f t="shared" ref="AD517:AD580" si="21">SUM(F517+H517+J517+L517+N517+P517+R517+T517+V517+X517+Z517+AB517)</f>
        <v>3316</v>
      </c>
    </row>
    <row r="518" spans="1:30" x14ac:dyDescent="0.25">
      <c r="A518" s="13">
        <v>811</v>
      </c>
      <c r="B518" s="14" t="s">
        <v>1074</v>
      </c>
      <c r="C518" s="26" t="s">
        <v>1075</v>
      </c>
      <c r="D518" s="14" t="s">
        <v>43</v>
      </c>
      <c r="E518" s="20">
        <v>5</v>
      </c>
      <c r="F518" s="20">
        <v>12</v>
      </c>
      <c r="G518" s="20">
        <v>34</v>
      </c>
      <c r="H518" s="20">
        <v>78</v>
      </c>
      <c r="I518" s="20"/>
      <c r="J518" s="20"/>
      <c r="K518" s="20">
        <v>6</v>
      </c>
      <c r="L518" s="20">
        <v>14</v>
      </c>
      <c r="M518" s="20"/>
      <c r="N518" s="20"/>
      <c r="O518" s="20"/>
      <c r="P518" s="20"/>
      <c r="Q518" s="20"/>
      <c r="R518" s="20"/>
      <c r="S518" s="20"/>
      <c r="T518" s="20"/>
      <c r="U518" s="20">
        <v>870</v>
      </c>
      <c r="V518" s="20">
        <v>2154</v>
      </c>
      <c r="W518" s="20"/>
      <c r="X518" s="20"/>
      <c r="Y518" s="20"/>
      <c r="Z518" s="20"/>
      <c r="AA518" s="20"/>
      <c r="AB518" s="20"/>
      <c r="AC518" s="22">
        <f t="shared" ref="AC518:AC581" si="22">SUM(E518+G518+I518+K518+M518+O518+Q518+S518+U518+W518+Y518+AA518)</f>
        <v>915</v>
      </c>
      <c r="AD518" s="22">
        <f t="shared" si="21"/>
        <v>2258</v>
      </c>
    </row>
    <row r="519" spans="1:30" x14ac:dyDescent="0.25">
      <c r="A519" s="13">
        <v>812</v>
      </c>
      <c r="B519" s="14" t="s">
        <v>1076</v>
      </c>
      <c r="C519" s="26" t="s">
        <v>1077</v>
      </c>
      <c r="D519" s="14" t="s">
        <v>43</v>
      </c>
      <c r="E519" s="20">
        <v>253636</v>
      </c>
      <c r="F519" s="20">
        <v>634090</v>
      </c>
      <c r="G519" s="20">
        <v>1078420</v>
      </c>
      <c r="H519" s="20">
        <v>2696012</v>
      </c>
      <c r="I519" s="20"/>
      <c r="J519" s="20"/>
      <c r="K519" s="20">
        <v>40612</v>
      </c>
      <c r="L519" s="20">
        <v>101509</v>
      </c>
      <c r="M519" s="20"/>
      <c r="N519" s="20"/>
      <c r="O519" s="20">
        <v>9553</v>
      </c>
      <c r="P519" s="20">
        <v>23881</v>
      </c>
      <c r="Q519" s="20">
        <v>43924</v>
      </c>
      <c r="R519" s="20">
        <v>109806</v>
      </c>
      <c r="S519" s="20">
        <v>8080</v>
      </c>
      <c r="T519" s="20">
        <v>20200</v>
      </c>
      <c r="U519" s="20"/>
      <c r="V519" s="20"/>
      <c r="W519" s="20"/>
      <c r="X519" s="20"/>
      <c r="Y519" s="20"/>
      <c r="Z519" s="20"/>
      <c r="AA519" s="20"/>
      <c r="AB519" s="20"/>
      <c r="AC519" s="22">
        <f t="shared" si="22"/>
        <v>1434225</v>
      </c>
      <c r="AD519" s="22">
        <f t="shared" si="21"/>
        <v>3585498</v>
      </c>
    </row>
    <row r="520" spans="1:30" x14ac:dyDescent="0.25">
      <c r="A520" s="13">
        <v>816</v>
      </c>
      <c r="B520" s="14" t="s">
        <v>1078</v>
      </c>
      <c r="C520" s="26" t="s">
        <v>1079</v>
      </c>
      <c r="D520" s="14" t="s">
        <v>43</v>
      </c>
      <c r="E520" s="20">
        <v>6343</v>
      </c>
      <c r="F520" s="20">
        <v>15855</v>
      </c>
      <c r="G520" s="20">
        <v>22777</v>
      </c>
      <c r="H520" s="20">
        <v>56938</v>
      </c>
      <c r="I520" s="20"/>
      <c r="J520" s="20"/>
      <c r="K520" s="20">
        <v>4888</v>
      </c>
      <c r="L520" s="20">
        <v>12220</v>
      </c>
      <c r="M520" s="20"/>
      <c r="N520" s="20"/>
      <c r="O520" s="20"/>
      <c r="P520" s="20"/>
      <c r="Q520" s="20"/>
      <c r="R520" s="20"/>
      <c r="S520" s="20"/>
      <c r="T520" s="20"/>
      <c r="U520" s="20"/>
      <c r="V520" s="20"/>
      <c r="W520" s="20"/>
      <c r="X520" s="20"/>
      <c r="Y520" s="20"/>
      <c r="Z520" s="20"/>
      <c r="AA520" s="20"/>
      <c r="AB520" s="20"/>
      <c r="AC520" s="22">
        <f t="shared" si="22"/>
        <v>34008</v>
      </c>
      <c r="AD520" s="22">
        <f t="shared" si="21"/>
        <v>85013</v>
      </c>
    </row>
    <row r="521" spans="1:30" x14ac:dyDescent="0.25">
      <c r="A521" s="13">
        <v>827</v>
      </c>
      <c r="B521" s="14" t="s">
        <v>1080</v>
      </c>
      <c r="C521" s="26" t="s">
        <v>1081</v>
      </c>
      <c r="D521" s="14" t="s">
        <v>43</v>
      </c>
      <c r="E521" s="20">
        <v>48</v>
      </c>
      <c r="F521" s="20">
        <v>116</v>
      </c>
      <c r="G521" s="20">
        <v>11983</v>
      </c>
      <c r="H521" s="20">
        <v>29952</v>
      </c>
      <c r="I521" s="20"/>
      <c r="J521" s="20"/>
      <c r="K521" s="20">
        <v>4911</v>
      </c>
      <c r="L521" s="20">
        <v>12277</v>
      </c>
      <c r="M521" s="20"/>
      <c r="N521" s="20"/>
      <c r="O521" s="20"/>
      <c r="P521" s="20"/>
      <c r="Q521" s="20"/>
      <c r="R521" s="20"/>
      <c r="S521" s="20"/>
      <c r="T521" s="20"/>
      <c r="U521" s="20"/>
      <c r="V521" s="20"/>
      <c r="W521" s="20"/>
      <c r="X521" s="20"/>
      <c r="Y521" s="20"/>
      <c r="Z521" s="20"/>
      <c r="AA521" s="20"/>
      <c r="AB521" s="20"/>
      <c r="AC521" s="22">
        <f t="shared" si="22"/>
        <v>16942</v>
      </c>
      <c r="AD521" s="22">
        <f t="shared" si="21"/>
        <v>42345</v>
      </c>
    </row>
    <row r="522" spans="1:30" x14ac:dyDescent="0.25">
      <c r="A522" s="13">
        <v>828</v>
      </c>
      <c r="B522" s="14" t="s">
        <v>1082</v>
      </c>
      <c r="C522" s="26" t="s">
        <v>1083</v>
      </c>
      <c r="D522" s="14" t="s">
        <v>43</v>
      </c>
      <c r="E522" s="20">
        <v>550</v>
      </c>
      <c r="F522" s="20">
        <v>1374</v>
      </c>
      <c r="G522" s="20">
        <v>40113</v>
      </c>
      <c r="H522" s="20">
        <v>100271</v>
      </c>
      <c r="I522" s="20"/>
      <c r="J522" s="20"/>
      <c r="K522" s="20">
        <v>1011</v>
      </c>
      <c r="L522" s="20">
        <v>2517</v>
      </c>
      <c r="M522" s="20"/>
      <c r="N522" s="20"/>
      <c r="O522" s="20"/>
      <c r="P522" s="20"/>
      <c r="Q522" s="20"/>
      <c r="R522" s="20"/>
      <c r="S522" s="20">
        <v>100</v>
      </c>
      <c r="T522" s="20">
        <v>250</v>
      </c>
      <c r="U522" s="20"/>
      <c r="V522" s="20"/>
      <c r="W522" s="20"/>
      <c r="X522" s="20"/>
      <c r="Y522" s="20"/>
      <c r="Z522" s="20"/>
      <c r="AA522" s="20"/>
      <c r="AB522" s="20"/>
      <c r="AC522" s="22">
        <f t="shared" si="22"/>
        <v>41774</v>
      </c>
      <c r="AD522" s="22">
        <f t="shared" si="21"/>
        <v>104412</v>
      </c>
    </row>
    <row r="523" spans="1:30" x14ac:dyDescent="0.25">
      <c r="A523" s="13">
        <v>829</v>
      </c>
      <c r="B523" s="14" t="s">
        <v>1084</v>
      </c>
      <c r="C523" s="26" t="s">
        <v>1085</v>
      </c>
      <c r="D523" s="14" t="s">
        <v>43</v>
      </c>
      <c r="E523" s="20">
        <v>288</v>
      </c>
      <c r="F523" s="20">
        <v>720</v>
      </c>
      <c r="G523" s="20">
        <v>5140</v>
      </c>
      <c r="H523" s="20">
        <v>12848</v>
      </c>
      <c r="I523" s="20"/>
      <c r="J523" s="20"/>
      <c r="K523" s="20">
        <v>819</v>
      </c>
      <c r="L523" s="20">
        <v>2045</v>
      </c>
      <c r="M523" s="20"/>
      <c r="N523" s="20"/>
      <c r="O523" s="20"/>
      <c r="P523" s="20"/>
      <c r="Q523" s="20"/>
      <c r="R523" s="20"/>
      <c r="S523" s="20"/>
      <c r="T523" s="20"/>
      <c r="U523" s="20"/>
      <c r="V523" s="20"/>
      <c r="W523" s="20"/>
      <c r="X523" s="20"/>
      <c r="Y523" s="20"/>
      <c r="Z523" s="20"/>
      <c r="AA523" s="20"/>
      <c r="AB523" s="20"/>
      <c r="AC523" s="22">
        <f t="shared" si="22"/>
        <v>6247</v>
      </c>
      <c r="AD523" s="22">
        <f t="shared" si="21"/>
        <v>15613</v>
      </c>
    </row>
    <row r="524" spans="1:30" x14ac:dyDescent="0.25">
      <c r="A524" s="13">
        <v>830</v>
      </c>
      <c r="B524" s="14" t="s">
        <v>1086</v>
      </c>
      <c r="C524" s="26" t="s">
        <v>1087</v>
      </c>
      <c r="D524" s="14" t="s">
        <v>43</v>
      </c>
      <c r="E524" s="20">
        <v>308</v>
      </c>
      <c r="F524" s="20">
        <v>768</v>
      </c>
      <c r="G524" s="20">
        <v>8016</v>
      </c>
      <c r="H524" s="20">
        <v>20040</v>
      </c>
      <c r="I524" s="20"/>
      <c r="J524" s="20"/>
      <c r="K524" s="20">
        <v>139</v>
      </c>
      <c r="L524" s="20">
        <v>347</v>
      </c>
      <c r="M524" s="20"/>
      <c r="N524" s="20"/>
      <c r="O524" s="20"/>
      <c r="P524" s="20"/>
      <c r="Q524" s="20"/>
      <c r="R524" s="20"/>
      <c r="S524" s="20"/>
      <c r="T524" s="20"/>
      <c r="U524" s="20"/>
      <c r="V524" s="20"/>
      <c r="W524" s="20"/>
      <c r="X524" s="20"/>
      <c r="Y524" s="20"/>
      <c r="Z524" s="20"/>
      <c r="AA524" s="20"/>
      <c r="AB524" s="20"/>
      <c r="AC524" s="22">
        <f t="shared" si="22"/>
        <v>8463</v>
      </c>
      <c r="AD524" s="22">
        <f t="shared" si="21"/>
        <v>21155</v>
      </c>
    </row>
    <row r="525" spans="1:30" x14ac:dyDescent="0.25">
      <c r="A525" s="13">
        <v>831</v>
      </c>
      <c r="B525" s="14" t="s">
        <v>1088</v>
      </c>
      <c r="C525" s="26" t="s">
        <v>1089</v>
      </c>
      <c r="D525" s="14" t="s">
        <v>43</v>
      </c>
      <c r="E525" s="20"/>
      <c r="F525" s="20"/>
      <c r="G525" s="20">
        <v>256</v>
      </c>
      <c r="H525" s="20">
        <v>640</v>
      </c>
      <c r="I525" s="20"/>
      <c r="J525" s="20"/>
      <c r="K525" s="20">
        <v>95</v>
      </c>
      <c r="L525" s="20">
        <v>237</v>
      </c>
      <c r="M525" s="20"/>
      <c r="N525" s="20"/>
      <c r="O525" s="20"/>
      <c r="P525" s="20"/>
      <c r="Q525" s="20"/>
      <c r="R525" s="20"/>
      <c r="S525" s="20"/>
      <c r="T525" s="20"/>
      <c r="U525" s="20"/>
      <c r="V525" s="20"/>
      <c r="W525" s="20"/>
      <c r="X525" s="20"/>
      <c r="Y525" s="20"/>
      <c r="Z525" s="20"/>
      <c r="AA525" s="20"/>
      <c r="AB525" s="20"/>
      <c r="AC525" s="22">
        <f t="shared" si="22"/>
        <v>351</v>
      </c>
      <c r="AD525" s="22">
        <f t="shared" si="21"/>
        <v>877</v>
      </c>
    </row>
    <row r="526" spans="1:30" x14ac:dyDescent="0.25">
      <c r="A526" s="13">
        <v>832</v>
      </c>
      <c r="B526" s="14" t="s">
        <v>1090</v>
      </c>
      <c r="C526" s="26" t="s">
        <v>1091</v>
      </c>
      <c r="D526" s="14" t="s">
        <v>43</v>
      </c>
      <c r="E526" s="20">
        <v>192</v>
      </c>
      <c r="F526" s="20">
        <v>480</v>
      </c>
      <c r="G526" s="20">
        <v>21690</v>
      </c>
      <c r="H526" s="20">
        <v>54216</v>
      </c>
      <c r="I526" s="20"/>
      <c r="J526" s="20"/>
      <c r="K526" s="20">
        <v>2003</v>
      </c>
      <c r="L526" s="20">
        <v>5007</v>
      </c>
      <c r="M526" s="20"/>
      <c r="N526" s="20"/>
      <c r="O526" s="20"/>
      <c r="P526" s="20"/>
      <c r="Q526" s="20"/>
      <c r="R526" s="20"/>
      <c r="S526" s="20"/>
      <c r="T526" s="20"/>
      <c r="U526" s="20"/>
      <c r="V526" s="20"/>
      <c r="W526" s="20"/>
      <c r="X526" s="20"/>
      <c r="Y526" s="20"/>
      <c r="Z526" s="20"/>
      <c r="AA526" s="20"/>
      <c r="AB526" s="20"/>
      <c r="AC526" s="22">
        <f t="shared" si="22"/>
        <v>23885</v>
      </c>
      <c r="AD526" s="22">
        <f t="shared" si="21"/>
        <v>59703</v>
      </c>
    </row>
    <row r="527" spans="1:30" x14ac:dyDescent="0.25">
      <c r="A527" s="13">
        <v>833</v>
      </c>
      <c r="B527" s="14" t="s">
        <v>1092</v>
      </c>
      <c r="C527" s="26" t="s">
        <v>1093</v>
      </c>
      <c r="D527" s="14" t="s">
        <v>43</v>
      </c>
      <c r="E527" s="20">
        <v>228</v>
      </c>
      <c r="F527" s="20">
        <v>566</v>
      </c>
      <c r="G527" s="20">
        <v>12866</v>
      </c>
      <c r="H527" s="20">
        <v>32162</v>
      </c>
      <c r="I527" s="20"/>
      <c r="J527" s="20"/>
      <c r="K527" s="20">
        <v>1388</v>
      </c>
      <c r="L527" s="20">
        <v>3460</v>
      </c>
      <c r="M527" s="20"/>
      <c r="N527" s="20"/>
      <c r="O527" s="20"/>
      <c r="P527" s="20"/>
      <c r="Q527" s="20"/>
      <c r="R527" s="20"/>
      <c r="S527" s="20">
        <v>1080</v>
      </c>
      <c r="T527" s="20">
        <v>2700</v>
      </c>
      <c r="U527" s="20"/>
      <c r="V527" s="20"/>
      <c r="W527" s="20"/>
      <c r="X527" s="20"/>
      <c r="Y527" s="20"/>
      <c r="Z527" s="20"/>
      <c r="AA527" s="20"/>
      <c r="AB527" s="20"/>
      <c r="AC527" s="22">
        <f t="shared" si="22"/>
        <v>15562</v>
      </c>
      <c r="AD527" s="22">
        <f t="shared" si="21"/>
        <v>38888</v>
      </c>
    </row>
    <row r="528" spans="1:30" x14ac:dyDescent="0.25">
      <c r="A528" s="13">
        <v>834</v>
      </c>
      <c r="B528" s="14" t="s">
        <v>1094</v>
      </c>
      <c r="C528" s="26" t="s">
        <v>1095</v>
      </c>
      <c r="D528" s="14" t="s">
        <v>43</v>
      </c>
      <c r="E528" s="20">
        <v>10</v>
      </c>
      <c r="F528" s="20">
        <v>24</v>
      </c>
      <c r="G528" s="20">
        <v>3663</v>
      </c>
      <c r="H528" s="20">
        <v>9154</v>
      </c>
      <c r="I528" s="20"/>
      <c r="J528" s="20"/>
      <c r="K528" s="20">
        <v>163</v>
      </c>
      <c r="L528" s="20">
        <v>403</v>
      </c>
      <c r="M528" s="20"/>
      <c r="N528" s="20"/>
      <c r="O528" s="20"/>
      <c r="P528" s="20"/>
      <c r="Q528" s="20"/>
      <c r="R528" s="20"/>
      <c r="S528" s="20"/>
      <c r="T528" s="20"/>
      <c r="U528" s="20"/>
      <c r="V528" s="20"/>
      <c r="W528" s="20"/>
      <c r="X528" s="20"/>
      <c r="Y528" s="20"/>
      <c r="Z528" s="20"/>
      <c r="AA528" s="20"/>
      <c r="AB528" s="20"/>
      <c r="AC528" s="22">
        <f t="shared" si="22"/>
        <v>3836</v>
      </c>
      <c r="AD528" s="22">
        <f t="shared" si="21"/>
        <v>9581</v>
      </c>
    </row>
    <row r="529" spans="1:30" x14ac:dyDescent="0.25">
      <c r="A529" s="13">
        <v>837</v>
      </c>
      <c r="B529" s="14" t="s">
        <v>1096</v>
      </c>
      <c r="C529" s="26" t="s">
        <v>1097</v>
      </c>
      <c r="D529" s="14" t="s">
        <v>45</v>
      </c>
      <c r="E529" s="20">
        <v>856</v>
      </c>
      <c r="F529" s="20">
        <v>2136</v>
      </c>
      <c r="G529" s="20">
        <v>776</v>
      </c>
      <c r="H529" s="20">
        <v>1936</v>
      </c>
      <c r="I529" s="20"/>
      <c r="J529" s="20"/>
      <c r="K529" s="20">
        <v>3872</v>
      </c>
      <c r="L529" s="20">
        <v>9675</v>
      </c>
      <c r="M529" s="20"/>
      <c r="N529" s="20"/>
      <c r="O529" s="20"/>
      <c r="P529" s="20"/>
      <c r="Q529" s="20"/>
      <c r="R529" s="20"/>
      <c r="S529" s="20">
        <v>24</v>
      </c>
      <c r="T529" s="20">
        <v>60</v>
      </c>
      <c r="U529" s="20"/>
      <c r="V529" s="20"/>
      <c r="W529" s="20"/>
      <c r="X529" s="20"/>
      <c r="Y529" s="20"/>
      <c r="Z529" s="20"/>
      <c r="AA529" s="20"/>
      <c r="AB529" s="20"/>
      <c r="AC529" s="22">
        <f t="shared" si="22"/>
        <v>5528</v>
      </c>
      <c r="AD529" s="22">
        <f t="shared" si="21"/>
        <v>13807</v>
      </c>
    </row>
    <row r="530" spans="1:30" x14ac:dyDescent="0.25">
      <c r="A530" s="13">
        <v>838</v>
      </c>
      <c r="B530" s="14" t="s">
        <v>1098</v>
      </c>
      <c r="C530" s="26" t="s">
        <v>1099</v>
      </c>
      <c r="D530" s="14" t="s">
        <v>45</v>
      </c>
      <c r="E530" s="20">
        <v>8752</v>
      </c>
      <c r="F530" s="20">
        <v>21876</v>
      </c>
      <c r="G530" s="20">
        <v>1875</v>
      </c>
      <c r="H530" s="20">
        <v>4679</v>
      </c>
      <c r="I530" s="20"/>
      <c r="J530" s="20"/>
      <c r="K530" s="20">
        <v>8762</v>
      </c>
      <c r="L530" s="20">
        <v>21892</v>
      </c>
      <c r="M530" s="20"/>
      <c r="N530" s="20"/>
      <c r="O530" s="20"/>
      <c r="P530" s="20"/>
      <c r="Q530" s="20"/>
      <c r="R530" s="20"/>
      <c r="S530" s="20">
        <v>74</v>
      </c>
      <c r="T530" s="20">
        <v>184</v>
      </c>
      <c r="U530" s="20"/>
      <c r="V530" s="20"/>
      <c r="W530" s="20"/>
      <c r="X530" s="20"/>
      <c r="Y530" s="20"/>
      <c r="Z530" s="20"/>
      <c r="AA530" s="20"/>
      <c r="AB530" s="20"/>
      <c r="AC530" s="22">
        <f t="shared" si="22"/>
        <v>19463</v>
      </c>
      <c r="AD530" s="22">
        <f t="shared" si="21"/>
        <v>48631</v>
      </c>
    </row>
    <row r="531" spans="1:30" x14ac:dyDescent="0.25">
      <c r="A531" s="13">
        <v>839</v>
      </c>
      <c r="B531" s="14" t="s">
        <v>1100</v>
      </c>
      <c r="C531" s="26" t="s">
        <v>1101</v>
      </c>
      <c r="D531" s="14" t="s">
        <v>45</v>
      </c>
      <c r="E531" s="20">
        <v>6010</v>
      </c>
      <c r="F531" s="20">
        <v>15024</v>
      </c>
      <c r="G531" s="20">
        <v>63305</v>
      </c>
      <c r="H531" s="20">
        <v>158254</v>
      </c>
      <c r="I531" s="20">
        <v>8712</v>
      </c>
      <c r="J531" s="20">
        <v>21780</v>
      </c>
      <c r="K531" s="20">
        <v>5420</v>
      </c>
      <c r="L531" s="20">
        <v>13534</v>
      </c>
      <c r="M531" s="20"/>
      <c r="N531" s="20"/>
      <c r="O531" s="20"/>
      <c r="P531" s="20"/>
      <c r="Q531" s="20"/>
      <c r="R531" s="20"/>
      <c r="S531" s="20"/>
      <c r="T531" s="20"/>
      <c r="U531" s="20"/>
      <c r="V531" s="20"/>
      <c r="W531" s="20"/>
      <c r="X531" s="20"/>
      <c r="Y531" s="20"/>
      <c r="Z531" s="20"/>
      <c r="AA531" s="20"/>
      <c r="AB531" s="20"/>
      <c r="AC531" s="22">
        <f t="shared" si="22"/>
        <v>83447</v>
      </c>
      <c r="AD531" s="22">
        <f t="shared" si="21"/>
        <v>208592</v>
      </c>
    </row>
    <row r="532" spans="1:30" x14ac:dyDescent="0.25">
      <c r="A532" s="13">
        <v>840</v>
      </c>
      <c r="B532" s="14" t="s">
        <v>1102</v>
      </c>
      <c r="C532" s="26" t="s">
        <v>1103</v>
      </c>
      <c r="D532" s="14" t="s">
        <v>45</v>
      </c>
      <c r="E532" s="20">
        <v>448</v>
      </c>
      <c r="F532" s="20">
        <v>1116</v>
      </c>
      <c r="G532" s="20">
        <v>896</v>
      </c>
      <c r="H532" s="20">
        <v>2240</v>
      </c>
      <c r="I532" s="20"/>
      <c r="J532" s="20"/>
      <c r="K532" s="20">
        <v>2920</v>
      </c>
      <c r="L532" s="20">
        <v>7291</v>
      </c>
      <c r="M532" s="20"/>
      <c r="N532" s="20"/>
      <c r="O532" s="20"/>
      <c r="P532" s="20"/>
      <c r="Q532" s="20"/>
      <c r="R532" s="20"/>
      <c r="S532" s="20">
        <v>8</v>
      </c>
      <c r="T532" s="20">
        <v>20</v>
      </c>
      <c r="U532" s="20"/>
      <c r="V532" s="20"/>
      <c r="W532" s="20"/>
      <c r="X532" s="20"/>
      <c r="Y532" s="20"/>
      <c r="Z532" s="20"/>
      <c r="AA532" s="20"/>
      <c r="AB532" s="20"/>
      <c r="AC532" s="22">
        <f t="shared" si="22"/>
        <v>4272</v>
      </c>
      <c r="AD532" s="22">
        <f t="shared" si="21"/>
        <v>10667</v>
      </c>
    </row>
    <row r="533" spans="1:30" x14ac:dyDescent="0.25">
      <c r="A533" s="13">
        <v>841</v>
      </c>
      <c r="B533" s="14" t="s">
        <v>1104</v>
      </c>
      <c r="C533" s="26" t="s">
        <v>1105</v>
      </c>
      <c r="D533" s="14" t="s">
        <v>45</v>
      </c>
      <c r="E533" s="20">
        <v>1394</v>
      </c>
      <c r="F533" s="20">
        <v>3484</v>
      </c>
      <c r="G533" s="20">
        <v>2910</v>
      </c>
      <c r="H533" s="20">
        <v>7259</v>
      </c>
      <c r="I533" s="20"/>
      <c r="J533" s="20"/>
      <c r="K533" s="20">
        <v>557</v>
      </c>
      <c r="L533" s="20">
        <v>1384</v>
      </c>
      <c r="M533" s="20"/>
      <c r="N533" s="20"/>
      <c r="O533" s="20"/>
      <c r="P533" s="20"/>
      <c r="Q533" s="20"/>
      <c r="R533" s="20"/>
      <c r="S533" s="20"/>
      <c r="T533" s="20"/>
      <c r="U533" s="20"/>
      <c r="V533" s="20"/>
      <c r="W533" s="20"/>
      <c r="X533" s="20"/>
      <c r="Y533" s="20"/>
      <c r="Z533" s="20"/>
      <c r="AA533" s="20"/>
      <c r="AB533" s="20"/>
      <c r="AC533" s="22">
        <f t="shared" si="22"/>
        <v>4861</v>
      </c>
      <c r="AD533" s="22">
        <f t="shared" si="21"/>
        <v>12127</v>
      </c>
    </row>
    <row r="534" spans="1:30" x14ac:dyDescent="0.25">
      <c r="A534" s="13">
        <v>842</v>
      </c>
      <c r="B534" s="14" t="s">
        <v>1106</v>
      </c>
      <c r="C534" s="26" t="s">
        <v>1107</v>
      </c>
      <c r="D534" s="14" t="s">
        <v>43</v>
      </c>
      <c r="E534" s="20">
        <v>8491</v>
      </c>
      <c r="F534" s="20">
        <v>21226</v>
      </c>
      <c r="G534" s="20">
        <v>2731</v>
      </c>
      <c r="H534" s="20">
        <v>6803</v>
      </c>
      <c r="I534" s="20"/>
      <c r="J534" s="20"/>
      <c r="K534" s="20">
        <v>15827</v>
      </c>
      <c r="L534" s="20">
        <v>39541</v>
      </c>
      <c r="M534" s="20"/>
      <c r="N534" s="20"/>
      <c r="O534" s="20"/>
      <c r="P534" s="20"/>
      <c r="Q534" s="20"/>
      <c r="R534" s="20"/>
      <c r="S534" s="20"/>
      <c r="T534" s="20"/>
      <c r="U534" s="20"/>
      <c r="V534" s="20"/>
      <c r="W534" s="20"/>
      <c r="X534" s="20"/>
      <c r="Y534" s="20"/>
      <c r="Z534" s="20"/>
      <c r="AA534" s="20"/>
      <c r="AB534" s="20"/>
      <c r="AC534" s="22">
        <f t="shared" si="22"/>
        <v>27049</v>
      </c>
      <c r="AD534" s="22">
        <f t="shared" si="21"/>
        <v>67570</v>
      </c>
    </row>
    <row r="535" spans="1:30" x14ac:dyDescent="0.25">
      <c r="A535" s="13">
        <v>843</v>
      </c>
      <c r="B535" s="14" t="s">
        <v>1108</v>
      </c>
      <c r="C535" s="26" t="s">
        <v>1109</v>
      </c>
      <c r="D535" s="14" t="s">
        <v>43</v>
      </c>
      <c r="E535" s="20">
        <v>7962</v>
      </c>
      <c r="F535" s="20">
        <v>19904</v>
      </c>
      <c r="G535" s="20">
        <v>693</v>
      </c>
      <c r="H535" s="20">
        <v>1729</v>
      </c>
      <c r="I535" s="20"/>
      <c r="J535" s="20"/>
      <c r="K535" s="20">
        <v>776</v>
      </c>
      <c r="L535" s="20">
        <v>1929</v>
      </c>
      <c r="M535" s="20"/>
      <c r="N535" s="20"/>
      <c r="O535" s="20"/>
      <c r="P535" s="20"/>
      <c r="Q535" s="20"/>
      <c r="R535" s="20"/>
      <c r="S535" s="20"/>
      <c r="T535" s="20"/>
      <c r="U535" s="20"/>
      <c r="V535" s="20"/>
      <c r="W535" s="20"/>
      <c r="X535" s="20"/>
      <c r="Y535" s="20"/>
      <c r="Z535" s="20"/>
      <c r="AA535" s="20"/>
      <c r="AB535" s="20"/>
      <c r="AC535" s="22">
        <f t="shared" si="22"/>
        <v>9431</v>
      </c>
      <c r="AD535" s="22">
        <f t="shared" si="21"/>
        <v>23562</v>
      </c>
    </row>
    <row r="536" spans="1:30" x14ac:dyDescent="0.25">
      <c r="A536" s="13">
        <v>846</v>
      </c>
      <c r="B536" s="14" t="s">
        <v>1110</v>
      </c>
      <c r="C536" s="26" t="s">
        <v>1111</v>
      </c>
      <c r="D536" s="14" t="s">
        <v>43</v>
      </c>
      <c r="E536" s="20">
        <v>236</v>
      </c>
      <c r="F536" s="20">
        <v>588</v>
      </c>
      <c r="G536" s="20">
        <v>5960</v>
      </c>
      <c r="H536" s="20">
        <v>14885</v>
      </c>
      <c r="I536" s="20"/>
      <c r="J536" s="20"/>
      <c r="K536" s="20">
        <v>6526</v>
      </c>
      <c r="L536" s="20">
        <v>16302</v>
      </c>
      <c r="M536" s="20"/>
      <c r="N536" s="20"/>
      <c r="O536" s="20"/>
      <c r="P536" s="20"/>
      <c r="Q536" s="20"/>
      <c r="R536" s="20"/>
      <c r="S536" s="20">
        <v>404</v>
      </c>
      <c r="T536" s="20">
        <v>1010</v>
      </c>
      <c r="U536" s="20"/>
      <c r="V536" s="20"/>
      <c r="W536" s="20"/>
      <c r="X536" s="20"/>
      <c r="Y536" s="20"/>
      <c r="Z536" s="20"/>
      <c r="AA536" s="20"/>
      <c r="AB536" s="20"/>
      <c r="AC536" s="22">
        <f t="shared" si="22"/>
        <v>13126</v>
      </c>
      <c r="AD536" s="22">
        <f t="shared" si="21"/>
        <v>32785</v>
      </c>
    </row>
    <row r="537" spans="1:30" x14ac:dyDescent="0.25">
      <c r="A537" s="13">
        <v>848</v>
      </c>
      <c r="B537" s="14" t="s">
        <v>1112</v>
      </c>
      <c r="C537" s="26" t="s">
        <v>1113</v>
      </c>
      <c r="D537" s="14" t="s">
        <v>43</v>
      </c>
      <c r="E537" s="20">
        <v>96</v>
      </c>
      <c r="F537" s="20">
        <v>240</v>
      </c>
      <c r="G537" s="20">
        <v>2898</v>
      </c>
      <c r="H537" s="20">
        <v>7230</v>
      </c>
      <c r="I537" s="20"/>
      <c r="J537" s="20"/>
      <c r="K537" s="20">
        <v>911</v>
      </c>
      <c r="L537" s="20">
        <v>2261</v>
      </c>
      <c r="M537" s="20"/>
      <c r="N537" s="20"/>
      <c r="O537" s="20"/>
      <c r="P537" s="20"/>
      <c r="Q537" s="20"/>
      <c r="R537" s="20"/>
      <c r="S537" s="20">
        <v>6</v>
      </c>
      <c r="T537" s="20">
        <v>12</v>
      </c>
      <c r="U537" s="20"/>
      <c r="V537" s="20"/>
      <c r="W537" s="20"/>
      <c r="X537" s="20"/>
      <c r="Y537" s="20"/>
      <c r="Z537" s="20"/>
      <c r="AA537" s="20"/>
      <c r="AB537" s="20"/>
      <c r="AC537" s="22">
        <f t="shared" si="22"/>
        <v>3911</v>
      </c>
      <c r="AD537" s="22">
        <f t="shared" si="21"/>
        <v>9743</v>
      </c>
    </row>
    <row r="538" spans="1:30" x14ac:dyDescent="0.25">
      <c r="A538" s="13">
        <v>849</v>
      </c>
      <c r="B538" s="14" t="s">
        <v>1114</v>
      </c>
      <c r="C538" s="26" t="s">
        <v>1115</v>
      </c>
      <c r="D538" s="14" t="s">
        <v>43</v>
      </c>
      <c r="E538" s="20">
        <v>720</v>
      </c>
      <c r="F538" s="20">
        <v>1800</v>
      </c>
      <c r="G538" s="20">
        <v>19851</v>
      </c>
      <c r="H538" s="20">
        <v>49626</v>
      </c>
      <c r="I538" s="20"/>
      <c r="J538" s="20"/>
      <c r="K538" s="20">
        <v>2714</v>
      </c>
      <c r="L538" s="20">
        <v>6782</v>
      </c>
      <c r="M538" s="20"/>
      <c r="N538" s="20"/>
      <c r="O538" s="20"/>
      <c r="P538" s="20"/>
      <c r="Q538" s="20"/>
      <c r="R538" s="20"/>
      <c r="S538" s="20">
        <v>160</v>
      </c>
      <c r="T538" s="20">
        <v>400</v>
      </c>
      <c r="U538" s="20"/>
      <c r="V538" s="20"/>
      <c r="W538" s="20"/>
      <c r="X538" s="20"/>
      <c r="Y538" s="20"/>
      <c r="Z538" s="20"/>
      <c r="AA538" s="20"/>
      <c r="AB538" s="20"/>
      <c r="AC538" s="22">
        <f t="shared" si="22"/>
        <v>23445</v>
      </c>
      <c r="AD538" s="22">
        <f t="shared" si="21"/>
        <v>58608</v>
      </c>
    </row>
    <row r="539" spans="1:30" x14ac:dyDescent="0.25">
      <c r="A539" s="13">
        <v>850</v>
      </c>
      <c r="B539" s="14" t="s">
        <v>1116</v>
      </c>
      <c r="C539" s="26" t="s">
        <v>1117</v>
      </c>
      <c r="D539" s="14" t="s">
        <v>43</v>
      </c>
      <c r="E539" s="20">
        <v>698</v>
      </c>
      <c r="F539" s="20">
        <v>1744</v>
      </c>
      <c r="G539" s="20">
        <v>97789</v>
      </c>
      <c r="H539" s="20">
        <v>244468</v>
      </c>
      <c r="I539" s="20"/>
      <c r="J539" s="20"/>
      <c r="K539" s="20">
        <v>3756</v>
      </c>
      <c r="L539" s="20">
        <v>9388</v>
      </c>
      <c r="M539" s="20"/>
      <c r="N539" s="20"/>
      <c r="O539" s="20"/>
      <c r="P539" s="20"/>
      <c r="Q539" s="20"/>
      <c r="R539" s="20"/>
      <c r="S539" s="20"/>
      <c r="T539" s="20"/>
      <c r="U539" s="20"/>
      <c r="V539" s="20"/>
      <c r="W539" s="20"/>
      <c r="X539" s="20"/>
      <c r="Y539" s="20"/>
      <c r="Z539" s="20"/>
      <c r="AA539" s="20"/>
      <c r="AB539" s="20"/>
      <c r="AC539" s="22">
        <f t="shared" si="22"/>
        <v>102243</v>
      </c>
      <c r="AD539" s="22">
        <f t="shared" si="21"/>
        <v>255600</v>
      </c>
    </row>
    <row r="540" spans="1:30" x14ac:dyDescent="0.25">
      <c r="A540" s="13">
        <v>851</v>
      </c>
      <c r="B540" s="14" t="s">
        <v>1118</v>
      </c>
      <c r="C540" s="26" t="s">
        <v>1119</v>
      </c>
      <c r="D540" s="14" t="s">
        <v>43</v>
      </c>
      <c r="E540" s="20">
        <v>778</v>
      </c>
      <c r="F540" s="20">
        <v>1944</v>
      </c>
      <c r="G540" s="20">
        <v>73860</v>
      </c>
      <c r="H540" s="20">
        <v>184638</v>
      </c>
      <c r="I540" s="20"/>
      <c r="J540" s="20"/>
      <c r="K540" s="20">
        <v>1974</v>
      </c>
      <c r="L540" s="20">
        <v>4934</v>
      </c>
      <c r="M540" s="20"/>
      <c r="N540" s="20"/>
      <c r="O540" s="20"/>
      <c r="P540" s="20"/>
      <c r="Q540" s="20"/>
      <c r="R540" s="20"/>
      <c r="S540" s="20">
        <v>480</v>
      </c>
      <c r="T540" s="20">
        <v>1200</v>
      </c>
      <c r="U540" s="20"/>
      <c r="V540" s="20"/>
      <c r="W540" s="20"/>
      <c r="X540" s="20"/>
      <c r="Y540" s="20"/>
      <c r="Z540" s="20"/>
      <c r="AA540" s="20"/>
      <c r="AB540" s="20"/>
      <c r="AC540" s="22">
        <f t="shared" si="22"/>
        <v>77092</v>
      </c>
      <c r="AD540" s="22">
        <f t="shared" si="21"/>
        <v>192716</v>
      </c>
    </row>
    <row r="541" spans="1:30" x14ac:dyDescent="0.25">
      <c r="A541" s="13">
        <v>852</v>
      </c>
      <c r="B541" s="14" t="s">
        <v>1120</v>
      </c>
      <c r="C541" s="26" t="s">
        <v>1121</v>
      </c>
      <c r="D541" s="14" t="s">
        <v>43</v>
      </c>
      <c r="E541" s="20">
        <v>1754</v>
      </c>
      <c r="F541" s="20">
        <v>4384</v>
      </c>
      <c r="G541" s="20">
        <v>911</v>
      </c>
      <c r="H541" s="20">
        <v>2270</v>
      </c>
      <c r="I541" s="20"/>
      <c r="J541" s="20"/>
      <c r="K541" s="20">
        <v>3108</v>
      </c>
      <c r="L541" s="20">
        <v>7753</v>
      </c>
      <c r="M541" s="20"/>
      <c r="N541" s="20"/>
      <c r="O541" s="20"/>
      <c r="P541" s="20"/>
      <c r="Q541" s="20"/>
      <c r="R541" s="20"/>
      <c r="S541" s="20"/>
      <c r="T541" s="20"/>
      <c r="U541" s="20"/>
      <c r="V541" s="20"/>
      <c r="W541" s="20"/>
      <c r="X541" s="20"/>
      <c r="Y541" s="20"/>
      <c r="Z541" s="20"/>
      <c r="AA541" s="20"/>
      <c r="AB541" s="20"/>
      <c r="AC541" s="22">
        <f t="shared" si="22"/>
        <v>5773</v>
      </c>
      <c r="AD541" s="22">
        <f t="shared" si="21"/>
        <v>14407</v>
      </c>
    </row>
    <row r="542" spans="1:30" x14ac:dyDescent="0.25">
      <c r="A542" s="13">
        <v>853</v>
      </c>
      <c r="B542" s="14" t="s">
        <v>1122</v>
      </c>
      <c r="C542" s="26" t="s">
        <v>1123</v>
      </c>
      <c r="D542" s="14" t="s">
        <v>43</v>
      </c>
      <c r="E542" s="20">
        <v>108312</v>
      </c>
      <c r="F542" s="20">
        <v>270780</v>
      </c>
      <c r="G542" s="20">
        <v>102285</v>
      </c>
      <c r="H542" s="20">
        <v>255703</v>
      </c>
      <c r="I542" s="20"/>
      <c r="J542" s="20"/>
      <c r="K542" s="20">
        <v>4462</v>
      </c>
      <c r="L542" s="20">
        <v>11155</v>
      </c>
      <c r="M542" s="20"/>
      <c r="N542" s="20"/>
      <c r="O542" s="20"/>
      <c r="P542" s="20"/>
      <c r="Q542" s="20"/>
      <c r="R542" s="20"/>
      <c r="S542" s="20">
        <v>2612</v>
      </c>
      <c r="T542" s="20">
        <v>6530</v>
      </c>
      <c r="U542" s="20"/>
      <c r="V542" s="20"/>
      <c r="W542" s="20"/>
      <c r="X542" s="20"/>
      <c r="Y542" s="20"/>
      <c r="Z542" s="20"/>
      <c r="AA542" s="20"/>
      <c r="AB542" s="20"/>
      <c r="AC542" s="22">
        <f t="shared" si="22"/>
        <v>217671</v>
      </c>
      <c r="AD542" s="22">
        <f t="shared" si="21"/>
        <v>544168</v>
      </c>
    </row>
    <row r="543" spans="1:30" x14ac:dyDescent="0.25">
      <c r="A543" s="13">
        <v>854</v>
      </c>
      <c r="B543" s="14" t="s">
        <v>1124</v>
      </c>
      <c r="C543" s="26" t="s">
        <v>1125</v>
      </c>
      <c r="D543" s="14" t="s">
        <v>43</v>
      </c>
      <c r="E543" s="20">
        <v>358</v>
      </c>
      <c r="F543" s="20">
        <v>892</v>
      </c>
      <c r="G543" s="20">
        <v>152474</v>
      </c>
      <c r="H543" s="20">
        <v>381173</v>
      </c>
      <c r="I543" s="20"/>
      <c r="J543" s="20"/>
      <c r="K543" s="20">
        <v>2193</v>
      </c>
      <c r="L543" s="20">
        <v>5473</v>
      </c>
      <c r="M543" s="20"/>
      <c r="N543" s="20"/>
      <c r="O543" s="20"/>
      <c r="P543" s="20"/>
      <c r="Q543" s="20"/>
      <c r="R543" s="20"/>
      <c r="S543" s="20">
        <v>400</v>
      </c>
      <c r="T543" s="20">
        <v>1000</v>
      </c>
      <c r="U543" s="20"/>
      <c r="V543" s="20"/>
      <c r="W543" s="20"/>
      <c r="X543" s="20"/>
      <c r="Y543" s="20"/>
      <c r="Z543" s="20"/>
      <c r="AA543" s="20"/>
      <c r="AB543" s="20"/>
      <c r="AC543" s="22">
        <f t="shared" si="22"/>
        <v>155425</v>
      </c>
      <c r="AD543" s="22">
        <f t="shared" si="21"/>
        <v>388538</v>
      </c>
    </row>
    <row r="544" spans="1:30" x14ac:dyDescent="0.25">
      <c r="A544" s="13">
        <v>855</v>
      </c>
      <c r="B544" s="14" t="s">
        <v>1126</v>
      </c>
      <c r="C544" s="26" t="s">
        <v>1127</v>
      </c>
      <c r="D544" s="14" t="s">
        <v>43</v>
      </c>
      <c r="E544" s="20">
        <v>77346</v>
      </c>
      <c r="F544" s="20">
        <v>193362</v>
      </c>
      <c r="G544" s="20">
        <v>277894</v>
      </c>
      <c r="H544" s="20">
        <v>694717</v>
      </c>
      <c r="I544" s="20"/>
      <c r="J544" s="20"/>
      <c r="K544" s="20">
        <v>27577</v>
      </c>
      <c r="L544" s="20">
        <v>68918</v>
      </c>
      <c r="M544" s="20"/>
      <c r="N544" s="20"/>
      <c r="O544" s="20"/>
      <c r="P544" s="20"/>
      <c r="Q544" s="20"/>
      <c r="R544" s="20"/>
      <c r="S544" s="20">
        <v>1250</v>
      </c>
      <c r="T544" s="20">
        <v>3125</v>
      </c>
      <c r="U544" s="20"/>
      <c r="V544" s="20"/>
      <c r="W544" s="20"/>
      <c r="X544" s="20"/>
      <c r="Y544" s="20"/>
      <c r="Z544" s="20"/>
      <c r="AA544" s="20"/>
      <c r="AB544" s="20"/>
      <c r="AC544" s="22">
        <f t="shared" si="22"/>
        <v>384067</v>
      </c>
      <c r="AD544" s="22">
        <f t="shared" si="21"/>
        <v>960122</v>
      </c>
    </row>
    <row r="545" spans="1:30" x14ac:dyDescent="0.25">
      <c r="A545" s="13">
        <v>856</v>
      </c>
      <c r="B545" s="14" t="s">
        <v>1128</v>
      </c>
      <c r="C545" s="26" t="s">
        <v>1129</v>
      </c>
      <c r="D545" s="14" t="s">
        <v>45</v>
      </c>
      <c r="E545" s="20">
        <v>3894</v>
      </c>
      <c r="F545" s="20">
        <v>9733</v>
      </c>
      <c r="G545" s="20">
        <v>151886</v>
      </c>
      <c r="H545" s="20">
        <v>379697</v>
      </c>
      <c r="I545" s="20"/>
      <c r="J545" s="20"/>
      <c r="K545" s="20">
        <v>8075</v>
      </c>
      <c r="L545" s="20">
        <v>20173</v>
      </c>
      <c r="M545" s="20"/>
      <c r="N545" s="20"/>
      <c r="O545" s="20"/>
      <c r="P545" s="20"/>
      <c r="Q545" s="20"/>
      <c r="R545" s="20"/>
      <c r="S545" s="20">
        <v>240</v>
      </c>
      <c r="T545" s="20">
        <v>600</v>
      </c>
      <c r="U545" s="20"/>
      <c r="V545" s="20"/>
      <c r="W545" s="20"/>
      <c r="X545" s="20"/>
      <c r="Y545" s="20"/>
      <c r="Z545" s="20"/>
      <c r="AA545" s="20"/>
      <c r="AB545" s="20"/>
      <c r="AC545" s="22">
        <f t="shared" si="22"/>
        <v>164095</v>
      </c>
      <c r="AD545" s="22">
        <f t="shared" si="21"/>
        <v>410203</v>
      </c>
    </row>
    <row r="546" spans="1:30" x14ac:dyDescent="0.25">
      <c r="A546" s="13">
        <v>858</v>
      </c>
      <c r="B546" s="14" t="s">
        <v>1130</v>
      </c>
      <c r="C546" s="26" t="s">
        <v>1131</v>
      </c>
      <c r="D546" s="14" t="s">
        <v>43</v>
      </c>
      <c r="E546" s="20">
        <v>1034</v>
      </c>
      <c r="F546" s="20">
        <v>2582</v>
      </c>
      <c r="G546" s="20">
        <v>21727</v>
      </c>
      <c r="H546" s="20">
        <v>54298</v>
      </c>
      <c r="I546" s="20"/>
      <c r="J546" s="20"/>
      <c r="K546" s="20">
        <v>3092</v>
      </c>
      <c r="L546" s="20">
        <v>7724</v>
      </c>
      <c r="M546" s="20"/>
      <c r="N546" s="20"/>
      <c r="O546" s="20"/>
      <c r="P546" s="20"/>
      <c r="Q546" s="20"/>
      <c r="R546" s="20"/>
      <c r="S546" s="20">
        <v>8</v>
      </c>
      <c r="T546" s="20">
        <v>20</v>
      </c>
      <c r="U546" s="20"/>
      <c r="V546" s="20"/>
      <c r="W546" s="20"/>
      <c r="X546" s="20"/>
      <c r="Y546" s="20"/>
      <c r="Z546" s="20"/>
      <c r="AA546" s="20"/>
      <c r="AB546" s="20"/>
      <c r="AC546" s="22">
        <f t="shared" si="22"/>
        <v>25861</v>
      </c>
      <c r="AD546" s="22">
        <f t="shared" si="21"/>
        <v>64624</v>
      </c>
    </row>
    <row r="547" spans="1:30" x14ac:dyDescent="0.25">
      <c r="A547" s="13">
        <v>860</v>
      </c>
      <c r="B547" s="14" t="s">
        <v>1132</v>
      </c>
      <c r="C547" s="26" t="s">
        <v>1133</v>
      </c>
      <c r="D547" s="14" t="s">
        <v>43</v>
      </c>
      <c r="E547" s="20">
        <v>711</v>
      </c>
      <c r="F547" s="20">
        <v>1777</v>
      </c>
      <c r="G547" s="20">
        <v>29872</v>
      </c>
      <c r="H547" s="20">
        <v>74655</v>
      </c>
      <c r="I547" s="20"/>
      <c r="J547" s="20"/>
      <c r="K547" s="20">
        <v>6600</v>
      </c>
      <c r="L547" s="20">
        <v>16494</v>
      </c>
      <c r="M547" s="20"/>
      <c r="N547" s="20"/>
      <c r="O547" s="20"/>
      <c r="P547" s="20"/>
      <c r="Q547" s="20">
        <v>49180</v>
      </c>
      <c r="R547" s="20">
        <v>122950</v>
      </c>
      <c r="S547" s="20">
        <v>2310</v>
      </c>
      <c r="T547" s="20">
        <v>5775</v>
      </c>
      <c r="U547" s="20"/>
      <c r="V547" s="20"/>
      <c r="W547" s="20"/>
      <c r="X547" s="20"/>
      <c r="Y547" s="20"/>
      <c r="Z547" s="20"/>
      <c r="AA547" s="20">
        <v>4</v>
      </c>
      <c r="AB547" s="20">
        <v>10</v>
      </c>
      <c r="AC547" s="22">
        <f t="shared" si="22"/>
        <v>88677</v>
      </c>
      <c r="AD547" s="22">
        <f t="shared" si="21"/>
        <v>221661</v>
      </c>
    </row>
    <row r="548" spans="1:30" x14ac:dyDescent="0.25">
      <c r="A548" s="13">
        <v>861</v>
      </c>
      <c r="B548" s="14" t="s">
        <v>1134</v>
      </c>
      <c r="C548" s="26" t="s">
        <v>1135</v>
      </c>
      <c r="D548" s="14" t="s">
        <v>43</v>
      </c>
      <c r="E548" s="20">
        <v>2996</v>
      </c>
      <c r="F548" s="20">
        <v>7488</v>
      </c>
      <c r="G548" s="20">
        <v>14575</v>
      </c>
      <c r="H548" s="20">
        <v>36426</v>
      </c>
      <c r="I548" s="20"/>
      <c r="J548" s="20"/>
      <c r="K548" s="20">
        <v>23421</v>
      </c>
      <c r="L548" s="20">
        <v>58528</v>
      </c>
      <c r="M548" s="20"/>
      <c r="N548" s="20"/>
      <c r="O548" s="20"/>
      <c r="P548" s="20"/>
      <c r="Q548" s="20">
        <v>186208</v>
      </c>
      <c r="R548" s="20">
        <v>465520</v>
      </c>
      <c r="S548" s="20">
        <v>2812</v>
      </c>
      <c r="T548" s="20">
        <v>7030</v>
      </c>
      <c r="U548" s="20"/>
      <c r="V548" s="20"/>
      <c r="W548" s="20"/>
      <c r="X548" s="20"/>
      <c r="Y548" s="20"/>
      <c r="Z548" s="20"/>
      <c r="AA548" s="20">
        <v>848</v>
      </c>
      <c r="AB548" s="20">
        <v>2120</v>
      </c>
      <c r="AC548" s="22">
        <f t="shared" si="22"/>
        <v>230860</v>
      </c>
      <c r="AD548" s="22">
        <f t="shared" si="21"/>
        <v>577112</v>
      </c>
    </row>
    <row r="549" spans="1:30" x14ac:dyDescent="0.25">
      <c r="A549" s="13">
        <v>868</v>
      </c>
      <c r="B549" s="14" t="s">
        <v>1136</v>
      </c>
      <c r="C549" s="26" t="s">
        <v>1137</v>
      </c>
      <c r="D549" s="14" t="s">
        <v>43</v>
      </c>
      <c r="E549" s="20">
        <v>6234</v>
      </c>
      <c r="F549" s="20">
        <v>15584</v>
      </c>
      <c r="G549" s="20">
        <v>28520</v>
      </c>
      <c r="H549" s="20">
        <v>71207</v>
      </c>
      <c r="I549" s="20"/>
      <c r="J549" s="20"/>
      <c r="K549" s="20">
        <v>7813</v>
      </c>
      <c r="L549" s="20">
        <v>19506</v>
      </c>
      <c r="M549" s="20"/>
      <c r="N549" s="20"/>
      <c r="O549" s="20"/>
      <c r="P549" s="20"/>
      <c r="Q549" s="20"/>
      <c r="R549" s="20"/>
      <c r="S549" s="20"/>
      <c r="T549" s="20"/>
      <c r="U549" s="20"/>
      <c r="V549" s="20"/>
      <c r="W549" s="20"/>
      <c r="X549" s="20"/>
      <c r="Y549" s="20"/>
      <c r="Z549" s="20"/>
      <c r="AA549" s="20"/>
      <c r="AB549" s="20"/>
      <c r="AC549" s="22">
        <f t="shared" si="22"/>
        <v>42567</v>
      </c>
      <c r="AD549" s="22">
        <f t="shared" si="21"/>
        <v>106297</v>
      </c>
    </row>
    <row r="550" spans="1:30" x14ac:dyDescent="0.25">
      <c r="A550" s="13">
        <v>869</v>
      </c>
      <c r="B550" s="14" t="s">
        <v>1138</v>
      </c>
      <c r="C550" s="26" t="s">
        <v>1139</v>
      </c>
      <c r="D550" s="14" t="s">
        <v>43</v>
      </c>
      <c r="E550" s="20">
        <v>19578</v>
      </c>
      <c r="F550" s="20">
        <v>48944</v>
      </c>
      <c r="G550" s="20">
        <v>38207</v>
      </c>
      <c r="H550" s="20">
        <v>95419</v>
      </c>
      <c r="I550" s="20"/>
      <c r="J550" s="20"/>
      <c r="K550" s="20">
        <v>19104</v>
      </c>
      <c r="L550" s="20">
        <v>47736</v>
      </c>
      <c r="M550" s="20"/>
      <c r="N550" s="20"/>
      <c r="O550" s="20"/>
      <c r="P550" s="20"/>
      <c r="Q550" s="20"/>
      <c r="R550" s="20"/>
      <c r="S550" s="20"/>
      <c r="T550" s="20"/>
      <c r="U550" s="20"/>
      <c r="V550" s="20"/>
      <c r="W550" s="20"/>
      <c r="X550" s="20"/>
      <c r="Y550" s="20"/>
      <c r="Z550" s="20"/>
      <c r="AA550" s="20"/>
      <c r="AB550" s="20"/>
      <c r="AC550" s="22">
        <f t="shared" si="22"/>
        <v>76889</v>
      </c>
      <c r="AD550" s="22">
        <f t="shared" si="21"/>
        <v>192099</v>
      </c>
    </row>
    <row r="551" spans="1:30" x14ac:dyDescent="0.25">
      <c r="A551" s="13">
        <v>872</v>
      </c>
      <c r="B551" s="14" t="s">
        <v>1140</v>
      </c>
      <c r="C551" s="26" t="s">
        <v>1141</v>
      </c>
      <c r="D551" s="14" t="s">
        <v>43</v>
      </c>
      <c r="E551" s="20">
        <v>384</v>
      </c>
      <c r="F551" s="20">
        <v>960</v>
      </c>
      <c r="G551" s="20">
        <v>12554</v>
      </c>
      <c r="H551" s="20">
        <v>31345</v>
      </c>
      <c r="I551" s="20"/>
      <c r="J551" s="20"/>
      <c r="K551" s="20">
        <v>3460</v>
      </c>
      <c r="L551" s="20">
        <v>8642</v>
      </c>
      <c r="M551" s="20"/>
      <c r="N551" s="20"/>
      <c r="O551" s="20"/>
      <c r="P551" s="20"/>
      <c r="Q551" s="20"/>
      <c r="R551" s="20"/>
      <c r="S551" s="20"/>
      <c r="T551" s="20"/>
      <c r="U551" s="20"/>
      <c r="V551" s="20"/>
      <c r="W551" s="20"/>
      <c r="X551" s="20"/>
      <c r="Y551" s="20"/>
      <c r="Z551" s="20"/>
      <c r="AA551" s="20"/>
      <c r="AB551" s="20"/>
      <c r="AC551" s="22">
        <f t="shared" si="22"/>
        <v>16398</v>
      </c>
      <c r="AD551" s="22">
        <f t="shared" si="21"/>
        <v>40947</v>
      </c>
    </row>
    <row r="552" spans="1:30" x14ac:dyDescent="0.25">
      <c r="A552" s="13">
        <v>873</v>
      </c>
      <c r="B552" s="14" t="s">
        <v>1142</v>
      </c>
      <c r="C552" s="26" t="s">
        <v>1143</v>
      </c>
      <c r="D552" s="14" t="s">
        <v>43</v>
      </c>
      <c r="E552" s="20">
        <v>1096</v>
      </c>
      <c r="F552" s="20">
        <v>2736</v>
      </c>
      <c r="G552" s="20">
        <v>46991</v>
      </c>
      <c r="H552" s="20">
        <v>117455</v>
      </c>
      <c r="I552" s="20"/>
      <c r="J552" s="20"/>
      <c r="K552" s="20">
        <v>7609</v>
      </c>
      <c r="L552" s="20">
        <v>19002</v>
      </c>
      <c r="M552" s="20"/>
      <c r="N552" s="20"/>
      <c r="O552" s="20"/>
      <c r="P552" s="20"/>
      <c r="Q552" s="20"/>
      <c r="R552" s="20"/>
      <c r="S552" s="20">
        <v>12</v>
      </c>
      <c r="T552" s="20">
        <v>30</v>
      </c>
      <c r="U552" s="20"/>
      <c r="V552" s="20"/>
      <c r="W552" s="20"/>
      <c r="X552" s="20"/>
      <c r="Y552" s="20"/>
      <c r="Z552" s="20"/>
      <c r="AA552" s="20"/>
      <c r="AB552" s="20"/>
      <c r="AC552" s="22">
        <f t="shared" si="22"/>
        <v>55708</v>
      </c>
      <c r="AD552" s="22">
        <f t="shared" si="21"/>
        <v>139223</v>
      </c>
    </row>
    <row r="553" spans="1:30" x14ac:dyDescent="0.25">
      <c r="A553" s="13">
        <v>876</v>
      </c>
      <c r="B553" s="14" t="s">
        <v>1144</v>
      </c>
      <c r="C553" s="26" t="s">
        <v>1145</v>
      </c>
      <c r="D553" s="14" t="s">
        <v>43</v>
      </c>
      <c r="E553" s="20">
        <v>140</v>
      </c>
      <c r="F553" s="20">
        <v>346</v>
      </c>
      <c r="G553" s="20">
        <v>382</v>
      </c>
      <c r="H553" s="20">
        <v>950</v>
      </c>
      <c r="I553" s="20"/>
      <c r="J553" s="20"/>
      <c r="K553" s="20">
        <v>699</v>
      </c>
      <c r="L553" s="20">
        <v>1741</v>
      </c>
      <c r="M553" s="20"/>
      <c r="N553" s="20"/>
      <c r="O553" s="20"/>
      <c r="P553" s="20"/>
      <c r="Q553" s="20"/>
      <c r="R553" s="20"/>
      <c r="S553" s="20"/>
      <c r="T553" s="20"/>
      <c r="U553" s="20"/>
      <c r="V553" s="20"/>
      <c r="W553" s="20"/>
      <c r="X553" s="20"/>
      <c r="Y553" s="20"/>
      <c r="Z553" s="20"/>
      <c r="AA553" s="20"/>
      <c r="AB553" s="20"/>
      <c r="AC553" s="22">
        <f t="shared" si="22"/>
        <v>1221</v>
      </c>
      <c r="AD553" s="22">
        <f t="shared" si="21"/>
        <v>3037</v>
      </c>
    </row>
    <row r="554" spans="1:30" x14ac:dyDescent="0.25">
      <c r="A554" s="13">
        <v>879</v>
      </c>
      <c r="B554" s="14" t="s">
        <v>1146</v>
      </c>
      <c r="C554" s="26" t="s">
        <v>1147</v>
      </c>
      <c r="D554" s="14" t="s">
        <v>45</v>
      </c>
      <c r="E554" s="20">
        <v>48374</v>
      </c>
      <c r="F554" s="20">
        <v>120934</v>
      </c>
      <c r="G554" s="20">
        <v>5971</v>
      </c>
      <c r="H554" s="20">
        <v>14892</v>
      </c>
      <c r="I554" s="20"/>
      <c r="J554" s="20"/>
      <c r="K554" s="20">
        <v>44708</v>
      </c>
      <c r="L554" s="20">
        <v>111757</v>
      </c>
      <c r="M554" s="20"/>
      <c r="N554" s="20"/>
      <c r="O554" s="20"/>
      <c r="P554" s="20"/>
      <c r="Q554" s="20"/>
      <c r="R554" s="20"/>
      <c r="S554" s="20">
        <v>4</v>
      </c>
      <c r="T554" s="20">
        <v>6</v>
      </c>
      <c r="U554" s="20"/>
      <c r="V554" s="20"/>
      <c r="W554" s="20"/>
      <c r="X554" s="20"/>
      <c r="Y554" s="20"/>
      <c r="Z554" s="20"/>
      <c r="AA554" s="20"/>
      <c r="AB554" s="20"/>
      <c r="AC554" s="22">
        <f t="shared" si="22"/>
        <v>99057</v>
      </c>
      <c r="AD554" s="22">
        <f t="shared" si="21"/>
        <v>247589</v>
      </c>
    </row>
    <row r="555" spans="1:30" x14ac:dyDescent="0.25">
      <c r="A555" s="13">
        <v>893</v>
      </c>
      <c r="B555" s="14" t="s">
        <v>1148</v>
      </c>
      <c r="C555" s="26" t="s">
        <v>1149</v>
      </c>
      <c r="D555" s="14" t="s">
        <v>43</v>
      </c>
      <c r="E555" s="20">
        <v>4529</v>
      </c>
      <c r="F555" s="20">
        <v>11320</v>
      </c>
      <c r="G555" s="20">
        <v>107327</v>
      </c>
      <c r="H555" s="20">
        <v>268282</v>
      </c>
      <c r="I555" s="20"/>
      <c r="J555" s="20"/>
      <c r="K555" s="20">
        <v>1569</v>
      </c>
      <c r="L555" s="20">
        <v>3919</v>
      </c>
      <c r="M555" s="20"/>
      <c r="N555" s="20"/>
      <c r="O555" s="20"/>
      <c r="P555" s="20"/>
      <c r="Q555" s="20"/>
      <c r="R555" s="20"/>
      <c r="S555" s="20">
        <v>1240</v>
      </c>
      <c r="T555" s="20">
        <v>3100</v>
      </c>
      <c r="U555" s="20"/>
      <c r="V555" s="20"/>
      <c r="W555" s="20"/>
      <c r="X555" s="20"/>
      <c r="Y555" s="20"/>
      <c r="Z555" s="20"/>
      <c r="AA555" s="20"/>
      <c r="AB555" s="20"/>
      <c r="AC555" s="22">
        <f t="shared" si="22"/>
        <v>114665</v>
      </c>
      <c r="AD555" s="22">
        <f t="shared" si="21"/>
        <v>286621</v>
      </c>
    </row>
    <row r="556" spans="1:30" x14ac:dyDescent="0.25">
      <c r="A556" s="13">
        <v>896</v>
      </c>
      <c r="B556" s="14" t="s">
        <v>1150</v>
      </c>
      <c r="C556" s="26" t="s">
        <v>1151</v>
      </c>
      <c r="D556" s="14" t="s">
        <v>43</v>
      </c>
      <c r="E556" s="20"/>
      <c r="F556" s="20"/>
      <c r="G556" s="20">
        <v>1022</v>
      </c>
      <c r="H556" s="20">
        <v>2548</v>
      </c>
      <c r="I556" s="20"/>
      <c r="J556" s="20"/>
      <c r="K556" s="20">
        <v>1520</v>
      </c>
      <c r="L556" s="20">
        <v>3800</v>
      </c>
      <c r="M556" s="20"/>
      <c r="N556" s="20"/>
      <c r="O556" s="20"/>
      <c r="P556" s="20"/>
      <c r="Q556" s="20"/>
      <c r="R556" s="20"/>
      <c r="S556" s="20"/>
      <c r="T556" s="20"/>
      <c r="U556" s="20"/>
      <c r="V556" s="20"/>
      <c r="W556" s="20"/>
      <c r="X556" s="20"/>
      <c r="Y556" s="20"/>
      <c r="Z556" s="20"/>
      <c r="AA556" s="20"/>
      <c r="AB556" s="20"/>
      <c r="AC556" s="22">
        <f t="shared" si="22"/>
        <v>2542</v>
      </c>
      <c r="AD556" s="22">
        <f t="shared" si="21"/>
        <v>6348</v>
      </c>
    </row>
    <row r="557" spans="1:30" x14ac:dyDescent="0.25">
      <c r="A557" s="13">
        <v>897</v>
      </c>
      <c r="B557" s="14" t="s">
        <v>1152</v>
      </c>
      <c r="C557" s="26" t="s">
        <v>1153</v>
      </c>
      <c r="D557" s="14" t="s">
        <v>43</v>
      </c>
      <c r="E557" s="20">
        <v>52016</v>
      </c>
      <c r="F557" s="20">
        <v>130040</v>
      </c>
      <c r="G557" s="20">
        <v>199809</v>
      </c>
      <c r="H557" s="20">
        <v>499509</v>
      </c>
      <c r="I557" s="20"/>
      <c r="J557" s="20"/>
      <c r="K557" s="20">
        <v>4730</v>
      </c>
      <c r="L557" s="20">
        <v>11821</v>
      </c>
      <c r="M557" s="20"/>
      <c r="N557" s="20"/>
      <c r="O557" s="20"/>
      <c r="P557" s="20"/>
      <c r="Q557" s="20"/>
      <c r="R557" s="20"/>
      <c r="S557" s="20">
        <v>160</v>
      </c>
      <c r="T557" s="20">
        <v>400</v>
      </c>
      <c r="U557" s="20"/>
      <c r="V557" s="20"/>
      <c r="W557" s="20"/>
      <c r="X557" s="20"/>
      <c r="Y557" s="20"/>
      <c r="Z557" s="20"/>
      <c r="AA557" s="20">
        <v>2</v>
      </c>
      <c r="AB557" s="20">
        <v>4</v>
      </c>
      <c r="AC557" s="22">
        <f t="shared" si="22"/>
        <v>256717</v>
      </c>
      <c r="AD557" s="22">
        <f t="shared" si="21"/>
        <v>641774</v>
      </c>
    </row>
    <row r="558" spans="1:30" x14ac:dyDescent="0.25">
      <c r="A558" s="13">
        <v>898</v>
      </c>
      <c r="B558" s="14" t="s">
        <v>1154</v>
      </c>
      <c r="C558" s="26" t="s">
        <v>1155</v>
      </c>
      <c r="D558" s="14" t="s">
        <v>1286</v>
      </c>
      <c r="E558" s="20">
        <v>58</v>
      </c>
      <c r="F558" s="20">
        <v>144</v>
      </c>
      <c r="G558" s="20">
        <v>10111</v>
      </c>
      <c r="H558" s="20">
        <v>25243</v>
      </c>
      <c r="I558" s="20"/>
      <c r="J558" s="20"/>
      <c r="K558" s="20">
        <v>3416</v>
      </c>
      <c r="L558" s="20">
        <v>8537</v>
      </c>
      <c r="M558" s="20"/>
      <c r="N558" s="20"/>
      <c r="O558" s="20"/>
      <c r="P558" s="20"/>
      <c r="Q558" s="20"/>
      <c r="R558" s="20"/>
      <c r="S558" s="20"/>
      <c r="T558" s="20"/>
      <c r="U558" s="20"/>
      <c r="V558" s="20"/>
      <c r="W558" s="20"/>
      <c r="X558" s="20"/>
      <c r="Y558" s="20"/>
      <c r="Z558" s="20"/>
      <c r="AA558" s="20"/>
      <c r="AB558" s="20"/>
      <c r="AC558" s="22">
        <f t="shared" si="22"/>
        <v>13585</v>
      </c>
      <c r="AD558" s="22">
        <f t="shared" si="21"/>
        <v>33924</v>
      </c>
    </row>
    <row r="559" spans="1:30" x14ac:dyDescent="0.25">
      <c r="A559" s="13">
        <v>911</v>
      </c>
      <c r="B559" s="14" t="s">
        <v>1156</v>
      </c>
      <c r="C559" s="26" t="s">
        <v>1157</v>
      </c>
      <c r="D559" s="14" t="s">
        <v>43</v>
      </c>
      <c r="E559" s="20">
        <v>52538</v>
      </c>
      <c r="F559" s="20">
        <v>131344</v>
      </c>
      <c r="G559" s="20">
        <v>1535</v>
      </c>
      <c r="H559" s="20">
        <v>3825</v>
      </c>
      <c r="I559" s="20"/>
      <c r="J559" s="20"/>
      <c r="K559" s="20">
        <v>1469</v>
      </c>
      <c r="L559" s="20">
        <v>3665</v>
      </c>
      <c r="M559" s="20"/>
      <c r="N559" s="20"/>
      <c r="O559" s="20"/>
      <c r="P559" s="20"/>
      <c r="Q559" s="20"/>
      <c r="R559" s="20"/>
      <c r="S559" s="20"/>
      <c r="T559" s="20"/>
      <c r="U559" s="20"/>
      <c r="V559" s="20"/>
      <c r="W559" s="20"/>
      <c r="X559" s="20"/>
      <c r="Y559" s="20"/>
      <c r="Z559" s="20"/>
      <c r="AA559" s="20"/>
      <c r="AB559" s="20"/>
      <c r="AC559" s="22">
        <f t="shared" si="22"/>
        <v>55542</v>
      </c>
      <c r="AD559" s="22">
        <f t="shared" si="21"/>
        <v>138834</v>
      </c>
    </row>
    <row r="560" spans="1:30" x14ac:dyDescent="0.25">
      <c r="A560" s="13">
        <v>912</v>
      </c>
      <c r="B560" s="14" t="s">
        <v>1158</v>
      </c>
      <c r="C560" s="26" t="s">
        <v>1159</v>
      </c>
      <c r="D560" s="14" t="s">
        <v>43</v>
      </c>
      <c r="E560" s="20">
        <v>9572</v>
      </c>
      <c r="F560" s="20">
        <v>23928</v>
      </c>
      <c r="G560" s="20">
        <v>840</v>
      </c>
      <c r="H560" s="20">
        <v>2093</v>
      </c>
      <c r="I560" s="20"/>
      <c r="J560" s="20"/>
      <c r="K560" s="20">
        <v>1401</v>
      </c>
      <c r="L560" s="20">
        <v>3500</v>
      </c>
      <c r="M560" s="20"/>
      <c r="N560" s="20"/>
      <c r="O560" s="20"/>
      <c r="P560" s="20"/>
      <c r="Q560" s="20"/>
      <c r="R560" s="20"/>
      <c r="S560" s="20"/>
      <c r="T560" s="20"/>
      <c r="U560" s="20"/>
      <c r="V560" s="20"/>
      <c r="W560" s="20"/>
      <c r="X560" s="20"/>
      <c r="Y560" s="20"/>
      <c r="Z560" s="20"/>
      <c r="AA560" s="20"/>
      <c r="AB560" s="20"/>
      <c r="AC560" s="22">
        <f t="shared" si="22"/>
        <v>11813</v>
      </c>
      <c r="AD560" s="22">
        <f t="shared" si="21"/>
        <v>29521</v>
      </c>
    </row>
    <row r="561" spans="1:30" x14ac:dyDescent="0.25">
      <c r="A561" s="13">
        <v>914</v>
      </c>
      <c r="B561" s="14" t="s">
        <v>1160</v>
      </c>
      <c r="C561" s="26" t="s">
        <v>1161</v>
      </c>
      <c r="D561" s="14" t="s">
        <v>43</v>
      </c>
      <c r="E561" s="20">
        <v>3106</v>
      </c>
      <c r="F561" s="20">
        <v>7764</v>
      </c>
      <c r="G561" s="20">
        <v>1144</v>
      </c>
      <c r="H561" s="20">
        <v>2858</v>
      </c>
      <c r="I561" s="20"/>
      <c r="J561" s="20"/>
      <c r="K561" s="20">
        <v>512</v>
      </c>
      <c r="L561" s="20">
        <v>1277</v>
      </c>
      <c r="M561" s="20"/>
      <c r="N561" s="20"/>
      <c r="O561" s="20"/>
      <c r="P561" s="20"/>
      <c r="Q561" s="20"/>
      <c r="R561" s="20"/>
      <c r="S561" s="20"/>
      <c r="T561" s="20"/>
      <c r="U561" s="20"/>
      <c r="V561" s="20"/>
      <c r="W561" s="20"/>
      <c r="X561" s="20"/>
      <c r="Y561" s="20"/>
      <c r="Z561" s="20"/>
      <c r="AA561" s="20"/>
      <c r="AB561" s="20"/>
      <c r="AC561" s="22">
        <f t="shared" si="22"/>
        <v>4762</v>
      </c>
      <c r="AD561" s="22">
        <f t="shared" si="21"/>
        <v>11899</v>
      </c>
    </row>
    <row r="562" spans="1:30" x14ac:dyDescent="0.25">
      <c r="A562" s="13">
        <v>915</v>
      </c>
      <c r="B562" s="14" t="s">
        <v>1162</v>
      </c>
      <c r="C562" s="26" t="s">
        <v>1163</v>
      </c>
      <c r="D562" s="14" t="s">
        <v>43</v>
      </c>
      <c r="E562" s="20"/>
      <c r="F562" s="20"/>
      <c r="G562" s="20">
        <v>600</v>
      </c>
      <c r="H562" s="20">
        <v>1498</v>
      </c>
      <c r="I562" s="20"/>
      <c r="J562" s="20"/>
      <c r="K562" s="20">
        <v>574</v>
      </c>
      <c r="L562" s="20">
        <v>1432</v>
      </c>
      <c r="M562" s="20"/>
      <c r="N562" s="20"/>
      <c r="O562" s="20"/>
      <c r="P562" s="20"/>
      <c r="Q562" s="20"/>
      <c r="R562" s="20"/>
      <c r="S562" s="20"/>
      <c r="T562" s="20"/>
      <c r="U562" s="20"/>
      <c r="V562" s="20"/>
      <c r="W562" s="20"/>
      <c r="X562" s="20"/>
      <c r="Y562" s="20"/>
      <c r="Z562" s="20"/>
      <c r="AA562" s="20"/>
      <c r="AB562" s="20"/>
      <c r="AC562" s="22">
        <f t="shared" si="22"/>
        <v>1174</v>
      </c>
      <c r="AD562" s="22">
        <f t="shared" si="21"/>
        <v>2930</v>
      </c>
    </row>
    <row r="563" spans="1:30" x14ac:dyDescent="0.25">
      <c r="A563" s="13">
        <v>916</v>
      </c>
      <c r="B563" s="14" t="s">
        <v>1164</v>
      </c>
      <c r="C563" s="26" t="s">
        <v>1165</v>
      </c>
      <c r="D563" s="14" t="s">
        <v>43</v>
      </c>
      <c r="E563" s="20">
        <v>672</v>
      </c>
      <c r="F563" s="20">
        <v>1680</v>
      </c>
      <c r="G563" s="20">
        <v>864</v>
      </c>
      <c r="H563" s="20">
        <v>2159</v>
      </c>
      <c r="I563" s="20"/>
      <c r="J563" s="20"/>
      <c r="K563" s="20">
        <v>654</v>
      </c>
      <c r="L563" s="20">
        <v>1629</v>
      </c>
      <c r="M563" s="20"/>
      <c r="N563" s="20"/>
      <c r="O563" s="20"/>
      <c r="P563" s="20"/>
      <c r="Q563" s="20"/>
      <c r="R563" s="20"/>
      <c r="S563" s="20"/>
      <c r="T563" s="20"/>
      <c r="U563" s="20"/>
      <c r="V563" s="20"/>
      <c r="W563" s="20"/>
      <c r="X563" s="20"/>
      <c r="Y563" s="20"/>
      <c r="Z563" s="20"/>
      <c r="AA563" s="20"/>
      <c r="AB563" s="20"/>
      <c r="AC563" s="22">
        <f t="shared" si="22"/>
        <v>2190</v>
      </c>
      <c r="AD563" s="22">
        <f t="shared" si="21"/>
        <v>5468</v>
      </c>
    </row>
    <row r="564" spans="1:30" x14ac:dyDescent="0.25">
      <c r="A564" s="13">
        <v>918</v>
      </c>
      <c r="B564" s="14" t="s">
        <v>1166</v>
      </c>
      <c r="C564" s="26" t="s">
        <v>1167</v>
      </c>
      <c r="D564" s="14" t="s">
        <v>45</v>
      </c>
      <c r="E564" s="20"/>
      <c r="F564" s="20"/>
      <c r="G564" s="20">
        <v>96</v>
      </c>
      <c r="H564" s="20">
        <v>240</v>
      </c>
      <c r="I564" s="20">
        <v>329</v>
      </c>
      <c r="J564" s="20">
        <v>822</v>
      </c>
      <c r="K564" s="20">
        <v>1980</v>
      </c>
      <c r="L564" s="20">
        <v>4943</v>
      </c>
      <c r="M564" s="20"/>
      <c r="N564" s="20"/>
      <c r="O564" s="20"/>
      <c r="P564" s="20"/>
      <c r="Q564" s="20"/>
      <c r="R564" s="20"/>
      <c r="S564" s="20"/>
      <c r="T564" s="20"/>
      <c r="U564" s="20"/>
      <c r="V564" s="20"/>
      <c r="W564" s="20"/>
      <c r="X564" s="20"/>
      <c r="Y564" s="20"/>
      <c r="Z564" s="20"/>
      <c r="AA564" s="20"/>
      <c r="AB564" s="20"/>
      <c r="AC564" s="22">
        <f t="shared" si="22"/>
        <v>2405</v>
      </c>
      <c r="AD564" s="22">
        <f t="shared" si="21"/>
        <v>6005</v>
      </c>
    </row>
    <row r="565" spans="1:30" x14ac:dyDescent="0.25">
      <c r="A565" s="13">
        <v>919</v>
      </c>
      <c r="B565" s="14" t="s">
        <v>1168</v>
      </c>
      <c r="C565" s="26" t="s">
        <v>1169</v>
      </c>
      <c r="D565" s="14" t="s">
        <v>45</v>
      </c>
      <c r="E565" s="20"/>
      <c r="F565" s="20"/>
      <c r="G565" s="20">
        <v>136</v>
      </c>
      <c r="H565" s="20">
        <v>340</v>
      </c>
      <c r="I565" s="20"/>
      <c r="J565" s="20"/>
      <c r="K565" s="20">
        <v>82</v>
      </c>
      <c r="L565" s="20">
        <v>200</v>
      </c>
      <c r="M565" s="20"/>
      <c r="N565" s="20"/>
      <c r="O565" s="20"/>
      <c r="P565" s="20"/>
      <c r="Q565" s="20"/>
      <c r="R565" s="20"/>
      <c r="S565" s="20"/>
      <c r="T565" s="20"/>
      <c r="U565" s="20"/>
      <c r="V565" s="20"/>
      <c r="W565" s="20"/>
      <c r="X565" s="20"/>
      <c r="Y565" s="20"/>
      <c r="Z565" s="20"/>
      <c r="AA565" s="20"/>
      <c r="AB565" s="20"/>
      <c r="AC565" s="22">
        <f t="shared" si="22"/>
        <v>218</v>
      </c>
      <c r="AD565" s="22">
        <f t="shared" si="21"/>
        <v>540</v>
      </c>
    </row>
    <row r="566" spans="1:30" x14ac:dyDescent="0.25">
      <c r="A566" s="13">
        <v>923</v>
      </c>
      <c r="B566" s="14" t="s">
        <v>1170</v>
      </c>
      <c r="C566" s="26" t="s">
        <v>1171</v>
      </c>
      <c r="D566" s="14" t="s">
        <v>1286</v>
      </c>
      <c r="E566" s="20"/>
      <c r="F566" s="20"/>
      <c r="G566" s="20">
        <v>583</v>
      </c>
      <c r="H566" s="20">
        <v>1455</v>
      </c>
      <c r="I566" s="20"/>
      <c r="J566" s="20"/>
      <c r="K566" s="20">
        <v>1228</v>
      </c>
      <c r="L566" s="20">
        <v>3068</v>
      </c>
      <c r="M566" s="20"/>
      <c r="N566" s="20"/>
      <c r="O566" s="20"/>
      <c r="P566" s="20"/>
      <c r="Q566" s="20"/>
      <c r="R566" s="20"/>
      <c r="S566" s="20"/>
      <c r="T566" s="20"/>
      <c r="U566" s="20"/>
      <c r="V566" s="20"/>
      <c r="W566" s="20"/>
      <c r="X566" s="20"/>
      <c r="Y566" s="20"/>
      <c r="Z566" s="20"/>
      <c r="AA566" s="20"/>
      <c r="AB566" s="20"/>
      <c r="AC566" s="22">
        <f t="shared" si="22"/>
        <v>1811</v>
      </c>
      <c r="AD566" s="22">
        <f t="shared" si="21"/>
        <v>4523</v>
      </c>
    </row>
    <row r="567" spans="1:30" x14ac:dyDescent="0.25">
      <c r="A567" s="13">
        <v>924</v>
      </c>
      <c r="B567" s="14" t="s">
        <v>1172</v>
      </c>
      <c r="C567" s="26" t="s">
        <v>1173</v>
      </c>
      <c r="D567" s="14" t="s">
        <v>1286</v>
      </c>
      <c r="E567" s="20"/>
      <c r="F567" s="20"/>
      <c r="G567" s="20">
        <v>1703</v>
      </c>
      <c r="H567" s="20">
        <v>4251</v>
      </c>
      <c r="I567" s="20"/>
      <c r="J567" s="20"/>
      <c r="K567" s="20">
        <v>1536</v>
      </c>
      <c r="L567" s="20">
        <v>3836</v>
      </c>
      <c r="M567" s="20"/>
      <c r="N567" s="20"/>
      <c r="O567" s="20"/>
      <c r="P567" s="20"/>
      <c r="Q567" s="20"/>
      <c r="R567" s="20"/>
      <c r="S567" s="20"/>
      <c r="T567" s="20"/>
      <c r="U567" s="20"/>
      <c r="V567" s="20"/>
      <c r="W567" s="20"/>
      <c r="X567" s="20"/>
      <c r="Y567" s="20"/>
      <c r="Z567" s="20"/>
      <c r="AA567" s="20"/>
      <c r="AB567" s="20"/>
      <c r="AC567" s="22">
        <f t="shared" si="22"/>
        <v>3239</v>
      </c>
      <c r="AD567" s="22">
        <f t="shared" si="21"/>
        <v>8087</v>
      </c>
    </row>
    <row r="568" spans="1:30" x14ac:dyDescent="0.25">
      <c r="A568" s="13">
        <v>930</v>
      </c>
      <c r="B568" s="14" t="s">
        <v>1174</v>
      </c>
      <c r="C568" s="26" t="s">
        <v>1175</v>
      </c>
      <c r="D568" s="14" t="s">
        <v>42</v>
      </c>
      <c r="E568" s="20">
        <v>51027</v>
      </c>
      <c r="F568" s="20">
        <v>127566</v>
      </c>
      <c r="G568" s="20">
        <v>71413</v>
      </c>
      <c r="H568" s="20">
        <v>178366</v>
      </c>
      <c r="I568" s="20">
        <v>2808</v>
      </c>
      <c r="J568" s="20">
        <v>7020</v>
      </c>
      <c r="K568" s="20">
        <v>5743</v>
      </c>
      <c r="L568" s="20">
        <v>14345</v>
      </c>
      <c r="M568" s="20"/>
      <c r="N568" s="20"/>
      <c r="O568" s="20"/>
      <c r="P568" s="20"/>
      <c r="Q568" s="20"/>
      <c r="R568" s="20"/>
      <c r="S568" s="20"/>
      <c r="T568" s="20"/>
      <c r="U568" s="20"/>
      <c r="V568" s="20"/>
      <c r="W568" s="20">
        <v>9182</v>
      </c>
      <c r="X568" s="20">
        <v>22892</v>
      </c>
      <c r="Y568" s="20"/>
      <c r="Z568" s="20"/>
      <c r="AA568" s="20"/>
      <c r="AB568" s="20"/>
      <c r="AC568" s="22">
        <f t="shared" si="22"/>
        <v>140173</v>
      </c>
      <c r="AD568" s="22">
        <f t="shared" si="21"/>
        <v>350189</v>
      </c>
    </row>
    <row r="569" spans="1:30" x14ac:dyDescent="0.25">
      <c r="A569" s="13">
        <v>931</v>
      </c>
      <c r="B569" s="14" t="s">
        <v>1176</v>
      </c>
      <c r="C569" s="26" t="s">
        <v>1177</v>
      </c>
      <c r="D569" s="14" t="s">
        <v>42</v>
      </c>
      <c r="E569" s="20">
        <v>259115</v>
      </c>
      <c r="F569" s="20">
        <v>647784</v>
      </c>
      <c r="G569" s="20">
        <v>35953</v>
      </c>
      <c r="H569" s="20">
        <v>89851</v>
      </c>
      <c r="I569" s="20">
        <v>74880</v>
      </c>
      <c r="J569" s="20">
        <v>187200</v>
      </c>
      <c r="K569" s="20">
        <v>13432</v>
      </c>
      <c r="L569" s="20">
        <v>33575</v>
      </c>
      <c r="M569" s="20"/>
      <c r="N569" s="20"/>
      <c r="O569" s="20"/>
      <c r="P569" s="20"/>
      <c r="Q569" s="20"/>
      <c r="R569" s="20"/>
      <c r="S569" s="20"/>
      <c r="T569" s="20"/>
      <c r="U569" s="20"/>
      <c r="V569" s="20"/>
      <c r="W569" s="20">
        <v>174002</v>
      </c>
      <c r="X569" s="20">
        <v>434948</v>
      </c>
      <c r="Y569" s="20"/>
      <c r="Z569" s="20"/>
      <c r="AA569" s="20"/>
      <c r="AB569" s="20"/>
      <c r="AC569" s="22">
        <f t="shared" si="22"/>
        <v>557382</v>
      </c>
      <c r="AD569" s="22">
        <f t="shared" si="21"/>
        <v>1393358</v>
      </c>
    </row>
    <row r="570" spans="1:30" x14ac:dyDescent="0.25">
      <c r="A570" s="13">
        <v>933</v>
      </c>
      <c r="B570" s="14" t="s">
        <v>1178</v>
      </c>
      <c r="C570" s="26" t="s">
        <v>1179</v>
      </c>
      <c r="D570" s="14" t="s">
        <v>43</v>
      </c>
      <c r="E570" s="20"/>
      <c r="F570" s="20"/>
      <c r="G570" s="20">
        <v>956</v>
      </c>
      <c r="H570" s="20">
        <v>2380</v>
      </c>
      <c r="I570" s="20"/>
      <c r="J570" s="20"/>
      <c r="K570" s="20">
        <v>246</v>
      </c>
      <c r="L570" s="20">
        <v>614</v>
      </c>
      <c r="M570" s="20"/>
      <c r="N570" s="20"/>
      <c r="O570" s="20"/>
      <c r="P570" s="20"/>
      <c r="Q570" s="20"/>
      <c r="R570" s="20"/>
      <c r="S570" s="20"/>
      <c r="T570" s="20"/>
      <c r="U570" s="20"/>
      <c r="V570" s="20"/>
      <c r="W570" s="20"/>
      <c r="X570" s="20"/>
      <c r="Y570" s="20"/>
      <c r="Z570" s="20"/>
      <c r="AA570" s="20"/>
      <c r="AB570" s="20"/>
      <c r="AC570" s="22">
        <f t="shared" si="22"/>
        <v>1202</v>
      </c>
      <c r="AD570" s="22">
        <f t="shared" si="21"/>
        <v>2994</v>
      </c>
    </row>
    <row r="571" spans="1:30" x14ac:dyDescent="0.25">
      <c r="A571" s="13">
        <v>934</v>
      </c>
      <c r="B571" s="14" t="s">
        <v>1180</v>
      </c>
      <c r="C571" s="26" t="s">
        <v>1181</v>
      </c>
      <c r="D571" s="14" t="s">
        <v>42</v>
      </c>
      <c r="E571" s="20">
        <v>102088</v>
      </c>
      <c r="F571" s="20">
        <v>255220</v>
      </c>
      <c r="G571" s="20">
        <v>30646</v>
      </c>
      <c r="H571" s="20">
        <v>76531</v>
      </c>
      <c r="I571" s="20">
        <v>7250</v>
      </c>
      <c r="J571" s="20">
        <v>18124</v>
      </c>
      <c r="K571" s="20">
        <v>2557</v>
      </c>
      <c r="L571" s="20">
        <v>6362</v>
      </c>
      <c r="M571" s="20">
        <v>286</v>
      </c>
      <c r="N571" s="20">
        <v>714</v>
      </c>
      <c r="O571" s="20"/>
      <c r="P571" s="20"/>
      <c r="Q571" s="20"/>
      <c r="R571" s="20"/>
      <c r="S571" s="20">
        <v>21</v>
      </c>
      <c r="T571" s="20">
        <v>52</v>
      </c>
      <c r="U571" s="20"/>
      <c r="V571" s="20"/>
      <c r="W571" s="20"/>
      <c r="X571" s="20"/>
      <c r="Y571" s="20"/>
      <c r="Z571" s="20"/>
      <c r="AA571" s="20"/>
      <c r="AB571" s="20"/>
      <c r="AC571" s="22">
        <f t="shared" si="22"/>
        <v>142848</v>
      </c>
      <c r="AD571" s="22">
        <f t="shared" si="21"/>
        <v>357003</v>
      </c>
    </row>
    <row r="572" spans="1:30" x14ac:dyDescent="0.25">
      <c r="A572" s="13">
        <v>935</v>
      </c>
      <c r="B572" s="14" t="s">
        <v>1182</v>
      </c>
      <c r="C572" s="26" t="s">
        <v>1183</v>
      </c>
      <c r="D572" s="14" t="s">
        <v>42</v>
      </c>
      <c r="E572" s="20">
        <v>21789</v>
      </c>
      <c r="F572" s="20">
        <v>54469</v>
      </c>
      <c r="G572" s="20">
        <v>12250</v>
      </c>
      <c r="H572" s="20">
        <v>30540</v>
      </c>
      <c r="I572" s="20"/>
      <c r="J572" s="20"/>
      <c r="K572" s="20">
        <v>564</v>
      </c>
      <c r="L572" s="20">
        <v>1368</v>
      </c>
      <c r="M572" s="20">
        <v>594</v>
      </c>
      <c r="N572" s="20">
        <v>1482</v>
      </c>
      <c r="O572" s="20"/>
      <c r="P572" s="20"/>
      <c r="Q572" s="20"/>
      <c r="R572" s="20"/>
      <c r="S572" s="20">
        <v>35</v>
      </c>
      <c r="T572" s="20">
        <v>85</v>
      </c>
      <c r="U572" s="20"/>
      <c r="V572" s="20"/>
      <c r="W572" s="20"/>
      <c r="X572" s="20"/>
      <c r="Y572" s="20"/>
      <c r="Z572" s="20"/>
      <c r="AA572" s="20">
        <v>26</v>
      </c>
      <c r="AB572" s="20">
        <v>58</v>
      </c>
      <c r="AC572" s="22">
        <f t="shared" si="22"/>
        <v>35258</v>
      </c>
      <c r="AD572" s="22">
        <f t="shared" si="21"/>
        <v>88002</v>
      </c>
    </row>
    <row r="573" spans="1:30" x14ac:dyDescent="0.25">
      <c r="A573" s="13">
        <v>936</v>
      </c>
      <c r="B573" s="14" t="s">
        <v>1184</v>
      </c>
      <c r="C573" s="26" t="s">
        <v>1185</v>
      </c>
      <c r="D573" s="14" t="s">
        <v>42</v>
      </c>
      <c r="E573" s="20">
        <v>47302</v>
      </c>
      <c r="F573" s="20">
        <v>118254</v>
      </c>
      <c r="G573" s="20">
        <v>23478</v>
      </c>
      <c r="H573" s="20">
        <v>58623</v>
      </c>
      <c r="I573" s="20">
        <v>6028</v>
      </c>
      <c r="J573" s="20">
        <v>15070</v>
      </c>
      <c r="K573" s="20">
        <v>19370</v>
      </c>
      <c r="L573" s="20">
        <v>48406</v>
      </c>
      <c r="M573" s="20"/>
      <c r="N573" s="20"/>
      <c r="O573" s="20"/>
      <c r="P573" s="20"/>
      <c r="Q573" s="20"/>
      <c r="R573" s="20"/>
      <c r="S573" s="20"/>
      <c r="T573" s="20"/>
      <c r="U573" s="20"/>
      <c r="V573" s="20"/>
      <c r="W573" s="20"/>
      <c r="X573" s="20"/>
      <c r="Y573" s="20"/>
      <c r="Z573" s="20"/>
      <c r="AA573" s="20"/>
      <c r="AB573" s="20"/>
      <c r="AC573" s="22">
        <f t="shared" si="22"/>
        <v>96178</v>
      </c>
      <c r="AD573" s="22">
        <f t="shared" si="21"/>
        <v>240353</v>
      </c>
    </row>
    <row r="574" spans="1:30" x14ac:dyDescent="0.25">
      <c r="A574" s="13">
        <v>937</v>
      </c>
      <c r="B574" s="14" t="s">
        <v>1186</v>
      </c>
      <c r="C574" s="26" t="s">
        <v>1187</v>
      </c>
      <c r="D574" s="14" t="s">
        <v>42</v>
      </c>
      <c r="E574" s="20">
        <v>43948</v>
      </c>
      <c r="F574" s="20">
        <v>109866</v>
      </c>
      <c r="G574" s="20">
        <v>30360</v>
      </c>
      <c r="H574" s="20">
        <v>75788</v>
      </c>
      <c r="I574" s="20"/>
      <c r="J574" s="20"/>
      <c r="K574" s="20">
        <v>17926</v>
      </c>
      <c r="L574" s="20">
        <v>44796</v>
      </c>
      <c r="M574" s="20"/>
      <c r="N574" s="20"/>
      <c r="O574" s="20"/>
      <c r="P574" s="20"/>
      <c r="Q574" s="20"/>
      <c r="R574" s="20"/>
      <c r="S574" s="20">
        <v>6</v>
      </c>
      <c r="T574" s="20">
        <v>12</v>
      </c>
      <c r="U574" s="20"/>
      <c r="V574" s="20"/>
      <c r="W574" s="20"/>
      <c r="X574" s="20"/>
      <c r="Y574" s="20"/>
      <c r="Z574" s="20"/>
      <c r="AA574" s="20"/>
      <c r="AB574" s="20"/>
      <c r="AC574" s="22">
        <f t="shared" si="22"/>
        <v>92240</v>
      </c>
      <c r="AD574" s="22">
        <f t="shared" si="21"/>
        <v>230462</v>
      </c>
    </row>
    <row r="575" spans="1:30" x14ac:dyDescent="0.25">
      <c r="A575" s="13">
        <v>938</v>
      </c>
      <c r="B575" s="14" t="s">
        <v>1188</v>
      </c>
      <c r="C575" s="26" t="s">
        <v>1189</v>
      </c>
      <c r="D575" s="14" t="s">
        <v>42</v>
      </c>
      <c r="E575" s="20">
        <v>116438</v>
      </c>
      <c r="F575" s="20">
        <v>291092</v>
      </c>
      <c r="G575" s="20">
        <v>86878</v>
      </c>
      <c r="H575" s="20">
        <v>217009</v>
      </c>
      <c r="I575" s="20"/>
      <c r="J575" s="20"/>
      <c r="K575" s="20">
        <v>70030</v>
      </c>
      <c r="L575" s="20">
        <v>175053</v>
      </c>
      <c r="M575" s="20">
        <v>3654</v>
      </c>
      <c r="N575" s="20">
        <v>9132</v>
      </c>
      <c r="O575" s="20"/>
      <c r="P575" s="20"/>
      <c r="Q575" s="20"/>
      <c r="R575" s="20"/>
      <c r="S575" s="20">
        <v>8</v>
      </c>
      <c r="T575" s="20">
        <v>16</v>
      </c>
      <c r="U575" s="20"/>
      <c r="V575" s="20"/>
      <c r="W575" s="20"/>
      <c r="X575" s="20"/>
      <c r="Y575" s="20"/>
      <c r="Z575" s="20"/>
      <c r="AA575" s="20"/>
      <c r="AB575" s="20"/>
      <c r="AC575" s="22">
        <f t="shared" si="22"/>
        <v>277008</v>
      </c>
      <c r="AD575" s="22">
        <f t="shared" si="21"/>
        <v>692302</v>
      </c>
    </row>
    <row r="576" spans="1:30" x14ac:dyDescent="0.25">
      <c r="A576" s="13">
        <v>939</v>
      </c>
      <c r="B576" s="14" t="s">
        <v>1190</v>
      </c>
      <c r="C576" s="26" t="s">
        <v>1191</v>
      </c>
      <c r="D576" s="14" t="s">
        <v>42</v>
      </c>
      <c r="E576" s="20">
        <v>11178</v>
      </c>
      <c r="F576" s="20">
        <v>27942</v>
      </c>
      <c r="G576" s="20">
        <v>6295</v>
      </c>
      <c r="H576" s="20">
        <v>15692</v>
      </c>
      <c r="I576" s="20">
        <v>508</v>
      </c>
      <c r="J576" s="20">
        <v>1270</v>
      </c>
      <c r="K576" s="20">
        <v>1843</v>
      </c>
      <c r="L576" s="20">
        <v>4567</v>
      </c>
      <c r="M576" s="20"/>
      <c r="N576" s="20"/>
      <c r="O576" s="20"/>
      <c r="P576" s="20"/>
      <c r="Q576" s="20"/>
      <c r="R576" s="20"/>
      <c r="S576" s="20">
        <v>8</v>
      </c>
      <c r="T576" s="20">
        <v>17</v>
      </c>
      <c r="U576" s="20"/>
      <c r="V576" s="20"/>
      <c r="W576" s="20"/>
      <c r="X576" s="20"/>
      <c r="Y576" s="20"/>
      <c r="Z576" s="20"/>
      <c r="AA576" s="20"/>
      <c r="AB576" s="20"/>
      <c r="AC576" s="22">
        <f t="shared" si="22"/>
        <v>19832</v>
      </c>
      <c r="AD576" s="22">
        <f t="shared" si="21"/>
        <v>49488</v>
      </c>
    </row>
    <row r="577" spans="1:30" x14ac:dyDescent="0.25">
      <c r="A577" s="13">
        <v>940</v>
      </c>
      <c r="B577" s="14" t="s">
        <v>1192</v>
      </c>
      <c r="C577" s="26" t="s">
        <v>1193</v>
      </c>
      <c r="D577" s="14" t="s">
        <v>42</v>
      </c>
      <c r="E577" s="20">
        <v>52</v>
      </c>
      <c r="F577" s="20">
        <v>129</v>
      </c>
      <c r="G577" s="20">
        <v>499</v>
      </c>
      <c r="H577" s="20">
        <v>1234</v>
      </c>
      <c r="I577" s="20"/>
      <c r="J577" s="20"/>
      <c r="K577" s="20">
        <v>3774</v>
      </c>
      <c r="L577" s="20">
        <v>9421</v>
      </c>
      <c r="M577" s="20"/>
      <c r="N577" s="20"/>
      <c r="O577" s="20"/>
      <c r="P577" s="20"/>
      <c r="Q577" s="20"/>
      <c r="R577" s="20"/>
      <c r="S577" s="20"/>
      <c r="T577" s="20"/>
      <c r="U577" s="20"/>
      <c r="V577" s="20"/>
      <c r="W577" s="20"/>
      <c r="X577" s="20"/>
      <c r="Y577" s="20"/>
      <c r="Z577" s="20"/>
      <c r="AA577" s="20"/>
      <c r="AB577" s="20"/>
      <c r="AC577" s="22">
        <f t="shared" si="22"/>
        <v>4325</v>
      </c>
      <c r="AD577" s="22">
        <f t="shared" si="21"/>
        <v>10784</v>
      </c>
    </row>
    <row r="578" spans="1:30" x14ac:dyDescent="0.25">
      <c r="A578" s="13">
        <v>941</v>
      </c>
      <c r="B578" s="14" t="s">
        <v>1194</v>
      </c>
      <c r="C578" s="26" t="s">
        <v>1195</v>
      </c>
      <c r="D578" s="14" t="s">
        <v>42</v>
      </c>
      <c r="E578" s="20">
        <v>4710</v>
      </c>
      <c r="F578" s="20">
        <v>11774</v>
      </c>
      <c r="G578" s="20">
        <v>3775</v>
      </c>
      <c r="H578" s="20">
        <v>9381</v>
      </c>
      <c r="I578" s="20">
        <v>375</v>
      </c>
      <c r="J578" s="20">
        <v>936</v>
      </c>
      <c r="K578" s="20">
        <v>324</v>
      </c>
      <c r="L578" s="20">
        <v>777</v>
      </c>
      <c r="M578" s="20"/>
      <c r="N578" s="20"/>
      <c r="O578" s="20"/>
      <c r="P578" s="20"/>
      <c r="Q578" s="20"/>
      <c r="R578" s="20"/>
      <c r="S578" s="20">
        <v>5</v>
      </c>
      <c r="T578" s="20">
        <v>11</v>
      </c>
      <c r="U578" s="20"/>
      <c r="V578" s="20"/>
      <c r="W578" s="20"/>
      <c r="X578" s="20"/>
      <c r="Y578" s="20"/>
      <c r="Z578" s="20"/>
      <c r="AA578" s="20"/>
      <c r="AB578" s="20"/>
      <c r="AC578" s="22">
        <f t="shared" si="22"/>
        <v>9189</v>
      </c>
      <c r="AD578" s="22">
        <f t="shared" si="21"/>
        <v>22879</v>
      </c>
    </row>
    <row r="579" spans="1:30" x14ac:dyDescent="0.25">
      <c r="A579" s="13">
        <v>942</v>
      </c>
      <c r="B579" s="14" t="s">
        <v>1196</v>
      </c>
      <c r="C579" s="26" t="s">
        <v>1197</v>
      </c>
      <c r="D579" s="14" t="s">
        <v>42</v>
      </c>
      <c r="E579" s="20">
        <v>1010120</v>
      </c>
      <c r="F579" s="20">
        <v>2525298</v>
      </c>
      <c r="G579" s="20">
        <v>31904</v>
      </c>
      <c r="H579" s="20">
        <v>79733</v>
      </c>
      <c r="I579" s="20">
        <v>116840</v>
      </c>
      <c r="J579" s="20">
        <v>292100</v>
      </c>
      <c r="K579" s="20">
        <v>2526</v>
      </c>
      <c r="L579" s="20">
        <v>6306</v>
      </c>
      <c r="M579" s="20"/>
      <c r="N579" s="20"/>
      <c r="O579" s="20"/>
      <c r="P579" s="20"/>
      <c r="Q579" s="20"/>
      <c r="R579" s="20"/>
      <c r="S579" s="20">
        <v>4793</v>
      </c>
      <c r="T579" s="20">
        <v>11982</v>
      </c>
      <c r="U579" s="20"/>
      <c r="V579" s="20"/>
      <c r="W579" s="20"/>
      <c r="X579" s="20"/>
      <c r="Y579" s="20"/>
      <c r="Z579" s="20"/>
      <c r="AA579" s="20">
        <v>2856</v>
      </c>
      <c r="AB579" s="20">
        <v>7140</v>
      </c>
      <c r="AC579" s="22">
        <f t="shared" si="22"/>
        <v>1169039</v>
      </c>
      <c r="AD579" s="22">
        <f t="shared" si="21"/>
        <v>2922559</v>
      </c>
    </row>
    <row r="580" spans="1:30" x14ac:dyDescent="0.25">
      <c r="A580" s="13">
        <v>943</v>
      </c>
      <c r="B580" s="14" t="s">
        <v>1198</v>
      </c>
      <c r="C580" s="26" t="s">
        <v>1199</v>
      </c>
      <c r="D580" s="14" t="s">
        <v>42</v>
      </c>
      <c r="E580" s="20">
        <v>4243</v>
      </c>
      <c r="F580" s="20">
        <v>10606</v>
      </c>
      <c r="G580" s="20">
        <v>12106</v>
      </c>
      <c r="H580" s="20">
        <v>30222</v>
      </c>
      <c r="I580" s="20">
        <v>375</v>
      </c>
      <c r="J580" s="20">
        <v>936</v>
      </c>
      <c r="K580" s="20">
        <v>113</v>
      </c>
      <c r="L580" s="20">
        <v>274</v>
      </c>
      <c r="M580" s="20">
        <v>806</v>
      </c>
      <c r="N580" s="20">
        <v>2012</v>
      </c>
      <c r="O580" s="20"/>
      <c r="P580" s="20"/>
      <c r="Q580" s="20"/>
      <c r="R580" s="20"/>
      <c r="S580" s="20"/>
      <c r="T580" s="20"/>
      <c r="U580" s="20"/>
      <c r="V580" s="20"/>
      <c r="W580" s="20"/>
      <c r="X580" s="20"/>
      <c r="Y580" s="20"/>
      <c r="Z580" s="20"/>
      <c r="AA580" s="20"/>
      <c r="AB580" s="20"/>
      <c r="AC580" s="22">
        <f t="shared" si="22"/>
        <v>17643</v>
      </c>
      <c r="AD580" s="22">
        <f t="shared" si="21"/>
        <v>44050</v>
      </c>
    </row>
    <row r="581" spans="1:30" x14ac:dyDescent="0.25">
      <c r="A581" s="13">
        <v>944</v>
      </c>
      <c r="B581" s="14" t="s">
        <v>1200</v>
      </c>
      <c r="C581" s="26" t="s">
        <v>1201</v>
      </c>
      <c r="D581" s="14" t="s">
        <v>42</v>
      </c>
      <c r="E581" s="20">
        <v>3835962</v>
      </c>
      <c r="F581" s="20">
        <v>9589903</v>
      </c>
      <c r="G581" s="20">
        <v>322319</v>
      </c>
      <c r="H581" s="20">
        <v>805745</v>
      </c>
      <c r="I581" s="20">
        <v>54800</v>
      </c>
      <c r="J581" s="20">
        <v>137000</v>
      </c>
      <c r="K581" s="20">
        <v>24976</v>
      </c>
      <c r="L581" s="20">
        <v>62407</v>
      </c>
      <c r="M581" s="20">
        <v>58728</v>
      </c>
      <c r="N581" s="20">
        <v>146818</v>
      </c>
      <c r="O581" s="20"/>
      <c r="P581" s="20"/>
      <c r="Q581" s="20"/>
      <c r="R581" s="20"/>
      <c r="S581" s="20">
        <v>9800</v>
      </c>
      <c r="T581" s="20">
        <v>24500</v>
      </c>
      <c r="U581" s="20"/>
      <c r="V581" s="20"/>
      <c r="W581" s="20"/>
      <c r="X581" s="20"/>
      <c r="Y581" s="20"/>
      <c r="Z581" s="20"/>
      <c r="AA581" s="20">
        <v>3</v>
      </c>
      <c r="AB581" s="20">
        <v>5</v>
      </c>
      <c r="AC581" s="22">
        <f t="shared" si="22"/>
        <v>4306588</v>
      </c>
      <c r="AD581" s="22">
        <f t="shared" ref="AD581:AD622" si="23">SUM(F581+H581+J581+L581+N581+P581+R581+T581+V581+X581+Z581+AB581)</f>
        <v>10766378</v>
      </c>
    </row>
    <row r="582" spans="1:30" x14ac:dyDescent="0.25">
      <c r="A582" s="13">
        <v>945</v>
      </c>
      <c r="B582" s="14" t="s">
        <v>1202</v>
      </c>
      <c r="C582" s="26" t="s">
        <v>1203</v>
      </c>
      <c r="D582" s="14" t="s">
        <v>42</v>
      </c>
      <c r="E582" s="20">
        <v>9327</v>
      </c>
      <c r="F582" s="20">
        <v>23315</v>
      </c>
      <c r="G582" s="20">
        <v>15764</v>
      </c>
      <c r="H582" s="20">
        <v>39279</v>
      </c>
      <c r="I582" s="20"/>
      <c r="J582" s="20"/>
      <c r="K582" s="20">
        <v>7131</v>
      </c>
      <c r="L582" s="20">
        <v>17789</v>
      </c>
      <c r="M582" s="20">
        <v>1486</v>
      </c>
      <c r="N582" s="20">
        <v>3712</v>
      </c>
      <c r="O582" s="20"/>
      <c r="P582" s="20"/>
      <c r="Q582" s="20"/>
      <c r="R582" s="20"/>
      <c r="S582" s="20"/>
      <c r="T582" s="20"/>
      <c r="U582" s="20"/>
      <c r="V582" s="20"/>
      <c r="W582" s="20"/>
      <c r="X582" s="20"/>
      <c r="Y582" s="20"/>
      <c r="Z582" s="20"/>
      <c r="AA582" s="20"/>
      <c r="AB582" s="20"/>
      <c r="AC582" s="22">
        <f t="shared" ref="AC582:AC622" si="24">SUM(E582+G582+I582+K582+M582+O582+Q582+S582+U582+W582+Y582+AA582)</f>
        <v>33708</v>
      </c>
      <c r="AD582" s="22">
        <f t="shared" si="23"/>
        <v>84095</v>
      </c>
    </row>
    <row r="583" spans="1:30" x14ac:dyDescent="0.25">
      <c r="A583" s="13">
        <v>947</v>
      </c>
      <c r="B583" s="14" t="s">
        <v>1204</v>
      </c>
      <c r="C583" s="26" t="s">
        <v>1205</v>
      </c>
      <c r="D583" s="14" t="s">
        <v>42</v>
      </c>
      <c r="E583" s="20">
        <v>1970</v>
      </c>
      <c r="F583" s="20">
        <v>4923</v>
      </c>
      <c r="G583" s="20">
        <v>3799</v>
      </c>
      <c r="H583" s="20">
        <v>9461</v>
      </c>
      <c r="I583" s="20">
        <v>677</v>
      </c>
      <c r="J583" s="20">
        <v>1690</v>
      </c>
      <c r="K583" s="20">
        <v>6676</v>
      </c>
      <c r="L583" s="20">
        <v>16677</v>
      </c>
      <c r="M583" s="20">
        <v>934</v>
      </c>
      <c r="N583" s="20">
        <v>2332</v>
      </c>
      <c r="O583" s="20"/>
      <c r="P583" s="20"/>
      <c r="Q583" s="20"/>
      <c r="R583" s="20"/>
      <c r="S583" s="20"/>
      <c r="T583" s="20"/>
      <c r="U583" s="20"/>
      <c r="V583" s="20"/>
      <c r="W583" s="20"/>
      <c r="X583" s="20"/>
      <c r="Y583" s="20"/>
      <c r="Z583" s="20"/>
      <c r="AA583" s="20"/>
      <c r="AB583" s="20"/>
      <c r="AC583" s="22">
        <f t="shared" si="24"/>
        <v>14056</v>
      </c>
      <c r="AD583" s="22">
        <f t="shared" si="23"/>
        <v>35083</v>
      </c>
    </row>
    <row r="584" spans="1:30" x14ac:dyDescent="0.25">
      <c r="A584" s="13">
        <v>948</v>
      </c>
      <c r="B584" s="14" t="s">
        <v>1206</v>
      </c>
      <c r="C584" s="26" t="s">
        <v>1207</v>
      </c>
      <c r="D584" s="14" t="s">
        <v>42</v>
      </c>
      <c r="E584" s="20">
        <v>4346</v>
      </c>
      <c r="F584" s="20">
        <v>10863</v>
      </c>
      <c r="G584" s="20">
        <v>7544</v>
      </c>
      <c r="H584" s="20">
        <v>18823</v>
      </c>
      <c r="I584" s="20"/>
      <c r="J584" s="20"/>
      <c r="K584" s="20">
        <v>9105</v>
      </c>
      <c r="L584" s="20">
        <v>22741</v>
      </c>
      <c r="M584" s="20">
        <v>1436</v>
      </c>
      <c r="N584" s="20">
        <v>3586</v>
      </c>
      <c r="O584" s="20"/>
      <c r="P584" s="20"/>
      <c r="Q584" s="20"/>
      <c r="R584" s="20"/>
      <c r="S584" s="20"/>
      <c r="T584" s="20"/>
      <c r="U584" s="20"/>
      <c r="V584" s="20"/>
      <c r="W584" s="20"/>
      <c r="X584" s="20"/>
      <c r="Y584" s="20"/>
      <c r="Z584" s="20"/>
      <c r="AA584" s="20"/>
      <c r="AB584" s="20"/>
      <c r="AC584" s="22">
        <f t="shared" si="24"/>
        <v>22431</v>
      </c>
      <c r="AD584" s="22">
        <f t="shared" si="23"/>
        <v>56013</v>
      </c>
    </row>
    <row r="585" spans="1:30" x14ac:dyDescent="0.25">
      <c r="A585" s="13">
        <v>949</v>
      </c>
      <c r="B585" s="14" t="s">
        <v>1208</v>
      </c>
      <c r="C585" s="26" t="s">
        <v>1209</v>
      </c>
      <c r="D585" s="14" t="s">
        <v>42</v>
      </c>
      <c r="E585" s="20">
        <v>175114</v>
      </c>
      <c r="F585" s="20">
        <v>437781</v>
      </c>
      <c r="G585" s="20">
        <v>198593</v>
      </c>
      <c r="H585" s="20">
        <v>496395</v>
      </c>
      <c r="I585" s="20">
        <v>210630</v>
      </c>
      <c r="J585" s="20">
        <v>526574</v>
      </c>
      <c r="K585" s="20">
        <v>53522</v>
      </c>
      <c r="L585" s="20">
        <v>133787</v>
      </c>
      <c r="M585" s="20"/>
      <c r="N585" s="20"/>
      <c r="O585" s="20"/>
      <c r="P585" s="20"/>
      <c r="Q585" s="20">
        <v>39960</v>
      </c>
      <c r="R585" s="20">
        <v>99900</v>
      </c>
      <c r="S585" s="20">
        <v>5288</v>
      </c>
      <c r="T585" s="20">
        <v>13220</v>
      </c>
      <c r="U585" s="20"/>
      <c r="V585" s="20"/>
      <c r="W585" s="20"/>
      <c r="X585" s="20"/>
      <c r="Y585" s="20"/>
      <c r="Z585" s="20"/>
      <c r="AA585" s="20"/>
      <c r="AB585" s="20"/>
      <c r="AC585" s="22">
        <f t="shared" si="24"/>
        <v>683107</v>
      </c>
      <c r="AD585" s="22">
        <f t="shared" si="23"/>
        <v>1707657</v>
      </c>
    </row>
    <row r="586" spans="1:30" x14ac:dyDescent="0.25">
      <c r="A586" s="13">
        <v>950</v>
      </c>
      <c r="B586" s="14" t="s">
        <v>1210</v>
      </c>
      <c r="C586" s="26" t="s">
        <v>1211</v>
      </c>
      <c r="D586" s="14" t="s">
        <v>42</v>
      </c>
      <c r="E586" s="20">
        <v>7188</v>
      </c>
      <c r="F586" s="20">
        <v>17970</v>
      </c>
      <c r="G586" s="20">
        <v>910</v>
      </c>
      <c r="H586" s="20">
        <v>2237</v>
      </c>
      <c r="I586" s="20">
        <v>458</v>
      </c>
      <c r="J586" s="20">
        <v>1143</v>
      </c>
      <c r="K586" s="20">
        <v>2333</v>
      </c>
      <c r="L586" s="20">
        <v>5790</v>
      </c>
      <c r="M586" s="20">
        <v>162</v>
      </c>
      <c r="N586" s="20">
        <v>402</v>
      </c>
      <c r="O586" s="20"/>
      <c r="P586" s="20"/>
      <c r="Q586" s="20"/>
      <c r="R586" s="20"/>
      <c r="S586" s="20">
        <v>2</v>
      </c>
      <c r="T586" s="20">
        <v>4</v>
      </c>
      <c r="U586" s="20"/>
      <c r="V586" s="20"/>
      <c r="W586" s="20"/>
      <c r="X586" s="20"/>
      <c r="Y586" s="20"/>
      <c r="Z586" s="20"/>
      <c r="AA586" s="20"/>
      <c r="AB586" s="20"/>
      <c r="AC586" s="22">
        <f t="shared" si="24"/>
        <v>11053</v>
      </c>
      <c r="AD586" s="22">
        <f t="shared" si="23"/>
        <v>27546</v>
      </c>
    </row>
    <row r="587" spans="1:30" x14ac:dyDescent="0.25">
      <c r="A587" s="13">
        <v>951</v>
      </c>
      <c r="B587" s="14" t="s">
        <v>1212</v>
      </c>
      <c r="C587" s="26" t="s">
        <v>1213</v>
      </c>
      <c r="D587" s="14" t="s">
        <v>42</v>
      </c>
      <c r="E587" s="20">
        <v>24491</v>
      </c>
      <c r="F587" s="20">
        <v>61226</v>
      </c>
      <c r="G587" s="20">
        <v>90469</v>
      </c>
      <c r="H587" s="20">
        <v>225980</v>
      </c>
      <c r="I587" s="20"/>
      <c r="J587" s="20"/>
      <c r="K587" s="20">
        <v>17204</v>
      </c>
      <c r="L587" s="20">
        <v>42988</v>
      </c>
      <c r="M587" s="20">
        <v>6934</v>
      </c>
      <c r="N587" s="20">
        <v>17334</v>
      </c>
      <c r="O587" s="20"/>
      <c r="P587" s="20"/>
      <c r="Q587" s="20"/>
      <c r="R587" s="20"/>
      <c r="S587" s="20">
        <v>12</v>
      </c>
      <c r="T587" s="20">
        <v>26</v>
      </c>
      <c r="U587" s="20"/>
      <c r="V587" s="20"/>
      <c r="W587" s="20"/>
      <c r="X587" s="20"/>
      <c r="Y587" s="20"/>
      <c r="Z587" s="20"/>
      <c r="AA587" s="20">
        <v>2</v>
      </c>
      <c r="AB587" s="20">
        <v>2</v>
      </c>
      <c r="AC587" s="22">
        <f t="shared" si="24"/>
        <v>139112</v>
      </c>
      <c r="AD587" s="22">
        <f t="shared" si="23"/>
        <v>347556</v>
      </c>
    </row>
    <row r="588" spans="1:30" x14ac:dyDescent="0.25">
      <c r="A588" s="13">
        <v>954</v>
      </c>
      <c r="B588" s="14" t="s">
        <v>1214</v>
      </c>
      <c r="C588" s="26" t="s">
        <v>1215</v>
      </c>
      <c r="D588" s="14" t="s">
        <v>42</v>
      </c>
      <c r="E588" s="20">
        <v>55576</v>
      </c>
      <c r="F588" s="20">
        <v>138940</v>
      </c>
      <c r="G588" s="20">
        <v>52037</v>
      </c>
      <c r="H588" s="20">
        <v>130039</v>
      </c>
      <c r="I588" s="20">
        <v>240315</v>
      </c>
      <c r="J588" s="20">
        <v>600785</v>
      </c>
      <c r="K588" s="20">
        <v>7711</v>
      </c>
      <c r="L588" s="20">
        <v>19249</v>
      </c>
      <c r="M588" s="20"/>
      <c r="N588" s="20"/>
      <c r="O588" s="20"/>
      <c r="P588" s="20"/>
      <c r="Q588" s="20"/>
      <c r="R588" s="20"/>
      <c r="S588" s="20">
        <v>5494</v>
      </c>
      <c r="T588" s="20">
        <v>13735</v>
      </c>
      <c r="U588" s="20"/>
      <c r="V588" s="20"/>
      <c r="W588" s="20"/>
      <c r="X588" s="20"/>
      <c r="Y588" s="20"/>
      <c r="Z588" s="20"/>
      <c r="AA588" s="20">
        <v>720</v>
      </c>
      <c r="AB588" s="20">
        <v>1800</v>
      </c>
      <c r="AC588" s="22">
        <f t="shared" si="24"/>
        <v>361853</v>
      </c>
      <c r="AD588" s="22">
        <f t="shared" si="23"/>
        <v>904548</v>
      </c>
    </row>
    <row r="589" spans="1:30" x14ac:dyDescent="0.25">
      <c r="A589" s="13">
        <v>955</v>
      </c>
      <c r="B589" s="14" t="s">
        <v>1216</v>
      </c>
      <c r="C589" s="26" t="s">
        <v>1217</v>
      </c>
      <c r="D589" s="14" t="s">
        <v>42</v>
      </c>
      <c r="E589" s="20">
        <v>157034</v>
      </c>
      <c r="F589" s="20">
        <v>392582</v>
      </c>
      <c r="G589" s="20">
        <v>24947</v>
      </c>
      <c r="H589" s="20">
        <v>62333</v>
      </c>
      <c r="I589" s="20">
        <v>16988</v>
      </c>
      <c r="J589" s="20">
        <v>42470</v>
      </c>
      <c r="K589" s="20">
        <v>1016</v>
      </c>
      <c r="L589" s="20">
        <v>2514</v>
      </c>
      <c r="M589" s="20"/>
      <c r="N589" s="20"/>
      <c r="O589" s="20"/>
      <c r="P589" s="20"/>
      <c r="Q589" s="20"/>
      <c r="R589" s="20"/>
      <c r="S589" s="20"/>
      <c r="T589" s="20"/>
      <c r="U589" s="20"/>
      <c r="V589" s="20"/>
      <c r="W589" s="20"/>
      <c r="X589" s="20"/>
      <c r="Y589" s="20"/>
      <c r="Z589" s="20"/>
      <c r="AA589" s="20">
        <v>4</v>
      </c>
      <c r="AB589" s="20">
        <v>10</v>
      </c>
      <c r="AC589" s="22">
        <f t="shared" si="24"/>
        <v>199989</v>
      </c>
      <c r="AD589" s="22">
        <f t="shared" si="23"/>
        <v>499909</v>
      </c>
    </row>
    <row r="590" spans="1:30" x14ac:dyDescent="0.25">
      <c r="A590" s="13">
        <v>956</v>
      </c>
      <c r="B590" s="14" t="s">
        <v>1218</v>
      </c>
      <c r="C590" s="26" t="s">
        <v>1219</v>
      </c>
      <c r="D590" s="14" t="s">
        <v>42</v>
      </c>
      <c r="E590" s="20">
        <v>4711412</v>
      </c>
      <c r="F590" s="20">
        <v>11778526</v>
      </c>
      <c r="G590" s="20">
        <v>574359</v>
      </c>
      <c r="H590" s="20">
        <v>1435864</v>
      </c>
      <c r="I590" s="20">
        <v>517105</v>
      </c>
      <c r="J590" s="20">
        <v>1292760</v>
      </c>
      <c r="K590" s="20">
        <v>20507</v>
      </c>
      <c r="L590" s="20">
        <v>51223</v>
      </c>
      <c r="M590" s="20"/>
      <c r="N590" s="20"/>
      <c r="O590" s="20"/>
      <c r="P590" s="20"/>
      <c r="Q590" s="20"/>
      <c r="R590" s="20"/>
      <c r="S590" s="20">
        <v>11624</v>
      </c>
      <c r="T590" s="20">
        <v>29060</v>
      </c>
      <c r="U590" s="20"/>
      <c r="V590" s="20"/>
      <c r="W590" s="20"/>
      <c r="X590" s="20"/>
      <c r="Y590" s="20"/>
      <c r="Z590" s="20"/>
      <c r="AA590" s="20">
        <v>3568</v>
      </c>
      <c r="AB590" s="20">
        <v>8914</v>
      </c>
      <c r="AC590" s="22">
        <f t="shared" si="24"/>
        <v>5838575</v>
      </c>
      <c r="AD590" s="22">
        <f t="shared" si="23"/>
        <v>14596347</v>
      </c>
    </row>
    <row r="591" spans="1:30" x14ac:dyDescent="0.25">
      <c r="A591" s="13">
        <v>957</v>
      </c>
      <c r="B591" s="14" t="s">
        <v>1220</v>
      </c>
      <c r="C591" s="26" t="s">
        <v>1221</v>
      </c>
      <c r="D591" s="14" t="s">
        <v>42</v>
      </c>
      <c r="E591" s="20">
        <v>3650388</v>
      </c>
      <c r="F591" s="20">
        <v>9125968</v>
      </c>
      <c r="G591" s="20">
        <v>131434</v>
      </c>
      <c r="H591" s="20">
        <v>328546</v>
      </c>
      <c r="I591" s="20">
        <v>541084</v>
      </c>
      <c r="J591" s="20">
        <v>1352708</v>
      </c>
      <c r="K591" s="20">
        <v>12025</v>
      </c>
      <c r="L591" s="20">
        <v>30036</v>
      </c>
      <c r="M591" s="20"/>
      <c r="N591" s="20"/>
      <c r="O591" s="20"/>
      <c r="P591" s="20"/>
      <c r="Q591" s="20"/>
      <c r="R591" s="20"/>
      <c r="S591" s="20">
        <v>23362</v>
      </c>
      <c r="T591" s="20">
        <v>58403</v>
      </c>
      <c r="U591" s="20"/>
      <c r="V591" s="20"/>
      <c r="W591" s="20"/>
      <c r="X591" s="20"/>
      <c r="Y591" s="20"/>
      <c r="Z591" s="20"/>
      <c r="AA591" s="20">
        <v>9049</v>
      </c>
      <c r="AB591" s="20">
        <v>22619</v>
      </c>
      <c r="AC591" s="22">
        <f t="shared" si="24"/>
        <v>4367342</v>
      </c>
      <c r="AD591" s="22">
        <f t="shared" si="23"/>
        <v>10918280</v>
      </c>
    </row>
    <row r="592" spans="1:30" x14ac:dyDescent="0.25">
      <c r="A592" s="13">
        <v>958</v>
      </c>
      <c r="B592" s="14" t="s">
        <v>1222</v>
      </c>
      <c r="C592" s="26" t="s">
        <v>1223</v>
      </c>
      <c r="D592" s="14" t="s">
        <v>42</v>
      </c>
      <c r="E592" s="20">
        <v>1396280</v>
      </c>
      <c r="F592" s="20">
        <v>3490696</v>
      </c>
      <c r="G592" s="20">
        <v>57528</v>
      </c>
      <c r="H592" s="20">
        <v>143771</v>
      </c>
      <c r="I592" s="20">
        <v>208240</v>
      </c>
      <c r="J592" s="20">
        <v>520600</v>
      </c>
      <c r="K592" s="20">
        <v>18359</v>
      </c>
      <c r="L592" s="20">
        <v>45863</v>
      </c>
      <c r="M592" s="20">
        <v>8812</v>
      </c>
      <c r="N592" s="20">
        <v>22028</v>
      </c>
      <c r="O592" s="20"/>
      <c r="P592" s="20"/>
      <c r="Q592" s="20"/>
      <c r="R592" s="20"/>
      <c r="S592" s="20">
        <v>3039</v>
      </c>
      <c r="T592" s="20">
        <v>7595</v>
      </c>
      <c r="U592" s="20"/>
      <c r="V592" s="20"/>
      <c r="W592" s="20"/>
      <c r="X592" s="20"/>
      <c r="Y592" s="20"/>
      <c r="Z592" s="20"/>
      <c r="AA592" s="20">
        <v>4070</v>
      </c>
      <c r="AB592" s="20">
        <v>10174</v>
      </c>
      <c r="AC592" s="22">
        <f t="shared" si="24"/>
        <v>1696328</v>
      </c>
      <c r="AD592" s="22">
        <f t="shared" si="23"/>
        <v>4240727</v>
      </c>
    </row>
    <row r="593" spans="1:30" x14ac:dyDescent="0.25">
      <c r="A593" s="13">
        <v>960</v>
      </c>
      <c r="B593" s="14" t="s">
        <v>1224</v>
      </c>
      <c r="C593" s="26" t="s">
        <v>1225</v>
      </c>
      <c r="D593" s="14" t="s">
        <v>42</v>
      </c>
      <c r="E593" s="20">
        <v>25896</v>
      </c>
      <c r="F593" s="20">
        <v>64738</v>
      </c>
      <c r="G593" s="20">
        <v>8842</v>
      </c>
      <c r="H593" s="20">
        <v>22076</v>
      </c>
      <c r="I593" s="20">
        <v>10862</v>
      </c>
      <c r="J593" s="20">
        <v>27153</v>
      </c>
      <c r="K593" s="20">
        <v>1111</v>
      </c>
      <c r="L593" s="20">
        <v>2767</v>
      </c>
      <c r="M593" s="20">
        <v>2712</v>
      </c>
      <c r="N593" s="20">
        <v>6780</v>
      </c>
      <c r="O593" s="20"/>
      <c r="P593" s="20"/>
      <c r="Q593" s="20"/>
      <c r="R593" s="20"/>
      <c r="S593" s="20"/>
      <c r="T593" s="20"/>
      <c r="U593" s="20"/>
      <c r="V593" s="20"/>
      <c r="W593" s="20"/>
      <c r="X593" s="20"/>
      <c r="Y593" s="20"/>
      <c r="Z593" s="20"/>
      <c r="AA593" s="20">
        <v>668</v>
      </c>
      <c r="AB593" s="20">
        <v>1670</v>
      </c>
      <c r="AC593" s="22">
        <f t="shared" si="24"/>
        <v>50091</v>
      </c>
      <c r="AD593" s="22">
        <f t="shared" si="23"/>
        <v>125184</v>
      </c>
    </row>
    <row r="594" spans="1:30" x14ac:dyDescent="0.25">
      <c r="A594" s="13">
        <v>961</v>
      </c>
      <c r="B594" s="14" t="s">
        <v>1226</v>
      </c>
      <c r="C594" s="26" t="s">
        <v>1227</v>
      </c>
      <c r="D594" s="14" t="s">
        <v>42</v>
      </c>
      <c r="E594" s="20">
        <v>461010</v>
      </c>
      <c r="F594" s="20">
        <v>1152524</v>
      </c>
      <c r="G594" s="20">
        <v>63812</v>
      </c>
      <c r="H594" s="20">
        <v>159492</v>
      </c>
      <c r="I594" s="20">
        <v>26192</v>
      </c>
      <c r="J594" s="20">
        <v>65480</v>
      </c>
      <c r="K594" s="20">
        <v>2051</v>
      </c>
      <c r="L594" s="20">
        <v>5106</v>
      </c>
      <c r="M594" s="20"/>
      <c r="N594" s="20"/>
      <c r="O594" s="20"/>
      <c r="P594" s="20"/>
      <c r="Q594" s="20"/>
      <c r="R594" s="20"/>
      <c r="S594" s="20">
        <v>1263</v>
      </c>
      <c r="T594" s="20">
        <v>3156</v>
      </c>
      <c r="U594" s="20"/>
      <c r="V594" s="20"/>
      <c r="W594" s="20"/>
      <c r="X594" s="20"/>
      <c r="Y594" s="20"/>
      <c r="Z594" s="20"/>
      <c r="AA594" s="20">
        <v>3488</v>
      </c>
      <c r="AB594" s="20">
        <v>8718</v>
      </c>
      <c r="AC594" s="22">
        <f t="shared" si="24"/>
        <v>557816</v>
      </c>
      <c r="AD594" s="22">
        <f t="shared" si="23"/>
        <v>1394476</v>
      </c>
    </row>
    <row r="595" spans="1:30" x14ac:dyDescent="0.25">
      <c r="A595" s="13">
        <v>965</v>
      </c>
      <c r="B595" s="14" t="s">
        <v>1228</v>
      </c>
      <c r="C595" s="26" t="s">
        <v>1229</v>
      </c>
      <c r="D595" s="14" t="s">
        <v>42</v>
      </c>
      <c r="E595" s="20">
        <v>513252</v>
      </c>
      <c r="F595" s="20">
        <v>1283126</v>
      </c>
      <c r="G595" s="20">
        <v>39106</v>
      </c>
      <c r="H595" s="20">
        <v>97734</v>
      </c>
      <c r="I595" s="20">
        <v>63648</v>
      </c>
      <c r="J595" s="20">
        <v>159120</v>
      </c>
      <c r="K595" s="20">
        <v>456</v>
      </c>
      <c r="L595" s="20">
        <v>1121</v>
      </c>
      <c r="M595" s="20"/>
      <c r="N595" s="20"/>
      <c r="O595" s="20"/>
      <c r="P595" s="20"/>
      <c r="Q595" s="20"/>
      <c r="R595" s="20"/>
      <c r="S595" s="20">
        <v>6102</v>
      </c>
      <c r="T595" s="20">
        <v>15255</v>
      </c>
      <c r="U595" s="20"/>
      <c r="V595" s="20"/>
      <c r="W595" s="20"/>
      <c r="X595" s="20"/>
      <c r="Y595" s="20"/>
      <c r="Z595" s="20"/>
      <c r="AA595" s="20">
        <v>120</v>
      </c>
      <c r="AB595" s="20">
        <v>300</v>
      </c>
      <c r="AC595" s="22">
        <f t="shared" si="24"/>
        <v>622684</v>
      </c>
      <c r="AD595" s="22">
        <f t="shared" si="23"/>
        <v>1556656</v>
      </c>
    </row>
    <row r="596" spans="1:30" x14ac:dyDescent="0.25">
      <c r="A596" s="13">
        <v>966</v>
      </c>
      <c r="B596" s="14" t="s">
        <v>1230</v>
      </c>
      <c r="C596" s="26" t="s">
        <v>1231</v>
      </c>
      <c r="D596" s="14" t="s">
        <v>42</v>
      </c>
      <c r="E596" s="20">
        <v>241496</v>
      </c>
      <c r="F596" s="20">
        <v>603738</v>
      </c>
      <c r="G596" s="20">
        <v>61250</v>
      </c>
      <c r="H596" s="20">
        <v>153092</v>
      </c>
      <c r="I596" s="20">
        <v>29527</v>
      </c>
      <c r="J596" s="20">
        <v>73816</v>
      </c>
      <c r="K596" s="20">
        <v>9286</v>
      </c>
      <c r="L596" s="20">
        <v>23190</v>
      </c>
      <c r="M596" s="20">
        <v>1800</v>
      </c>
      <c r="N596" s="20">
        <v>4498</v>
      </c>
      <c r="O596" s="20"/>
      <c r="P596" s="20"/>
      <c r="Q596" s="20"/>
      <c r="R596" s="20"/>
      <c r="S596" s="20">
        <v>1432</v>
      </c>
      <c r="T596" s="20">
        <v>3580</v>
      </c>
      <c r="U596" s="20"/>
      <c r="V596" s="20"/>
      <c r="W596" s="20"/>
      <c r="X596" s="20"/>
      <c r="Y596" s="20"/>
      <c r="Z596" s="20"/>
      <c r="AA596" s="20">
        <v>6164</v>
      </c>
      <c r="AB596" s="20">
        <v>15410</v>
      </c>
      <c r="AC596" s="22">
        <f t="shared" si="24"/>
        <v>350955</v>
      </c>
      <c r="AD596" s="22">
        <f t="shared" si="23"/>
        <v>877324</v>
      </c>
    </row>
    <row r="597" spans="1:30" x14ac:dyDescent="0.25">
      <c r="A597" s="13">
        <v>967</v>
      </c>
      <c r="B597" s="14" t="s">
        <v>1232</v>
      </c>
      <c r="C597" s="26" t="s">
        <v>1233</v>
      </c>
      <c r="D597" s="14" t="s">
        <v>42</v>
      </c>
      <c r="E597" s="20">
        <v>42340</v>
      </c>
      <c r="F597" s="20">
        <v>105848</v>
      </c>
      <c r="G597" s="20">
        <v>21180</v>
      </c>
      <c r="H597" s="20">
        <v>52910</v>
      </c>
      <c r="I597" s="20">
        <v>7865</v>
      </c>
      <c r="J597" s="20">
        <v>19660</v>
      </c>
      <c r="K597" s="20">
        <v>4880</v>
      </c>
      <c r="L597" s="20">
        <v>12180</v>
      </c>
      <c r="M597" s="20">
        <v>2408</v>
      </c>
      <c r="N597" s="20">
        <v>6018</v>
      </c>
      <c r="O597" s="20"/>
      <c r="P597" s="20"/>
      <c r="Q597" s="20"/>
      <c r="R597" s="20"/>
      <c r="S597" s="20">
        <v>431</v>
      </c>
      <c r="T597" s="20">
        <v>1074</v>
      </c>
      <c r="U597" s="20"/>
      <c r="V597" s="20"/>
      <c r="W597" s="20"/>
      <c r="X597" s="20"/>
      <c r="Y597" s="20"/>
      <c r="Z597" s="20"/>
      <c r="AA597" s="20">
        <v>3680</v>
      </c>
      <c r="AB597" s="20">
        <v>9200</v>
      </c>
      <c r="AC597" s="22">
        <f t="shared" si="24"/>
        <v>82784</v>
      </c>
      <c r="AD597" s="22">
        <f t="shared" si="23"/>
        <v>206890</v>
      </c>
    </row>
    <row r="598" spans="1:30" x14ac:dyDescent="0.25">
      <c r="A598" s="13">
        <v>968</v>
      </c>
      <c r="B598" s="14" t="s">
        <v>1234</v>
      </c>
      <c r="C598" s="26" t="s">
        <v>1235</v>
      </c>
      <c r="D598" s="14" t="s">
        <v>42</v>
      </c>
      <c r="E598" s="20">
        <v>54356</v>
      </c>
      <c r="F598" s="20">
        <v>135888</v>
      </c>
      <c r="G598" s="20">
        <v>18943</v>
      </c>
      <c r="H598" s="20">
        <v>47329</v>
      </c>
      <c r="I598" s="20">
        <v>14357</v>
      </c>
      <c r="J598" s="20">
        <v>35891</v>
      </c>
      <c r="K598" s="20">
        <v>10713</v>
      </c>
      <c r="L598" s="20">
        <v>26770</v>
      </c>
      <c r="M598" s="20"/>
      <c r="N598" s="20"/>
      <c r="O598" s="20"/>
      <c r="P598" s="20"/>
      <c r="Q598" s="20"/>
      <c r="R598" s="20"/>
      <c r="S598" s="20">
        <v>16</v>
      </c>
      <c r="T598" s="20">
        <v>40</v>
      </c>
      <c r="U598" s="20"/>
      <c r="V598" s="20"/>
      <c r="W598" s="20"/>
      <c r="X598" s="20"/>
      <c r="Y598" s="20"/>
      <c r="Z598" s="20"/>
      <c r="AA598" s="20">
        <v>2548</v>
      </c>
      <c r="AB598" s="20">
        <v>6366</v>
      </c>
      <c r="AC598" s="22">
        <f t="shared" si="24"/>
        <v>100933</v>
      </c>
      <c r="AD598" s="22">
        <f t="shared" si="23"/>
        <v>252284</v>
      </c>
    </row>
    <row r="599" spans="1:30" x14ac:dyDescent="0.25">
      <c r="A599" s="13">
        <v>969</v>
      </c>
      <c r="B599" s="14" t="s">
        <v>1236</v>
      </c>
      <c r="C599" s="26" t="s">
        <v>1237</v>
      </c>
      <c r="D599" s="14" t="s">
        <v>42</v>
      </c>
      <c r="E599" s="20">
        <v>493024</v>
      </c>
      <c r="F599" s="20">
        <v>1232556</v>
      </c>
      <c r="G599" s="20">
        <v>153857</v>
      </c>
      <c r="H599" s="20">
        <v>384601</v>
      </c>
      <c r="I599" s="20">
        <v>88832</v>
      </c>
      <c r="J599" s="20">
        <v>222079</v>
      </c>
      <c r="K599" s="20">
        <v>9794</v>
      </c>
      <c r="L599" s="20">
        <v>24446</v>
      </c>
      <c r="M599" s="20"/>
      <c r="N599" s="20"/>
      <c r="O599" s="20"/>
      <c r="P599" s="20"/>
      <c r="Q599" s="20"/>
      <c r="R599" s="20"/>
      <c r="S599" s="20">
        <v>811</v>
      </c>
      <c r="T599" s="20">
        <v>2027</v>
      </c>
      <c r="U599" s="20"/>
      <c r="V599" s="20"/>
      <c r="W599" s="20"/>
      <c r="X599" s="20"/>
      <c r="Y599" s="20"/>
      <c r="Z599" s="20"/>
      <c r="AA599" s="20">
        <v>28510</v>
      </c>
      <c r="AB599" s="20">
        <v>71272</v>
      </c>
      <c r="AC599" s="22">
        <f t="shared" si="24"/>
        <v>774828</v>
      </c>
      <c r="AD599" s="22">
        <f t="shared" si="23"/>
        <v>1936981</v>
      </c>
    </row>
    <row r="600" spans="1:30" x14ac:dyDescent="0.25">
      <c r="A600" s="13">
        <v>970</v>
      </c>
      <c r="B600" s="14" t="s">
        <v>1238</v>
      </c>
      <c r="C600" s="26" t="s">
        <v>1239</v>
      </c>
      <c r="D600" s="14" t="s">
        <v>42</v>
      </c>
      <c r="E600" s="20">
        <v>13260</v>
      </c>
      <c r="F600" s="20">
        <v>33150</v>
      </c>
      <c r="G600" s="20">
        <v>5369</v>
      </c>
      <c r="H600" s="20">
        <v>13407</v>
      </c>
      <c r="I600" s="20"/>
      <c r="J600" s="20"/>
      <c r="K600" s="20">
        <v>3234</v>
      </c>
      <c r="L600" s="20">
        <v>8078</v>
      </c>
      <c r="M600" s="20"/>
      <c r="N600" s="20"/>
      <c r="O600" s="20"/>
      <c r="P600" s="20"/>
      <c r="Q600" s="20"/>
      <c r="R600" s="20"/>
      <c r="S600" s="20"/>
      <c r="T600" s="20"/>
      <c r="U600" s="20"/>
      <c r="V600" s="20"/>
      <c r="W600" s="20"/>
      <c r="X600" s="20"/>
      <c r="Y600" s="20"/>
      <c r="Z600" s="20"/>
      <c r="AA600" s="20">
        <v>5040</v>
      </c>
      <c r="AB600" s="20">
        <v>12598</v>
      </c>
      <c r="AC600" s="22">
        <f t="shared" si="24"/>
        <v>26903</v>
      </c>
      <c r="AD600" s="22">
        <f t="shared" si="23"/>
        <v>67233</v>
      </c>
    </row>
    <row r="601" spans="1:30" x14ac:dyDescent="0.25">
      <c r="A601" s="13">
        <v>971</v>
      </c>
      <c r="B601" s="14" t="s">
        <v>1240</v>
      </c>
      <c r="C601" s="26" t="s">
        <v>1241</v>
      </c>
      <c r="D601" s="14" t="s">
        <v>42</v>
      </c>
      <c r="E601" s="20">
        <v>49842</v>
      </c>
      <c r="F601" s="20">
        <v>124604</v>
      </c>
      <c r="G601" s="20">
        <v>13981</v>
      </c>
      <c r="H601" s="20">
        <v>34914</v>
      </c>
      <c r="I601" s="20">
        <v>12467</v>
      </c>
      <c r="J601" s="20">
        <v>31166</v>
      </c>
      <c r="K601" s="20">
        <v>3171</v>
      </c>
      <c r="L601" s="20">
        <v>7904</v>
      </c>
      <c r="M601" s="20">
        <v>79124</v>
      </c>
      <c r="N601" s="20">
        <v>197806</v>
      </c>
      <c r="O601" s="20"/>
      <c r="P601" s="20"/>
      <c r="Q601" s="20"/>
      <c r="R601" s="20"/>
      <c r="S601" s="20"/>
      <c r="T601" s="20"/>
      <c r="U601" s="20"/>
      <c r="V601" s="20"/>
      <c r="W601" s="20"/>
      <c r="X601" s="20"/>
      <c r="Y601" s="20"/>
      <c r="Z601" s="20"/>
      <c r="AA601" s="20">
        <v>1336</v>
      </c>
      <c r="AB601" s="20">
        <v>3336</v>
      </c>
      <c r="AC601" s="22">
        <f t="shared" si="24"/>
        <v>159921</v>
      </c>
      <c r="AD601" s="22">
        <f t="shared" si="23"/>
        <v>399730</v>
      </c>
    </row>
    <row r="602" spans="1:30" x14ac:dyDescent="0.25">
      <c r="A602" s="13">
        <v>973</v>
      </c>
      <c r="B602" s="14" t="s">
        <v>1242</v>
      </c>
      <c r="C602" s="26" t="s">
        <v>1243</v>
      </c>
      <c r="D602" s="14" t="s">
        <v>42</v>
      </c>
      <c r="E602" s="20">
        <v>441177</v>
      </c>
      <c r="F602" s="20">
        <v>1102940</v>
      </c>
      <c r="G602" s="20">
        <v>84347</v>
      </c>
      <c r="H602" s="20">
        <v>210685</v>
      </c>
      <c r="I602" s="20">
        <v>2788</v>
      </c>
      <c r="J602" s="20">
        <v>6968</v>
      </c>
      <c r="K602" s="20">
        <v>15370</v>
      </c>
      <c r="L602" s="20">
        <v>38404</v>
      </c>
      <c r="M602" s="20"/>
      <c r="N602" s="20"/>
      <c r="O602" s="20"/>
      <c r="P602" s="20"/>
      <c r="Q602" s="20"/>
      <c r="R602" s="20"/>
      <c r="S602" s="20">
        <v>38</v>
      </c>
      <c r="T602" s="20">
        <v>92</v>
      </c>
      <c r="U602" s="20"/>
      <c r="V602" s="20"/>
      <c r="W602" s="20"/>
      <c r="X602" s="20"/>
      <c r="Y602" s="20"/>
      <c r="Z602" s="20"/>
      <c r="AA602" s="20"/>
      <c r="AB602" s="20"/>
      <c r="AC602" s="22">
        <f t="shared" si="24"/>
        <v>543720</v>
      </c>
      <c r="AD602" s="22">
        <f t="shared" si="23"/>
        <v>1359089</v>
      </c>
    </row>
    <row r="603" spans="1:30" x14ac:dyDescent="0.25">
      <c r="A603" s="13">
        <v>974</v>
      </c>
      <c r="B603" s="14" t="s">
        <v>1244</v>
      </c>
      <c r="C603" s="26" t="s">
        <v>1245</v>
      </c>
      <c r="D603" s="14" t="s">
        <v>42</v>
      </c>
      <c r="E603" s="20">
        <v>3984</v>
      </c>
      <c r="F603" s="20">
        <v>9958</v>
      </c>
      <c r="G603" s="20">
        <v>652</v>
      </c>
      <c r="H603" s="20">
        <v>1611</v>
      </c>
      <c r="I603" s="20">
        <v>2192</v>
      </c>
      <c r="J603" s="20">
        <v>5480</v>
      </c>
      <c r="K603" s="20">
        <v>4259</v>
      </c>
      <c r="L603" s="20">
        <v>10630</v>
      </c>
      <c r="M603" s="20"/>
      <c r="N603" s="20"/>
      <c r="O603" s="20"/>
      <c r="P603" s="20"/>
      <c r="Q603" s="20"/>
      <c r="R603" s="20"/>
      <c r="S603" s="20"/>
      <c r="T603" s="20"/>
      <c r="U603" s="20"/>
      <c r="V603" s="20"/>
      <c r="W603" s="20"/>
      <c r="X603" s="20"/>
      <c r="Y603" s="20"/>
      <c r="Z603" s="20"/>
      <c r="AA603" s="20"/>
      <c r="AB603" s="20"/>
      <c r="AC603" s="22">
        <f t="shared" si="24"/>
        <v>11087</v>
      </c>
      <c r="AD603" s="22">
        <f t="shared" si="23"/>
        <v>27679</v>
      </c>
    </row>
    <row r="604" spans="1:30" x14ac:dyDescent="0.25">
      <c r="A604" s="13">
        <v>975</v>
      </c>
      <c r="B604" s="14" t="s">
        <v>1246</v>
      </c>
      <c r="C604" s="26" t="s">
        <v>1247</v>
      </c>
      <c r="D604" s="14" t="s">
        <v>42</v>
      </c>
      <c r="E604" s="20">
        <v>8000</v>
      </c>
      <c r="F604" s="20">
        <v>19998</v>
      </c>
      <c r="G604" s="20">
        <v>5767</v>
      </c>
      <c r="H604" s="20">
        <v>14385</v>
      </c>
      <c r="I604" s="20">
        <v>3792</v>
      </c>
      <c r="J604" s="20">
        <v>9478</v>
      </c>
      <c r="K604" s="20">
        <v>7941</v>
      </c>
      <c r="L604" s="20">
        <v>19844</v>
      </c>
      <c r="M604" s="20">
        <v>452</v>
      </c>
      <c r="N604" s="20">
        <v>1130</v>
      </c>
      <c r="O604" s="20"/>
      <c r="P604" s="20"/>
      <c r="Q604" s="20"/>
      <c r="R604" s="20"/>
      <c r="S604" s="20"/>
      <c r="T604" s="20"/>
      <c r="U604" s="20"/>
      <c r="V604" s="20"/>
      <c r="W604" s="20"/>
      <c r="X604" s="20"/>
      <c r="Y604" s="20"/>
      <c r="Z604" s="20"/>
      <c r="AA604" s="20"/>
      <c r="AB604" s="20"/>
      <c r="AC604" s="22">
        <f t="shared" si="24"/>
        <v>25952</v>
      </c>
      <c r="AD604" s="22">
        <f t="shared" si="23"/>
        <v>64835</v>
      </c>
    </row>
    <row r="605" spans="1:30" x14ac:dyDescent="0.25">
      <c r="A605" s="13">
        <v>976</v>
      </c>
      <c r="B605" s="14" t="s">
        <v>1248</v>
      </c>
      <c r="C605" s="26" t="s">
        <v>1249</v>
      </c>
      <c r="D605" s="14" t="s">
        <v>42</v>
      </c>
      <c r="E605" s="20">
        <v>40976</v>
      </c>
      <c r="F605" s="20">
        <v>102438</v>
      </c>
      <c r="G605" s="20">
        <v>11203</v>
      </c>
      <c r="H605" s="20">
        <v>27947</v>
      </c>
      <c r="I605" s="20">
        <v>1644</v>
      </c>
      <c r="J605" s="20">
        <v>4110</v>
      </c>
      <c r="K605" s="20">
        <v>1036</v>
      </c>
      <c r="L605" s="20">
        <v>2578</v>
      </c>
      <c r="M605" s="20">
        <v>1000</v>
      </c>
      <c r="N605" s="20">
        <v>2498</v>
      </c>
      <c r="O605" s="20"/>
      <c r="P605" s="20"/>
      <c r="Q605" s="20"/>
      <c r="R605" s="20"/>
      <c r="S605" s="20">
        <v>20</v>
      </c>
      <c r="T605" s="20">
        <v>46</v>
      </c>
      <c r="U605" s="20"/>
      <c r="V605" s="20"/>
      <c r="W605" s="20"/>
      <c r="X605" s="20"/>
      <c r="Y605" s="20"/>
      <c r="Z605" s="20"/>
      <c r="AA605" s="20">
        <v>24</v>
      </c>
      <c r="AB605" s="20">
        <v>60</v>
      </c>
      <c r="AC605" s="22">
        <f t="shared" si="24"/>
        <v>55903</v>
      </c>
      <c r="AD605" s="22">
        <f t="shared" si="23"/>
        <v>139677</v>
      </c>
    </row>
    <row r="606" spans="1:30" x14ac:dyDescent="0.25">
      <c r="A606" s="13">
        <v>977</v>
      </c>
      <c r="B606" s="14" t="s">
        <v>1250</v>
      </c>
      <c r="C606" s="26" t="s">
        <v>1251</v>
      </c>
      <c r="D606" s="14" t="s">
        <v>42</v>
      </c>
      <c r="E606" s="20">
        <v>863037</v>
      </c>
      <c r="F606" s="20">
        <v>2157590</v>
      </c>
      <c r="G606" s="20">
        <v>290056</v>
      </c>
      <c r="H606" s="20">
        <v>725111</v>
      </c>
      <c r="I606" s="20"/>
      <c r="J606" s="20"/>
      <c r="K606" s="20">
        <v>70174</v>
      </c>
      <c r="L606" s="20">
        <v>175415</v>
      </c>
      <c r="M606" s="20">
        <v>1834</v>
      </c>
      <c r="N606" s="20">
        <v>4582</v>
      </c>
      <c r="O606" s="20"/>
      <c r="P606" s="20"/>
      <c r="Q606" s="20"/>
      <c r="R606" s="20"/>
      <c r="S606" s="20">
        <v>4</v>
      </c>
      <c r="T606" s="20">
        <v>7</v>
      </c>
      <c r="U606" s="20"/>
      <c r="V606" s="20"/>
      <c r="W606" s="20"/>
      <c r="X606" s="20"/>
      <c r="Y606" s="20"/>
      <c r="Z606" s="20"/>
      <c r="AA606" s="20">
        <v>1</v>
      </c>
      <c r="AB606" s="20">
        <v>1</v>
      </c>
      <c r="AC606" s="22">
        <f t="shared" si="24"/>
        <v>1225106</v>
      </c>
      <c r="AD606" s="22">
        <f t="shared" si="23"/>
        <v>3062706</v>
      </c>
    </row>
    <row r="607" spans="1:30" x14ac:dyDescent="0.25">
      <c r="A607" s="13">
        <v>978</v>
      </c>
      <c r="B607" s="14" t="s">
        <v>1252</v>
      </c>
      <c r="C607" s="26" t="s">
        <v>1253</v>
      </c>
      <c r="D607" s="14" t="s">
        <v>42</v>
      </c>
      <c r="E607" s="20">
        <v>39922</v>
      </c>
      <c r="F607" s="20">
        <v>99804</v>
      </c>
      <c r="G607" s="20">
        <v>4525</v>
      </c>
      <c r="H607" s="20">
        <v>11296</v>
      </c>
      <c r="I607" s="20">
        <v>9426</v>
      </c>
      <c r="J607" s="20">
        <v>23564</v>
      </c>
      <c r="K607" s="20">
        <v>3993</v>
      </c>
      <c r="L607" s="20">
        <v>9951</v>
      </c>
      <c r="M607" s="20">
        <v>390</v>
      </c>
      <c r="N607" s="20">
        <v>972</v>
      </c>
      <c r="O607" s="20"/>
      <c r="P607" s="20"/>
      <c r="Q607" s="20"/>
      <c r="R607" s="20"/>
      <c r="S607" s="20">
        <v>64</v>
      </c>
      <c r="T607" s="20">
        <v>160</v>
      </c>
      <c r="U607" s="20"/>
      <c r="V607" s="20"/>
      <c r="W607" s="20"/>
      <c r="X607" s="20"/>
      <c r="Y607" s="20"/>
      <c r="Z607" s="20"/>
      <c r="AA607" s="20">
        <v>1028</v>
      </c>
      <c r="AB607" s="20">
        <v>2570</v>
      </c>
      <c r="AC607" s="22">
        <f t="shared" si="24"/>
        <v>59348</v>
      </c>
      <c r="AD607" s="22">
        <f t="shared" si="23"/>
        <v>148317</v>
      </c>
    </row>
    <row r="608" spans="1:30" x14ac:dyDescent="0.25">
      <c r="A608" s="13">
        <v>979</v>
      </c>
      <c r="B608" s="14" t="s">
        <v>1254</v>
      </c>
      <c r="C608" s="26" t="s">
        <v>1255</v>
      </c>
      <c r="D608" s="14" t="s">
        <v>42</v>
      </c>
      <c r="E608" s="20">
        <v>89132</v>
      </c>
      <c r="F608" s="20">
        <v>222826</v>
      </c>
      <c r="G608" s="20">
        <v>31903</v>
      </c>
      <c r="H608" s="20">
        <v>79716</v>
      </c>
      <c r="I608" s="20">
        <v>14256</v>
      </c>
      <c r="J608" s="20">
        <v>35637</v>
      </c>
      <c r="K608" s="20">
        <v>1182</v>
      </c>
      <c r="L608" s="20">
        <v>2946</v>
      </c>
      <c r="M608" s="20">
        <v>1732</v>
      </c>
      <c r="N608" s="20">
        <v>4326</v>
      </c>
      <c r="O608" s="20"/>
      <c r="P608" s="20"/>
      <c r="Q608" s="20"/>
      <c r="R608" s="20"/>
      <c r="S608" s="20">
        <v>312</v>
      </c>
      <c r="T608" s="20">
        <v>780</v>
      </c>
      <c r="U608" s="20"/>
      <c r="V608" s="20"/>
      <c r="W608" s="20"/>
      <c r="X608" s="20"/>
      <c r="Y608" s="20"/>
      <c r="Z608" s="20"/>
      <c r="AA608" s="20">
        <v>4908</v>
      </c>
      <c r="AB608" s="20">
        <v>12270</v>
      </c>
      <c r="AC608" s="22">
        <f t="shared" si="24"/>
        <v>143425</v>
      </c>
      <c r="AD608" s="22">
        <f t="shared" si="23"/>
        <v>358501</v>
      </c>
    </row>
    <row r="609" spans="1:30" x14ac:dyDescent="0.25">
      <c r="A609" s="13">
        <v>980</v>
      </c>
      <c r="B609" s="14" t="s">
        <v>1256</v>
      </c>
      <c r="C609" s="26" t="s">
        <v>1257</v>
      </c>
      <c r="D609" s="14" t="s">
        <v>42</v>
      </c>
      <c r="E609" s="20">
        <v>81688</v>
      </c>
      <c r="F609" s="20">
        <v>204218</v>
      </c>
      <c r="G609" s="20">
        <v>19385</v>
      </c>
      <c r="H609" s="20">
        <v>48433</v>
      </c>
      <c r="I609" s="20">
        <v>53323</v>
      </c>
      <c r="J609" s="20">
        <v>133306</v>
      </c>
      <c r="K609" s="20">
        <v>1934</v>
      </c>
      <c r="L609" s="20">
        <v>4825</v>
      </c>
      <c r="M609" s="20"/>
      <c r="N609" s="20"/>
      <c r="O609" s="20"/>
      <c r="P609" s="20"/>
      <c r="Q609" s="20"/>
      <c r="R609" s="20"/>
      <c r="S609" s="20">
        <v>333</v>
      </c>
      <c r="T609" s="20">
        <v>830</v>
      </c>
      <c r="U609" s="20"/>
      <c r="V609" s="20"/>
      <c r="W609" s="20"/>
      <c r="X609" s="20"/>
      <c r="Y609" s="20"/>
      <c r="Z609" s="20"/>
      <c r="AA609" s="20">
        <v>558</v>
      </c>
      <c r="AB609" s="20">
        <v>1388</v>
      </c>
      <c r="AC609" s="22">
        <f t="shared" si="24"/>
        <v>157221</v>
      </c>
      <c r="AD609" s="22">
        <f t="shared" si="23"/>
        <v>393000</v>
      </c>
    </row>
    <row r="610" spans="1:30" x14ac:dyDescent="0.25">
      <c r="A610" s="13">
        <v>981</v>
      </c>
      <c r="B610" s="14" t="s">
        <v>1258</v>
      </c>
      <c r="C610" s="26" t="s">
        <v>1259</v>
      </c>
      <c r="D610" s="14" t="s">
        <v>42</v>
      </c>
      <c r="E610" s="20">
        <v>3034192</v>
      </c>
      <c r="F610" s="20">
        <v>7585478</v>
      </c>
      <c r="G610" s="20">
        <v>465253</v>
      </c>
      <c r="H610" s="20">
        <v>1163088</v>
      </c>
      <c r="I610" s="20">
        <v>687949</v>
      </c>
      <c r="J610" s="20">
        <v>1719871</v>
      </c>
      <c r="K610" s="20">
        <v>59261</v>
      </c>
      <c r="L610" s="20">
        <v>148117</v>
      </c>
      <c r="M610" s="20">
        <v>30384</v>
      </c>
      <c r="N610" s="20">
        <v>75956</v>
      </c>
      <c r="O610" s="20"/>
      <c r="P610" s="20"/>
      <c r="Q610" s="20"/>
      <c r="R610" s="20"/>
      <c r="S610" s="20">
        <v>7969</v>
      </c>
      <c r="T610" s="20">
        <v>19921</v>
      </c>
      <c r="U610" s="20"/>
      <c r="V610" s="20"/>
      <c r="W610" s="20"/>
      <c r="X610" s="20"/>
      <c r="Y610" s="20"/>
      <c r="Z610" s="20"/>
      <c r="AA610" s="20">
        <v>29708</v>
      </c>
      <c r="AB610" s="20">
        <v>74266</v>
      </c>
      <c r="AC610" s="22">
        <f t="shared" si="24"/>
        <v>4314716</v>
      </c>
      <c r="AD610" s="22">
        <f t="shared" si="23"/>
        <v>10786697</v>
      </c>
    </row>
    <row r="611" spans="1:30" x14ac:dyDescent="0.25">
      <c r="A611" s="13">
        <v>982</v>
      </c>
      <c r="B611" s="14" t="s">
        <v>1260</v>
      </c>
      <c r="C611" s="26" t="s">
        <v>1261</v>
      </c>
      <c r="D611" s="14" t="s">
        <v>42</v>
      </c>
      <c r="E611" s="20">
        <v>41132</v>
      </c>
      <c r="F611" s="20">
        <v>102828</v>
      </c>
      <c r="G611" s="20">
        <v>2159</v>
      </c>
      <c r="H611" s="20">
        <v>5379</v>
      </c>
      <c r="I611" s="20">
        <v>37680</v>
      </c>
      <c r="J611" s="20">
        <v>94200</v>
      </c>
      <c r="K611" s="20">
        <v>4863</v>
      </c>
      <c r="L611" s="20">
        <v>12147</v>
      </c>
      <c r="M611" s="20"/>
      <c r="N611" s="20"/>
      <c r="O611" s="20"/>
      <c r="P611" s="20"/>
      <c r="Q611" s="20"/>
      <c r="R611" s="20"/>
      <c r="S611" s="20"/>
      <c r="T611" s="20"/>
      <c r="U611" s="20"/>
      <c r="V611" s="20"/>
      <c r="W611" s="20"/>
      <c r="X611" s="20"/>
      <c r="Y611" s="20"/>
      <c r="Z611" s="20"/>
      <c r="AA611" s="20">
        <v>306</v>
      </c>
      <c r="AB611" s="20">
        <v>762</v>
      </c>
      <c r="AC611" s="22">
        <f t="shared" si="24"/>
        <v>86140</v>
      </c>
      <c r="AD611" s="22">
        <f t="shared" si="23"/>
        <v>215316</v>
      </c>
    </row>
    <row r="612" spans="1:30" x14ac:dyDescent="0.25">
      <c r="A612" s="13">
        <v>983</v>
      </c>
      <c r="B612" s="14" t="s">
        <v>1262</v>
      </c>
      <c r="C612" s="26" t="s">
        <v>1263</v>
      </c>
      <c r="D612" s="14" t="s">
        <v>42</v>
      </c>
      <c r="E612" s="20">
        <v>354027</v>
      </c>
      <c r="F612" s="20">
        <v>885066</v>
      </c>
      <c r="G612" s="20">
        <v>52058</v>
      </c>
      <c r="H612" s="20">
        <v>130114</v>
      </c>
      <c r="I612" s="20">
        <v>59233</v>
      </c>
      <c r="J612" s="20">
        <v>148082</v>
      </c>
      <c r="K612" s="20">
        <v>4342</v>
      </c>
      <c r="L612" s="20">
        <v>10833</v>
      </c>
      <c r="M612" s="20">
        <v>6944</v>
      </c>
      <c r="N612" s="20">
        <v>17356</v>
      </c>
      <c r="O612" s="20"/>
      <c r="P612" s="20"/>
      <c r="Q612" s="20"/>
      <c r="R612" s="20"/>
      <c r="S612" s="20"/>
      <c r="T612" s="20"/>
      <c r="U612" s="20"/>
      <c r="V612" s="20"/>
      <c r="W612" s="20"/>
      <c r="X612" s="20"/>
      <c r="Y612" s="20"/>
      <c r="Z612" s="20"/>
      <c r="AA612" s="20">
        <v>6840</v>
      </c>
      <c r="AB612" s="20">
        <v>17100</v>
      </c>
      <c r="AC612" s="22">
        <f t="shared" si="24"/>
        <v>483444</v>
      </c>
      <c r="AD612" s="22">
        <f t="shared" si="23"/>
        <v>1208551</v>
      </c>
    </row>
    <row r="613" spans="1:30" x14ac:dyDescent="0.25">
      <c r="A613" s="13">
        <v>984</v>
      </c>
      <c r="B613" s="14" t="s">
        <v>1264</v>
      </c>
      <c r="C613" s="26" t="s">
        <v>1265</v>
      </c>
      <c r="D613" s="14" t="s">
        <v>42</v>
      </c>
      <c r="E613" s="20">
        <v>137284</v>
      </c>
      <c r="F613" s="20">
        <v>343210</v>
      </c>
      <c r="G613" s="20">
        <v>21266</v>
      </c>
      <c r="H613" s="20">
        <v>53147</v>
      </c>
      <c r="I613" s="20">
        <v>34736</v>
      </c>
      <c r="J613" s="20">
        <v>86838</v>
      </c>
      <c r="K613" s="20">
        <v>7836</v>
      </c>
      <c r="L613" s="20">
        <v>19566</v>
      </c>
      <c r="M613" s="20">
        <v>4976</v>
      </c>
      <c r="N613" s="20">
        <v>12440</v>
      </c>
      <c r="O613" s="20"/>
      <c r="P613" s="20"/>
      <c r="Q613" s="20"/>
      <c r="R613" s="20"/>
      <c r="S613" s="20">
        <v>810</v>
      </c>
      <c r="T613" s="20">
        <v>2025</v>
      </c>
      <c r="U613" s="20"/>
      <c r="V613" s="20"/>
      <c r="W613" s="20"/>
      <c r="X613" s="20"/>
      <c r="Y613" s="20"/>
      <c r="Z613" s="20"/>
      <c r="AA613" s="20">
        <v>3288</v>
      </c>
      <c r="AB613" s="20">
        <v>8220</v>
      </c>
      <c r="AC613" s="22">
        <f t="shared" si="24"/>
        <v>210196</v>
      </c>
      <c r="AD613" s="22">
        <f t="shared" si="23"/>
        <v>525446</v>
      </c>
    </row>
    <row r="614" spans="1:30" x14ac:dyDescent="0.25">
      <c r="A614" s="13">
        <v>991</v>
      </c>
      <c r="B614" s="14" t="s">
        <v>1266</v>
      </c>
      <c r="C614" s="26" t="s">
        <v>1267</v>
      </c>
      <c r="D614" s="14" t="s">
        <v>42</v>
      </c>
      <c r="E614" s="20"/>
      <c r="F614" s="20"/>
      <c r="G614" s="20">
        <v>2102</v>
      </c>
      <c r="H614" s="20">
        <v>5238</v>
      </c>
      <c r="I614" s="20">
        <v>7620</v>
      </c>
      <c r="J614" s="20">
        <v>19050</v>
      </c>
      <c r="K614" s="20">
        <v>7991</v>
      </c>
      <c r="L614" s="20">
        <v>19968</v>
      </c>
      <c r="M614" s="20"/>
      <c r="N614" s="20"/>
      <c r="O614" s="20"/>
      <c r="P614" s="20"/>
      <c r="Q614" s="20"/>
      <c r="R614" s="20"/>
      <c r="S614" s="20">
        <v>4740</v>
      </c>
      <c r="T614" s="20">
        <v>11850</v>
      </c>
      <c r="U614" s="20"/>
      <c r="V614" s="20"/>
      <c r="W614" s="20"/>
      <c r="X614" s="20"/>
      <c r="Y614" s="20"/>
      <c r="Z614" s="20"/>
      <c r="AA614" s="20"/>
      <c r="AB614" s="20"/>
      <c r="AC614" s="22">
        <f t="shared" si="24"/>
        <v>22453</v>
      </c>
      <c r="AD614" s="22">
        <f t="shared" si="23"/>
        <v>56106</v>
      </c>
    </row>
    <row r="615" spans="1:30" x14ac:dyDescent="0.25">
      <c r="A615" s="13">
        <v>992</v>
      </c>
      <c r="B615" s="14" t="s">
        <v>1268</v>
      </c>
      <c r="C615" s="26" t="s">
        <v>1269</v>
      </c>
      <c r="D615" s="14" t="s">
        <v>42</v>
      </c>
      <c r="E615" s="20">
        <v>174</v>
      </c>
      <c r="F615" s="20">
        <v>432</v>
      </c>
      <c r="G615" s="20">
        <v>982</v>
      </c>
      <c r="H615" s="20">
        <v>2444</v>
      </c>
      <c r="I615" s="20"/>
      <c r="J615" s="20"/>
      <c r="K615" s="20">
        <v>1842</v>
      </c>
      <c r="L615" s="20">
        <v>4597</v>
      </c>
      <c r="M615" s="20"/>
      <c r="N615" s="20"/>
      <c r="O615" s="20"/>
      <c r="P615" s="20"/>
      <c r="Q615" s="20"/>
      <c r="R615" s="20"/>
      <c r="S615" s="20"/>
      <c r="T615" s="20"/>
      <c r="U615" s="20"/>
      <c r="V615" s="20"/>
      <c r="W615" s="20"/>
      <c r="X615" s="20"/>
      <c r="Y615" s="20"/>
      <c r="Z615" s="20"/>
      <c r="AA615" s="20"/>
      <c r="AB615" s="20"/>
      <c r="AC615" s="22">
        <f t="shared" si="24"/>
        <v>2998</v>
      </c>
      <c r="AD615" s="22">
        <f t="shared" si="23"/>
        <v>7473</v>
      </c>
    </row>
    <row r="616" spans="1:30" x14ac:dyDescent="0.25">
      <c r="A616" s="13">
        <v>993</v>
      </c>
      <c r="B616" s="14" t="s">
        <v>1270</v>
      </c>
      <c r="C616" s="26" t="s">
        <v>1271</v>
      </c>
      <c r="D616" s="14" t="s">
        <v>42</v>
      </c>
      <c r="E616" s="20"/>
      <c r="F616" s="20"/>
      <c r="G616" s="20">
        <v>847</v>
      </c>
      <c r="H616" s="20">
        <v>2110</v>
      </c>
      <c r="I616" s="20"/>
      <c r="J616" s="20"/>
      <c r="K616" s="20">
        <v>5555</v>
      </c>
      <c r="L616" s="20">
        <v>13873</v>
      </c>
      <c r="M616" s="20"/>
      <c r="N616" s="20"/>
      <c r="O616" s="20"/>
      <c r="P616" s="20"/>
      <c r="Q616" s="20">
        <v>67376</v>
      </c>
      <c r="R616" s="20">
        <v>168440</v>
      </c>
      <c r="S616" s="20">
        <v>1280</v>
      </c>
      <c r="T616" s="20">
        <v>3200</v>
      </c>
      <c r="U616" s="20"/>
      <c r="V616" s="20"/>
      <c r="W616" s="20"/>
      <c r="X616" s="20"/>
      <c r="Y616" s="20"/>
      <c r="Z616" s="20"/>
      <c r="AA616" s="20"/>
      <c r="AB616" s="20"/>
      <c r="AC616" s="22">
        <f t="shared" si="24"/>
        <v>75058</v>
      </c>
      <c r="AD616" s="22">
        <f t="shared" si="23"/>
        <v>187623</v>
      </c>
    </row>
    <row r="617" spans="1:30" x14ac:dyDescent="0.25">
      <c r="A617" s="13">
        <v>994</v>
      </c>
      <c r="B617" s="14" t="s">
        <v>1272</v>
      </c>
      <c r="C617" s="26" t="s">
        <v>1273</v>
      </c>
      <c r="D617" s="14" t="s">
        <v>42</v>
      </c>
      <c r="E617" s="20"/>
      <c r="F617" s="20"/>
      <c r="G617" s="20">
        <v>314</v>
      </c>
      <c r="H617" s="20">
        <v>773</v>
      </c>
      <c r="I617" s="20"/>
      <c r="J617" s="20"/>
      <c r="K617" s="20">
        <v>2029</v>
      </c>
      <c r="L617" s="20">
        <v>5063</v>
      </c>
      <c r="M617" s="20"/>
      <c r="N617" s="20"/>
      <c r="O617" s="20"/>
      <c r="P617" s="20"/>
      <c r="Q617" s="20"/>
      <c r="R617" s="20"/>
      <c r="S617" s="20"/>
      <c r="T617" s="20"/>
      <c r="U617" s="20"/>
      <c r="V617" s="20"/>
      <c r="W617" s="20"/>
      <c r="X617" s="20"/>
      <c r="Y617" s="20"/>
      <c r="Z617" s="20"/>
      <c r="AA617" s="20"/>
      <c r="AB617" s="20"/>
      <c r="AC617" s="22">
        <f t="shared" si="24"/>
        <v>2343</v>
      </c>
      <c r="AD617" s="22">
        <f t="shared" si="23"/>
        <v>5836</v>
      </c>
    </row>
    <row r="618" spans="1:30" x14ac:dyDescent="0.25">
      <c r="A618" s="13">
        <v>995</v>
      </c>
      <c r="B618" s="14" t="s">
        <v>1274</v>
      </c>
      <c r="C618" s="26" t="s">
        <v>1275</v>
      </c>
      <c r="D618" s="14" t="s">
        <v>42</v>
      </c>
      <c r="E618" s="20"/>
      <c r="F618" s="20"/>
      <c r="G618" s="20">
        <v>79</v>
      </c>
      <c r="H618" s="20">
        <v>189</v>
      </c>
      <c r="I618" s="20">
        <v>749</v>
      </c>
      <c r="J618" s="20">
        <v>1872</v>
      </c>
      <c r="K618" s="20">
        <v>2413</v>
      </c>
      <c r="L618" s="20">
        <v>6023</v>
      </c>
      <c r="M618" s="20"/>
      <c r="N618" s="20"/>
      <c r="O618" s="20"/>
      <c r="P618" s="20"/>
      <c r="Q618" s="20"/>
      <c r="R618" s="20"/>
      <c r="S618" s="20"/>
      <c r="T618" s="20"/>
      <c r="U618" s="20"/>
      <c r="V618" s="20"/>
      <c r="W618" s="20"/>
      <c r="X618" s="20"/>
      <c r="Y618" s="20"/>
      <c r="Z618" s="20"/>
      <c r="AA618" s="20"/>
      <c r="AB618" s="20"/>
      <c r="AC618" s="22">
        <f t="shared" si="24"/>
        <v>3241</v>
      </c>
      <c r="AD618" s="22">
        <f t="shared" si="23"/>
        <v>8084</v>
      </c>
    </row>
    <row r="619" spans="1:30" x14ac:dyDescent="0.25">
      <c r="A619" s="13">
        <v>996</v>
      </c>
      <c r="B619" s="14" t="s">
        <v>1276</v>
      </c>
      <c r="C619" s="26" t="s">
        <v>1277</v>
      </c>
      <c r="D619" s="14" t="s">
        <v>42</v>
      </c>
      <c r="E619" s="20"/>
      <c r="F619" s="20"/>
      <c r="G619" s="20">
        <v>94</v>
      </c>
      <c r="H619" s="20">
        <v>226</v>
      </c>
      <c r="I619" s="20">
        <v>10</v>
      </c>
      <c r="J619" s="20">
        <v>24</v>
      </c>
      <c r="K619" s="20">
        <v>1757</v>
      </c>
      <c r="L619" s="20">
        <v>4383</v>
      </c>
      <c r="M619" s="20"/>
      <c r="N619" s="20"/>
      <c r="O619" s="20"/>
      <c r="P619" s="20"/>
      <c r="Q619" s="20"/>
      <c r="R619" s="20"/>
      <c r="S619" s="20"/>
      <c r="T619" s="20"/>
      <c r="U619" s="20"/>
      <c r="V619" s="20"/>
      <c r="W619" s="20"/>
      <c r="X619" s="20"/>
      <c r="Y619" s="20"/>
      <c r="Z619" s="20"/>
      <c r="AA619" s="20"/>
      <c r="AB619" s="20"/>
      <c r="AC619" s="22">
        <f t="shared" si="24"/>
        <v>1861</v>
      </c>
      <c r="AD619" s="22">
        <f t="shared" si="23"/>
        <v>4633</v>
      </c>
    </row>
    <row r="620" spans="1:30" x14ac:dyDescent="0.25">
      <c r="A620" s="13">
        <v>997</v>
      </c>
      <c r="B620" s="14" t="s">
        <v>1278</v>
      </c>
      <c r="C620" s="26" t="s">
        <v>1279</v>
      </c>
      <c r="D620" s="14" t="s">
        <v>42</v>
      </c>
      <c r="E620" s="20">
        <v>30</v>
      </c>
      <c r="F620" s="20">
        <v>72</v>
      </c>
      <c r="G620" s="20">
        <v>36</v>
      </c>
      <c r="H620" s="20">
        <v>84</v>
      </c>
      <c r="I620" s="20"/>
      <c r="J620" s="20"/>
      <c r="K620" s="20">
        <v>1176</v>
      </c>
      <c r="L620" s="20">
        <v>2923</v>
      </c>
      <c r="M620" s="20"/>
      <c r="N620" s="20"/>
      <c r="O620" s="20"/>
      <c r="P620" s="20"/>
      <c r="Q620" s="20"/>
      <c r="R620" s="20"/>
      <c r="S620" s="20"/>
      <c r="T620" s="20"/>
      <c r="U620" s="20"/>
      <c r="V620" s="20"/>
      <c r="W620" s="20"/>
      <c r="X620" s="20"/>
      <c r="Y620" s="20"/>
      <c r="Z620" s="20"/>
      <c r="AA620" s="20"/>
      <c r="AB620" s="20"/>
      <c r="AC620" s="22">
        <f t="shared" si="24"/>
        <v>1242</v>
      </c>
      <c r="AD620" s="22">
        <f t="shared" si="23"/>
        <v>3079</v>
      </c>
    </row>
    <row r="621" spans="1:30" x14ac:dyDescent="0.25">
      <c r="A621" s="13">
        <v>998</v>
      </c>
      <c r="B621" s="14" t="s">
        <v>1280</v>
      </c>
      <c r="C621" s="26" t="s">
        <v>1281</v>
      </c>
      <c r="D621" s="14" t="s">
        <v>42</v>
      </c>
      <c r="E621" s="20"/>
      <c r="F621" s="20"/>
      <c r="G621" s="20">
        <v>18</v>
      </c>
      <c r="H621" s="20">
        <v>42</v>
      </c>
      <c r="I621" s="20"/>
      <c r="J621" s="20"/>
      <c r="K621" s="20">
        <v>902</v>
      </c>
      <c r="L621" s="20">
        <v>2240</v>
      </c>
      <c r="M621" s="20"/>
      <c r="N621" s="20"/>
      <c r="O621" s="20"/>
      <c r="P621" s="20"/>
      <c r="Q621" s="20"/>
      <c r="R621" s="20"/>
      <c r="S621" s="20"/>
      <c r="T621" s="20"/>
      <c r="U621" s="20"/>
      <c r="V621" s="20"/>
      <c r="W621" s="20"/>
      <c r="X621" s="20"/>
      <c r="Y621" s="20"/>
      <c r="Z621" s="20"/>
      <c r="AA621" s="20"/>
      <c r="AB621" s="20"/>
      <c r="AC621" s="22">
        <f t="shared" si="24"/>
        <v>920</v>
      </c>
      <c r="AD621" s="22">
        <f t="shared" si="23"/>
        <v>2282</v>
      </c>
    </row>
    <row r="622" spans="1:30" x14ac:dyDescent="0.25">
      <c r="A622" s="13">
        <v>1001</v>
      </c>
      <c r="B622" s="14" t="s">
        <v>1282</v>
      </c>
      <c r="C622" s="26" t="s">
        <v>1283</v>
      </c>
      <c r="D622" s="14" t="s">
        <v>43</v>
      </c>
      <c r="E622" s="20">
        <v>1088</v>
      </c>
      <c r="F622" s="20">
        <v>2720</v>
      </c>
      <c r="G622" s="20">
        <v>3995</v>
      </c>
      <c r="H622" s="20">
        <v>9968</v>
      </c>
      <c r="I622" s="20"/>
      <c r="J622" s="20"/>
      <c r="K622" s="20">
        <v>11123</v>
      </c>
      <c r="L622" s="20">
        <v>27787</v>
      </c>
      <c r="M622" s="20"/>
      <c r="N622" s="20"/>
      <c r="O622" s="20"/>
      <c r="P622" s="20"/>
      <c r="Q622" s="20"/>
      <c r="R622" s="20"/>
      <c r="S622" s="20">
        <v>1385</v>
      </c>
      <c r="T622" s="20">
        <v>3460</v>
      </c>
      <c r="U622" s="20"/>
      <c r="V622" s="20"/>
      <c r="W622" s="20"/>
      <c r="X622" s="20"/>
      <c r="Y622" s="20"/>
      <c r="Z622" s="20"/>
      <c r="AA622" s="20">
        <v>2520</v>
      </c>
      <c r="AB622" s="20">
        <v>6300</v>
      </c>
      <c r="AC622" s="22">
        <f t="shared" si="24"/>
        <v>20111</v>
      </c>
      <c r="AD622" s="22">
        <f t="shared" si="23"/>
        <v>50235</v>
      </c>
    </row>
  </sheetData>
  <autoFilter ref="A3:AD622" xr:uid="{00000000-0009-0000-0000-000000000000}">
    <sortState xmlns:xlrd2="http://schemas.microsoft.com/office/spreadsheetml/2017/richdata2" ref="A12:AD422">
      <sortCondition ref="A3:A622"/>
    </sortState>
  </autoFilter>
  <mergeCells count="13">
    <mergeCell ref="E2:F2"/>
    <mergeCell ref="S2:T2"/>
    <mergeCell ref="M2:N2"/>
    <mergeCell ref="G2:H2"/>
    <mergeCell ref="AC2:AD2"/>
    <mergeCell ref="I2:J2"/>
    <mergeCell ref="K2:L2"/>
    <mergeCell ref="U2:V2"/>
    <mergeCell ref="W2:X2"/>
    <mergeCell ref="O2:P2"/>
    <mergeCell ref="Q2:R2"/>
    <mergeCell ref="Y2:Z2"/>
    <mergeCell ref="AA2:AB2"/>
  </mergeCells>
  <conditionalFormatting sqref="B1:B417 B623:B1048576">
    <cfRule type="duplicateValues" dxfId="4" priority="7"/>
  </conditionalFormatting>
  <conditionalFormatting sqref="B418:B622">
    <cfRule type="duplicateValues" dxfId="3" priority="1"/>
  </conditionalFormatting>
  <printOptions horizontalCentered="1"/>
  <pageMargins left="0.70866141732283472" right="0.70866141732283472" top="0.74803149606299213" bottom="0.74803149606299213" header="0.31496062992125984" footer="0.31496062992125984"/>
  <pageSetup scale="40" fitToWidth="2" fitToHeight="0" orientation="landscape" r:id="rId1"/>
  <headerFooter>
    <oddFooter>&amp;C&amp;P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612"/>
  <sheetViews>
    <sheetView showGridLines="0" zoomScaleNormal="100" workbookViewId="0">
      <pane xSplit="3" ySplit="4" topLeftCell="AL5" activePane="bottomRight" state="frozen"/>
      <selection pane="topRight" activeCell="D1" sqref="D1"/>
      <selection pane="bottomLeft" activeCell="A5" sqref="A5"/>
      <selection pane="bottomRight" activeCell="A4" sqref="A4"/>
    </sheetView>
  </sheetViews>
  <sheetFormatPr defaultColWidth="11.42578125" defaultRowHeight="13.5" x14ac:dyDescent="0.25"/>
  <cols>
    <col min="1" max="1" width="6.7109375" style="6" customWidth="1"/>
    <col min="2" max="2" width="17.5703125" style="4" bestFit="1" customWidth="1"/>
    <col min="3" max="3" width="45.7109375" style="1" customWidth="1"/>
    <col min="4" max="4" width="7.28515625" style="4" customWidth="1"/>
    <col min="5" max="40" width="12.7109375" style="2" customWidth="1"/>
    <col min="41" max="42" width="12.7109375" style="1" customWidth="1"/>
    <col min="43" max="16384" width="11.42578125" style="1"/>
  </cols>
  <sheetData>
    <row r="1" spans="1:52" s="25" customFormat="1" ht="18" x14ac:dyDescent="0.25">
      <c r="A1" s="18" t="s">
        <v>47</v>
      </c>
      <c r="B1" s="17"/>
      <c r="C1" s="17"/>
      <c r="D1" s="5"/>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24"/>
      <c r="AN1" s="24"/>
    </row>
    <row r="2" spans="1:52" s="23" customFormat="1" ht="50.1" customHeight="1" x14ac:dyDescent="0.25">
      <c r="A2" s="7"/>
      <c r="B2" s="8"/>
      <c r="C2" s="8"/>
      <c r="D2" s="8"/>
      <c r="E2" s="31" t="s">
        <v>19</v>
      </c>
      <c r="F2" s="32"/>
      <c r="G2" s="31" t="s">
        <v>20</v>
      </c>
      <c r="H2" s="32"/>
      <c r="I2" s="31" t="s">
        <v>21</v>
      </c>
      <c r="J2" s="32"/>
      <c r="K2" s="31" t="s">
        <v>22</v>
      </c>
      <c r="L2" s="32"/>
      <c r="M2" s="31" t="s">
        <v>23</v>
      </c>
      <c r="N2" s="32"/>
      <c r="O2" s="31" t="s">
        <v>24</v>
      </c>
      <c r="P2" s="32"/>
      <c r="Q2" s="31" t="s">
        <v>25</v>
      </c>
      <c r="R2" s="32"/>
      <c r="S2" s="31" t="s">
        <v>26</v>
      </c>
      <c r="T2" s="32"/>
      <c r="U2" s="31" t="s">
        <v>27</v>
      </c>
      <c r="V2" s="32"/>
      <c r="W2" s="31" t="s">
        <v>28</v>
      </c>
      <c r="X2" s="32"/>
      <c r="Y2" s="31" t="s">
        <v>29</v>
      </c>
      <c r="Z2" s="32"/>
      <c r="AA2" s="31" t="s">
        <v>30</v>
      </c>
      <c r="AB2" s="32"/>
      <c r="AC2" s="31" t="s">
        <v>31</v>
      </c>
      <c r="AD2" s="32"/>
      <c r="AE2" s="31" t="s">
        <v>32</v>
      </c>
      <c r="AF2" s="32"/>
      <c r="AG2" s="31" t="s">
        <v>33</v>
      </c>
      <c r="AH2" s="32"/>
      <c r="AI2" s="31" t="s">
        <v>34</v>
      </c>
      <c r="AJ2" s="32"/>
      <c r="AK2" s="31" t="s">
        <v>35</v>
      </c>
      <c r="AL2" s="32"/>
      <c r="AM2" s="31" t="s">
        <v>36</v>
      </c>
      <c r="AN2" s="32"/>
      <c r="AO2" s="31" t="s">
        <v>37</v>
      </c>
      <c r="AP2" s="32"/>
      <c r="AQ2" s="31" t="s">
        <v>38</v>
      </c>
      <c r="AR2" s="32"/>
      <c r="AS2" s="31" t="s">
        <v>39</v>
      </c>
      <c r="AT2" s="32"/>
      <c r="AU2" s="31" t="s">
        <v>40</v>
      </c>
      <c r="AV2" s="32"/>
      <c r="AW2" s="31" t="s">
        <v>41</v>
      </c>
      <c r="AX2" s="32"/>
      <c r="AY2" s="31" t="s">
        <v>3</v>
      </c>
      <c r="AZ2" s="32"/>
    </row>
    <row r="3" spans="1:52" s="3" customFormat="1" ht="27" x14ac:dyDescent="0.25">
      <c r="A3" s="9" t="s">
        <v>15</v>
      </c>
      <c r="B3" s="10" t="s">
        <v>16</v>
      </c>
      <c r="C3" s="10" t="s">
        <v>17</v>
      </c>
      <c r="D3" s="10" t="s">
        <v>7</v>
      </c>
      <c r="E3" s="9" t="s">
        <v>8</v>
      </c>
      <c r="F3" s="9" t="s">
        <v>9</v>
      </c>
      <c r="G3" s="9" t="s">
        <v>8</v>
      </c>
      <c r="H3" s="9" t="s">
        <v>9</v>
      </c>
      <c r="I3" s="9" t="s">
        <v>8</v>
      </c>
      <c r="J3" s="9" t="s">
        <v>9</v>
      </c>
      <c r="K3" s="9" t="s">
        <v>8</v>
      </c>
      <c r="L3" s="9" t="s">
        <v>9</v>
      </c>
      <c r="M3" s="9" t="s">
        <v>8</v>
      </c>
      <c r="N3" s="9" t="s">
        <v>9</v>
      </c>
      <c r="O3" s="9" t="s">
        <v>8</v>
      </c>
      <c r="P3" s="9" t="s">
        <v>9</v>
      </c>
      <c r="Q3" s="9" t="s">
        <v>8</v>
      </c>
      <c r="R3" s="9" t="s">
        <v>9</v>
      </c>
      <c r="S3" s="9" t="s">
        <v>8</v>
      </c>
      <c r="T3" s="9" t="s">
        <v>9</v>
      </c>
      <c r="U3" s="9" t="s">
        <v>8</v>
      </c>
      <c r="V3" s="9" t="s">
        <v>9</v>
      </c>
      <c r="W3" s="9" t="s">
        <v>8</v>
      </c>
      <c r="X3" s="9" t="s">
        <v>9</v>
      </c>
      <c r="Y3" s="9" t="s">
        <v>8</v>
      </c>
      <c r="Z3" s="9" t="s">
        <v>9</v>
      </c>
      <c r="AA3" s="9" t="s">
        <v>8</v>
      </c>
      <c r="AB3" s="9" t="s">
        <v>9</v>
      </c>
      <c r="AC3" s="9" t="s">
        <v>8</v>
      </c>
      <c r="AD3" s="9" t="s">
        <v>9</v>
      </c>
      <c r="AE3" s="9" t="s">
        <v>8</v>
      </c>
      <c r="AF3" s="9" t="s">
        <v>9</v>
      </c>
      <c r="AG3" s="9" t="s">
        <v>8</v>
      </c>
      <c r="AH3" s="9" t="s">
        <v>9</v>
      </c>
      <c r="AI3" s="9" t="s">
        <v>8</v>
      </c>
      <c r="AJ3" s="9" t="s">
        <v>9</v>
      </c>
      <c r="AK3" s="9" t="s">
        <v>8</v>
      </c>
      <c r="AL3" s="9" t="s">
        <v>9</v>
      </c>
      <c r="AM3" s="9" t="s">
        <v>8</v>
      </c>
      <c r="AN3" s="9" t="s">
        <v>9</v>
      </c>
      <c r="AO3" s="9" t="s">
        <v>8</v>
      </c>
      <c r="AP3" s="9" t="s">
        <v>9</v>
      </c>
      <c r="AQ3" s="9" t="s">
        <v>8</v>
      </c>
      <c r="AR3" s="9" t="s">
        <v>9</v>
      </c>
      <c r="AS3" s="9" t="s">
        <v>8</v>
      </c>
      <c r="AT3" s="9" t="s">
        <v>9</v>
      </c>
      <c r="AU3" s="9" t="s">
        <v>8</v>
      </c>
      <c r="AV3" s="9" t="s">
        <v>9</v>
      </c>
      <c r="AW3" s="9" t="s">
        <v>8</v>
      </c>
      <c r="AX3" s="9" t="s">
        <v>9</v>
      </c>
      <c r="AY3" s="9" t="s">
        <v>8</v>
      </c>
      <c r="AZ3" s="9" t="s">
        <v>9</v>
      </c>
    </row>
    <row r="4" spans="1:52" s="3" customFormat="1" x14ac:dyDescent="0.25">
      <c r="A4" s="11" t="s">
        <v>6</v>
      </c>
      <c r="B4" s="12" t="s">
        <v>2</v>
      </c>
      <c r="C4" s="11">
        <f>SUBTOTAL(3,C5:C612)</f>
        <v>608</v>
      </c>
      <c r="D4" s="11" t="s">
        <v>6</v>
      </c>
      <c r="E4" s="11">
        <f>SUBTOTAL(9,E5:E612)</f>
        <v>254880</v>
      </c>
      <c r="F4" s="11">
        <f t="shared" ref="F4:AY4" si="0">SUBTOTAL(9,F5:F612)</f>
        <v>637005</v>
      </c>
      <c r="G4" s="11">
        <f t="shared" si="0"/>
        <v>464225</v>
      </c>
      <c r="H4" s="11">
        <f t="shared" si="0"/>
        <v>1160037</v>
      </c>
      <c r="I4" s="11">
        <f t="shared" si="0"/>
        <v>2147999</v>
      </c>
      <c r="J4" s="11">
        <f t="shared" si="0"/>
        <v>5369582</v>
      </c>
      <c r="K4" s="11">
        <f t="shared" si="0"/>
        <v>875960</v>
      </c>
      <c r="L4" s="11">
        <f t="shared" si="0"/>
        <v>2189317</v>
      </c>
      <c r="M4" s="11">
        <f t="shared" si="0"/>
        <v>1351933</v>
      </c>
      <c r="N4" s="11">
        <f t="shared" si="0"/>
        <v>3379093</v>
      </c>
      <c r="O4" s="11">
        <f t="shared" si="0"/>
        <v>563502</v>
      </c>
      <c r="P4" s="11">
        <f t="shared" si="0"/>
        <v>1407682</v>
      </c>
      <c r="Q4" s="11">
        <f t="shared" si="0"/>
        <v>191664</v>
      </c>
      <c r="R4" s="11">
        <f t="shared" si="0"/>
        <v>478518</v>
      </c>
      <c r="S4" s="11">
        <f t="shared" si="0"/>
        <v>156474</v>
      </c>
      <c r="T4" s="11">
        <f t="shared" si="0"/>
        <v>390736</v>
      </c>
      <c r="U4" s="11">
        <f t="shared" si="0"/>
        <v>250633</v>
      </c>
      <c r="V4" s="11">
        <f t="shared" si="0"/>
        <v>626213</v>
      </c>
      <c r="W4" s="11">
        <f t="shared" si="0"/>
        <v>299175</v>
      </c>
      <c r="X4" s="11">
        <f t="shared" si="0"/>
        <v>747806</v>
      </c>
      <c r="Y4" s="11">
        <f t="shared" si="0"/>
        <v>333217</v>
      </c>
      <c r="Z4" s="11">
        <f t="shared" si="0"/>
        <v>832448</v>
      </c>
      <c r="AA4" s="11">
        <f t="shared" si="0"/>
        <v>75906</v>
      </c>
      <c r="AB4" s="11">
        <f t="shared" si="0"/>
        <v>189454</v>
      </c>
      <c r="AC4" s="11">
        <f t="shared" si="0"/>
        <v>564599</v>
      </c>
      <c r="AD4" s="11">
        <f t="shared" si="0"/>
        <v>1410828</v>
      </c>
      <c r="AE4" s="11">
        <f t="shared" si="0"/>
        <v>799442</v>
      </c>
      <c r="AF4" s="11">
        <f t="shared" si="0"/>
        <v>1998155</v>
      </c>
      <c r="AG4" s="11">
        <f t="shared" si="0"/>
        <v>467743</v>
      </c>
      <c r="AH4" s="11">
        <f t="shared" si="0"/>
        <v>1169195</v>
      </c>
      <c r="AI4" s="11">
        <f t="shared" si="0"/>
        <v>1106342</v>
      </c>
      <c r="AJ4" s="11">
        <f t="shared" si="0"/>
        <v>2765558</v>
      </c>
      <c r="AK4" s="11">
        <f t="shared" si="0"/>
        <v>911659</v>
      </c>
      <c r="AL4" s="11">
        <f t="shared" si="0"/>
        <v>2278933</v>
      </c>
      <c r="AM4" s="11">
        <f t="shared" si="0"/>
        <v>663979</v>
      </c>
      <c r="AN4" s="11">
        <f t="shared" si="0"/>
        <v>1659606</v>
      </c>
      <c r="AO4" s="11">
        <f t="shared" si="0"/>
        <v>887074</v>
      </c>
      <c r="AP4" s="11">
        <f t="shared" si="0"/>
        <v>2217368</v>
      </c>
      <c r="AQ4" s="11">
        <f t="shared" si="0"/>
        <v>154731</v>
      </c>
      <c r="AR4" s="11">
        <f t="shared" si="0"/>
        <v>386464</v>
      </c>
      <c r="AS4" s="11">
        <f t="shared" si="0"/>
        <v>183767</v>
      </c>
      <c r="AT4" s="11">
        <f t="shared" si="0"/>
        <v>459407</v>
      </c>
      <c r="AU4" s="11">
        <f t="shared" si="0"/>
        <v>186245</v>
      </c>
      <c r="AV4" s="11">
        <f t="shared" si="0"/>
        <v>465519</v>
      </c>
      <c r="AW4" s="11">
        <f t="shared" si="0"/>
        <v>23464</v>
      </c>
      <c r="AX4" s="11">
        <f t="shared" si="0"/>
        <v>58406</v>
      </c>
      <c r="AY4" s="11">
        <f t="shared" si="0"/>
        <v>12914613</v>
      </c>
      <c r="AZ4" s="11">
        <f>SUBTOTAL(9,AZ5:AZ612)</f>
        <v>32277330</v>
      </c>
    </row>
    <row r="5" spans="1:52" x14ac:dyDescent="0.25">
      <c r="A5" s="13">
        <v>1</v>
      </c>
      <c r="B5" s="19" t="s">
        <v>48</v>
      </c>
      <c r="C5" s="26" t="s">
        <v>49</v>
      </c>
      <c r="D5" s="19" t="s">
        <v>42</v>
      </c>
      <c r="E5" s="16">
        <v>96</v>
      </c>
      <c r="F5" s="16">
        <v>240</v>
      </c>
      <c r="G5" s="16"/>
      <c r="H5" s="16"/>
      <c r="I5" s="16">
        <v>4392</v>
      </c>
      <c r="J5" s="16">
        <v>10980</v>
      </c>
      <c r="K5" s="16">
        <v>1560</v>
      </c>
      <c r="L5" s="16">
        <v>3900</v>
      </c>
      <c r="M5" s="16">
        <v>1256</v>
      </c>
      <c r="N5" s="16">
        <v>3140</v>
      </c>
      <c r="O5" s="16">
        <v>1400</v>
      </c>
      <c r="P5" s="16">
        <v>3500</v>
      </c>
      <c r="Q5" s="16"/>
      <c r="R5" s="16"/>
      <c r="S5" s="16"/>
      <c r="T5" s="16"/>
      <c r="U5" s="16">
        <v>44</v>
      </c>
      <c r="V5" s="16">
        <v>110</v>
      </c>
      <c r="W5" s="16"/>
      <c r="X5" s="16"/>
      <c r="Y5" s="16">
        <v>156</v>
      </c>
      <c r="Z5" s="16">
        <v>386</v>
      </c>
      <c r="AA5" s="16"/>
      <c r="AB5" s="16"/>
      <c r="AC5" s="16"/>
      <c r="AD5" s="16"/>
      <c r="AE5" s="16">
        <v>9600</v>
      </c>
      <c r="AF5" s="16">
        <v>24000</v>
      </c>
      <c r="AG5" s="16"/>
      <c r="AH5" s="16"/>
      <c r="AI5" s="16">
        <v>5440</v>
      </c>
      <c r="AJ5" s="16">
        <v>13600</v>
      </c>
      <c r="AK5" s="16">
        <v>416</v>
      </c>
      <c r="AL5" s="16">
        <v>1040</v>
      </c>
      <c r="AM5" s="16">
        <v>1000</v>
      </c>
      <c r="AN5" s="16">
        <v>2496</v>
      </c>
      <c r="AO5" s="15">
        <v>880</v>
      </c>
      <c r="AP5" s="15">
        <v>2200</v>
      </c>
      <c r="AQ5" s="15"/>
      <c r="AR5" s="15"/>
      <c r="AS5" s="15"/>
      <c r="AT5" s="15"/>
      <c r="AU5" s="15">
        <v>80</v>
      </c>
      <c r="AV5" s="15">
        <v>200</v>
      </c>
      <c r="AW5" s="15"/>
      <c r="AX5" s="15"/>
      <c r="AY5" s="27">
        <f t="shared" ref="AY5:AY21" si="1">SUM(E5+G5+I5+K5+M5+O5+Q5+S5+U5+W5+Y5+AA5+AC5+AE5+AG5+AI5+AK5+AM5+AO5+AQ5+AS5+AU5+AW5)</f>
        <v>26320</v>
      </c>
      <c r="AZ5" s="27">
        <f t="shared" ref="AZ5:AZ20" si="2">SUM(F5+H5+J5+L5+N5+P5+R5+T5+V5+X5+Z5+AB5+AD5+AF5+AH5+AJ5+AL5+AN5+AP5+AR5+AT5+AV5+AX5)</f>
        <v>65792</v>
      </c>
    </row>
    <row r="6" spans="1:52" x14ac:dyDescent="0.25">
      <c r="A6" s="13">
        <v>7</v>
      </c>
      <c r="B6" s="19" t="s">
        <v>50</v>
      </c>
      <c r="C6" s="26" t="s">
        <v>51</v>
      </c>
      <c r="D6" s="19" t="s">
        <v>42</v>
      </c>
      <c r="E6" s="16"/>
      <c r="F6" s="16"/>
      <c r="G6" s="16">
        <v>162</v>
      </c>
      <c r="H6" s="16">
        <v>404</v>
      </c>
      <c r="I6" s="16">
        <v>388</v>
      </c>
      <c r="J6" s="16">
        <v>967</v>
      </c>
      <c r="K6" s="16">
        <v>2690</v>
      </c>
      <c r="L6" s="16">
        <v>6724</v>
      </c>
      <c r="M6" s="16"/>
      <c r="N6" s="16"/>
      <c r="O6" s="16">
        <v>44</v>
      </c>
      <c r="P6" s="16">
        <v>108</v>
      </c>
      <c r="Q6" s="16">
        <v>200</v>
      </c>
      <c r="R6" s="16">
        <v>496</v>
      </c>
      <c r="S6" s="16"/>
      <c r="T6" s="16"/>
      <c r="U6" s="16">
        <v>388</v>
      </c>
      <c r="V6" s="16">
        <v>970</v>
      </c>
      <c r="W6" s="16">
        <v>248</v>
      </c>
      <c r="X6" s="16">
        <v>620</v>
      </c>
      <c r="Y6" s="16">
        <v>776</v>
      </c>
      <c r="Z6" s="16">
        <v>1936</v>
      </c>
      <c r="AA6" s="16">
        <v>100</v>
      </c>
      <c r="AB6" s="16">
        <v>250</v>
      </c>
      <c r="AC6" s="16">
        <v>33</v>
      </c>
      <c r="AD6" s="16">
        <v>79</v>
      </c>
      <c r="AE6" s="16">
        <v>290</v>
      </c>
      <c r="AF6" s="16">
        <v>720</v>
      </c>
      <c r="AG6" s="16"/>
      <c r="AH6" s="16"/>
      <c r="AI6" s="16">
        <v>212</v>
      </c>
      <c r="AJ6" s="16">
        <v>530</v>
      </c>
      <c r="AK6" s="16">
        <v>6</v>
      </c>
      <c r="AL6" s="16">
        <v>12</v>
      </c>
      <c r="AM6" s="16"/>
      <c r="AN6" s="16"/>
      <c r="AO6" s="15">
        <v>88</v>
      </c>
      <c r="AP6" s="15">
        <v>220</v>
      </c>
      <c r="AQ6" s="15"/>
      <c r="AR6" s="15"/>
      <c r="AS6" s="15"/>
      <c r="AT6" s="15"/>
      <c r="AU6" s="15">
        <v>80</v>
      </c>
      <c r="AV6" s="15">
        <v>200</v>
      </c>
      <c r="AW6" s="15">
        <v>18</v>
      </c>
      <c r="AX6" s="15">
        <v>42</v>
      </c>
      <c r="AY6" s="27">
        <f t="shared" si="1"/>
        <v>5723</v>
      </c>
      <c r="AZ6" s="27">
        <f t="shared" si="2"/>
        <v>14278</v>
      </c>
    </row>
    <row r="7" spans="1:52" x14ac:dyDescent="0.25">
      <c r="A7" s="13">
        <v>8</v>
      </c>
      <c r="B7" s="19" t="s">
        <v>52</v>
      </c>
      <c r="C7" s="26" t="s">
        <v>53</v>
      </c>
      <c r="D7" s="19" t="s">
        <v>42</v>
      </c>
      <c r="E7" s="16">
        <v>800</v>
      </c>
      <c r="F7" s="16">
        <v>2000</v>
      </c>
      <c r="G7" s="16">
        <v>10782</v>
      </c>
      <c r="H7" s="16">
        <v>26950</v>
      </c>
      <c r="I7" s="16">
        <v>7290</v>
      </c>
      <c r="J7" s="16">
        <v>18222</v>
      </c>
      <c r="K7" s="16">
        <v>21163</v>
      </c>
      <c r="L7" s="16">
        <v>52906</v>
      </c>
      <c r="M7" s="16">
        <v>7490</v>
      </c>
      <c r="N7" s="16">
        <v>18720</v>
      </c>
      <c r="O7" s="16">
        <v>2918</v>
      </c>
      <c r="P7" s="16">
        <v>7292</v>
      </c>
      <c r="Q7" s="16">
        <v>4876</v>
      </c>
      <c r="R7" s="16">
        <v>12186</v>
      </c>
      <c r="S7" s="16">
        <v>416</v>
      </c>
      <c r="T7" s="16">
        <v>1040</v>
      </c>
      <c r="U7" s="16">
        <v>4244</v>
      </c>
      <c r="V7" s="16">
        <v>10603</v>
      </c>
      <c r="W7" s="16">
        <v>96</v>
      </c>
      <c r="X7" s="16">
        <v>240</v>
      </c>
      <c r="Y7" s="16">
        <v>2004</v>
      </c>
      <c r="Z7" s="16">
        <v>5008</v>
      </c>
      <c r="AA7" s="16">
        <v>1760</v>
      </c>
      <c r="AB7" s="16">
        <v>4400</v>
      </c>
      <c r="AC7" s="16">
        <v>1052</v>
      </c>
      <c r="AD7" s="16">
        <v>2629</v>
      </c>
      <c r="AE7" s="16">
        <v>8731</v>
      </c>
      <c r="AF7" s="16">
        <v>21827</v>
      </c>
      <c r="AG7" s="16">
        <v>4240</v>
      </c>
      <c r="AH7" s="16">
        <v>10600</v>
      </c>
      <c r="AI7" s="16">
        <v>8800</v>
      </c>
      <c r="AJ7" s="16">
        <v>22000</v>
      </c>
      <c r="AK7" s="16">
        <v>12728</v>
      </c>
      <c r="AL7" s="16">
        <v>31820</v>
      </c>
      <c r="AM7" s="16">
        <v>3342</v>
      </c>
      <c r="AN7" s="16">
        <v>8352</v>
      </c>
      <c r="AO7" s="15">
        <v>18561</v>
      </c>
      <c r="AP7" s="15">
        <v>46402</v>
      </c>
      <c r="AQ7" s="15">
        <v>5352</v>
      </c>
      <c r="AR7" s="15">
        <v>13380</v>
      </c>
      <c r="AS7" s="15">
        <v>96</v>
      </c>
      <c r="AT7" s="15">
        <v>240</v>
      </c>
      <c r="AU7" s="15">
        <v>12800</v>
      </c>
      <c r="AV7" s="15">
        <v>32000</v>
      </c>
      <c r="AW7" s="15">
        <v>170</v>
      </c>
      <c r="AX7" s="15">
        <v>424</v>
      </c>
      <c r="AY7" s="27">
        <f t="shared" si="1"/>
        <v>139711</v>
      </c>
      <c r="AZ7" s="27">
        <f t="shared" si="2"/>
        <v>349241</v>
      </c>
    </row>
    <row r="8" spans="1:52" x14ac:dyDescent="0.25">
      <c r="A8" s="13">
        <v>9</v>
      </c>
      <c r="B8" s="19" t="s">
        <v>54</v>
      </c>
      <c r="C8" s="26" t="s">
        <v>55</v>
      </c>
      <c r="D8" s="19" t="s">
        <v>42</v>
      </c>
      <c r="E8" s="16">
        <v>20</v>
      </c>
      <c r="F8" s="16">
        <v>48</v>
      </c>
      <c r="G8" s="16">
        <v>70</v>
      </c>
      <c r="H8" s="16">
        <v>174</v>
      </c>
      <c r="I8" s="16">
        <v>400</v>
      </c>
      <c r="J8" s="16">
        <v>1000</v>
      </c>
      <c r="K8" s="16">
        <v>142</v>
      </c>
      <c r="L8" s="16">
        <v>352</v>
      </c>
      <c r="M8" s="16">
        <v>1110</v>
      </c>
      <c r="N8" s="16">
        <v>2772</v>
      </c>
      <c r="O8" s="16"/>
      <c r="P8" s="16"/>
      <c r="Q8" s="16">
        <v>40</v>
      </c>
      <c r="R8" s="16">
        <v>100</v>
      </c>
      <c r="S8" s="16"/>
      <c r="T8" s="16"/>
      <c r="U8" s="16">
        <v>88</v>
      </c>
      <c r="V8" s="16">
        <v>220</v>
      </c>
      <c r="W8" s="16"/>
      <c r="X8" s="16"/>
      <c r="Y8" s="16"/>
      <c r="Z8" s="16"/>
      <c r="AA8" s="16"/>
      <c r="AB8" s="16"/>
      <c r="AC8" s="16"/>
      <c r="AD8" s="16"/>
      <c r="AE8" s="16"/>
      <c r="AF8" s="16"/>
      <c r="AG8" s="16"/>
      <c r="AH8" s="16"/>
      <c r="AI8" s="16"/>
      <c r="AJ8" s="16"/>
      <c r="AK8" s="16">
        <v>48</v>
      </c>
      <c r="AL8" s="16">
        <v>120</v>
      </c>
      <c r="AM8" s="16"/>
      <c r="AN8" s="16"/>
      <c r="AO8" s="15">
        <v>309</v>
      </c>
      <c r="AP8" s="15">
        <v>772</v>
      </c>
      <c r="AQ8" s="15"/>
      <c r="AR8" s="15"/>
      <c r="AS8" s="15"/>
      <c r="AT8" s="15"/>
      <c r="AU8" s="15">
        <v>24</v>
      </c>
      <c r="AV8" s="15">
        <v>60</v>
      </c>
      <c r="AW8" s="15"/>
      <c r="AX8" s="15"/>
      <c r="AY8" s="27">
        <f t="shared" si="1"/>
        <v>2251</v>
      </c>
      <c r="AZ8" s="27">
        <f t="shared" si="2"/>
        <v>5618</v>
      </c>
    </row>
    <row r="9" spans="1:52" x14ac:dyDescent="0.25">
      <c r="A9" s="13">
        <v>10</v>
      </c>
      <c r="B9" s="19" t="s">
        <v>56</v>
      </c>
      <c r="C9" s="26" t="s">
        <v>57</v>
      </c>
      <c r="D9" s="19" t="s">
        <v>42</v>
      </c>
      <c r="E9" s="16">
        <v>265</v>
      </c>
      <c r="F9" s="16">
        <v>662</v>
      </c>
      <c r="G9" s="16">
        <v>3032</v>
      </c>
      <c r="H9" s="16">
        <v>7580</v>
      </c>
      <c r="I9" s="16">
        <v>12458</v>
      </c>
      <c r="J9" s="16">
        <v>31142</v>
      </c>
      <c r="K9" s="16">
        <v>6508</v>
      </c>
      <c r="L9" s="16">
        <v>16270</v>
      </c>
      <c r="M9" s="16">
        <v>7895</v>
      </c>
      <c r="N9" s="16">
        <v>19736</v>
      </c>
      <c r="O9" s="16">
        <v>359</v>
      </c>
      <c r="P9" s="16">
        <v>896</v>
      </c>
      <c r="Q9" s="16">
        <v>4676</v>
      </c>
      <c r="R9" s="16">
        <v>11688</v>
      </c>
      <c r="S9" s="16">
        <v>720</v>
      </c>
      <c r="T9" s="16">
        <v>1800</v>
      </c>
      <c r="U9" s="16">
        <v>1532</v>
      </c>
      <c r="V9" s="16">
        <v>3828</v>
      </c>
      <c r="W9" s="16">
        <v>320</v>
      </c>
      <c r="X9" s="16">
        <v>800</v>
      </c>
      <c r="Y9" s="16">
        <v>928</v>
      </c>
      <c r="Z9" s="16">
        <v>2320</v>
      </c>
      <c r="AA9" s="16">
        <v>400</v>
      </c>
      <c r="AB9" s="16">
        <v>1000</v>
      </c>
      <c r="AC9" s="16">
        <v>3286</v>
      </c>
      <c r="AD9" s="16">
        <v>8214</v>
      </c>
      <c r="AE9" s="16">
        <v>382</v>
      </c>
      <c r="AF9" s="16">
        <v>953</v>
      </c>
      <c r="AG9" s="16">
        <v>104</v>
      </c>
      <c r="AH9" s="16">
        <v>260</v>
      </c>
      <c r="AI9" s="16">
        <v>800</v>
      </c>
      <c r="AJ9" s="16">
        <v>2000</v>
      </c>
      <c r="AK9" s="16">
        <v>876</v>
      </c>
      <c r="AL9" s="16">
        <v>2190</v>
      </c>
      <c r="AM9" s="16">
        <v>808</v>
      </c>
      <c r="AN9" s="16">
        <v>2016</v>
      </c>
      <c r="AO9" s="15">
        <v>2080</v>
      </c>
      <c r="AP9" s="15">
        <v>5200</v>
      </c>
      <c r="AQ9" s="15">
        <v>287</v>
      </c>
      <c r="AR9" s="15">
        <v>715</v>
      </c>
      <c r="AS9" s="15"/>
      <c r="AT9" s="15"/>
      <c r="AU9" s="15"/>
      <c r="AV9" s="15"/>
      <c r="AW9" s="15">
        <v>294</v>
      </c>
      <c r="AX9" s="15">
        <v>734</v>
      </c>
      <c r="AY9" s="27">
        <f t="shared" si="1"/>
        <v>48010</v>
      </c>
      <c r="AZ9" s="27">
        <f t="shared" si="2"/>
        <v>120004</v>
      </c>
    </row>
    <row r="10" spans="1:52" x14ac:dyDescent="0.25">
      <c r="A10" s="13">
        <v>11</v>
      </c>
      <c r="B10" s="19" t="s">
        <v>58</v>
      </c>
      <c r="C10" s="26" t="s">
        <v>59</v>
      </c>
      <c r="D10" s="19" t="s">
        <v>42</v>
      </c>
      <c r="E10" s="16">
        <v>20</v>
      </c>
      <c r="F10" s="16">
        <v>48</v>
      </c>
      <c r="G10" s="16">
        <v>54</v>
      </c>
      <c r="H10" s="16">
        <v>134</v>
      </c>
      <c r="I10" s="16">
        <v>218</v>
      </c>
      <c r="J10" s="16">
        <v>544</v>
      </c>
      <c r="K10" s="16">
        <v>374</v>
      </c>
      <c r="L10" s="16">
        <v>932</v>
      </c>
      <c r="M10" s="16">
        <v>129</v>
      </c>
      <c r="N10" s="16">
        <v>320</v>
      </c>
      <c r="O10" s="16">
        <v>14</v>
      </c>
      <c r="P10" s="16">
        <v>31</v>
      </c>
      <c r="Q10" s="16">
        <v>40</v>
      </c>
      <c r="R10" s="16">
        <v>100</v>
      </c>
      <c r="S10" s="16">
        <v>9</v>
      </c>
      <c r="T10" s="16">
        <v>21</v>
      </c>
      <c r="U10" s="16">
        <v>19</v>
      </c>
      <c r="V10" s="16">
        <v>45</v>
      </c>
      <c r="W10" s="16">
        <v>15</v>
      </c>
      <c r="X10" s="16">
        <v>36</v>
      </c>
      <c r="Y10" s="16">
        <v>48</v>
      </c>
      <c r="Z10" s="16">
        <v>116</v>
      </c>
      <c r="AA10" s="16">
        <v>24</v>
      </c>
      <c r="AB10" s="16">
        <v>60</v>
      </c>
      <c r="AC10" s="16">
        <v>35</v>
      </c>
      <c r="AD10" s="16">
        <v>84</v>
      </c>
      <c r="AE10" s="16">
        <v>23</v>
      </c>
      <c r="AF10" s="16">
        <v>56</v>
      </c>
      <c r="AG10" s="16">
        <v>16</v>
      </c>
      <c r="AH10" s="16">
        <v>40</v>
      </c>
      <c r="AI10" s="16">
        <v>40</v>
      </c>
      <c r="AJ10" s="16">
        <v>100</v>
      </c>
      <c r="AK10" s="16">
        <v>48</v>
      </c>
      <c r="AL10" s="16">
        <v>115</v>
      </c>
      <c r="AM10" s="16">
        <v>106</v>
      </c>
      <c r="AN10" s="16">
        <v>264</v>
      </c>
      <c r="AO10" s="15">
        <v>24</v>
      </c>
      <c r="AP10" s="15">
        <v>60</v>
      </c>
      <c r="AQ10" s="15">
        <v>12</v>
      </c>
      <c r="AR10" s="15">
        <v>30</v>
      </c>
      <c r="AS10" s="15">
        <v>8</v>
      </c>
      <c r="AT10" s="15">
        <v>20</v>
      </c>
      <c r="AU10" s="15">
        <v>44</v>
      </c>
      <c r="AV10" s="15">
        <v>107</v>
      </c>
      <c r="AW10" s="15">
        <v>18</v>
      </c>
      <c r="AX10" s="15">
        <v>42</v>
      </c>
      <c r="AY10" s="27">
        <f t="shared" si="1"/>
        <v>1338</v>
      </c>
      <c r="AZ10" s="27">
        <f t="shared" si="2"/>
        <v>3305</v>
      </c>
    </row>
    <row r="11" spans="1:52" x14ac:dyDescent="0.25">
      <c r="A11" s="13">
        <v>12</v>
      </c>
      <c r="B11" s="19" t="s">
        <v>60</v>
      </c>
      <c r="C11" s="26" t="s">
        <v>61</v>
      </c>
      <c r="D11" s="19" t="s">
        <v>42</v>
      </c>
      <c r="E11" s="16"/>
      <c r="F11" s="16"/>
      <c r="G11" s="16"/>
      <c r="H11" s="16"/>
      <c r="I11" s="16">
        <v>2112</v>
      </c>
      <c r="J11" s="16">
        <v>5280</v>
      </c>
      <c r="K11" s="16"/>
      <c r="L11" s="16"/>
      <c r="M11" s="16">
        <v>4</v>
      </c>
      <c r="N11" s="16">
        <v>10</v>
      </c>
      <c r="O11" s="16"/>
      <c r="P11" s="16"/>
      <c r="Q11" s="16"/>
      <c r="R11" s="16"/>
      <c r="S11" s="16"/>
      <c r="T11" s="16"/>
      <c r="U11" s="16"/>
      <c r="V11" s="16"/>
      <c r="W11" s="16">
        <v>36</v>
      </c>
      <c r="X11" s="16">
        <v>90</v>
      </c>
      <c r="Y11" s="16"/>
      <c r="Z11" s="16"/>
      <c r="AA11" s="16">
        <v>16</v>
      </c>
      <c r="AB11" s="16">
        <v>40</v>
      </c>
      <c r="AC11" s="16">
        <v>87</v>
      </c>
      <c r="AD11" s="16">
        <v>215</v>
      </c>
      <c r="AE11" s="16"/>
      <c r="AF11" s="16"/>
      <c r="AG11" s="16">
        <v>30</v>
      </c>
      <c r="AH11" s="16">
        <v>72</v>
      </c>
      <c r="AI11" s="16"/>
      <c r="AJ11" s="16"/>
      <c r="AK11" s="16"/>
      <c r="AL11" s="16"/>
      <c r="AM11" s="16">
        <v>20</v>
      </c>
      <c r="AN11" s="16">
        <v>48</v>
      </c>
      <c r="AO11" s="15">
        <v>10</v>
      </c>
      <c r="AP11" s="15">
        <v>24</v>
      </c>
      <c r="AQ11" s="15"/>
      <c r="AR11" s="15"/>
      <c r="AS11" s="15"/>
      <c r="AT11" s="15"/>
      <c r="AU11" s="15"/>
      <c r="AV11" s="15"/>
      <c r="AW11" s="15"/>
      <c r="AX11" s="15"/>
      <c r="AY11" s="27">
        <f t="shared" si="1"/>
        <v>2315</v>
      </c>
      <c r="AZ11" s="27">
        <f t="shared" si="2"/>
        <v>5779</v>
      </c>
    </row>
    <row r="12" spans="1:52" x14ac:dyDescent="0.25">
      <c r="A12" s="13">
        <v>13</v>
      </c>
      <c r="B12" s="19" t="s">
        <v>62</v>
      </c>
      <c r="C12" s="26" t="s">
        <v>63</v>
      </c>
      <c r="D12" s="19" t="s">
        <v>42</v>
      </c>
      <c r="E12" s="16">
        <v>240</v>
      </c>
      <c r="F12" s="16">
        <v>600</v>
      </c>
      <c r="G12" s="16">
        <v>160</v>
      </c>
      <c r="H12" s="16">
        <v>400</v>
      </c>
      <c r="I12" s="16">
        <v>2600</v>
      </c>
      <c r="J12" s="16">
        <v>6500</v>
      </c>
      <c r="K12" s="16">
        <v>34848</v>
      </c>
      <c r="L12" s="16">
        <v>87120</v>
      </c>
      <c r="M12" s="16"/>
      <c r="N12" s="16"/>
      <c r="O12" s="16">
        <v>2874</v>
      </c>
      <c r="P12" s="16">
        <v>7181</v>
      </c>
      <c r="Q12" s="16"/>
      <c r="R12" s="16"/>
      <c r="S12" s="16"/>
      <c r="T12" s="16"/>
      <c r="U12" s="16"/>
      <c r="V12" s="16"/>
      <c r="W12" s="16"/>
      <c r="X12" s="16"/>
      <c r="Y12" s="16"/>
      <c r="Z12" s="16"/>
      <c r="AA12" s="16"/>
      <c r="AB12" s="16"/>
      <c r="AC12" s="16">
        <v>2294</v>
      </c>
      <c r="AD12" s="16">
        <v>5733</v>
      </c>
      <c r="AE12" s="16"/>
      <c r="AF12" s="16"/>
      <c r="AG12" s="16"/>
      <c r="AH12" s="16"/>
      <c r="AI12" s="16">
        <v>96</v>
      </c>
      <c r="AJ12" s="16">
        <v>240</v>
      </c>
      <c r="AK12" s="16">
        <v>8</v>
      </c>
      <c r="AL12" s="16">
        <v>20</v>
      </c>
      <c r="AM12" s="16">
        <v>356</v>
      </c>
      <c r="AN12" s="16">
        <v>888</v>
      </c>
      <c r="AO12" s="15"/>
      <c r="AP12" s="15"/>
      <c r="AQ12" s="15"/>
      <c r="AR12" s="15"/>
      <c r="AS12" s="15"/>
      <c r="AT12" s="15"/>
      <c r="AU12" s="15"/>
      <c r="AV12" s="15"/>
      <c r="AW12" s="15"/>
      <c r="AX12" s="15"/>
      <c r="AY12" s="27">
        <f t="shared" si="1"/>
        <v>43476</v>
      </c>
      <c r="AZ12" s="27">
        <f t="shared" si="2"/>
        <v>108682</v>
      </c>
    </row>
    <row r="13" spans="1:52" x14ac:dyDescent="0.25">
      <c r="A13" s="13">
        <v>14</v>
      </c>
      <c r="B13" s="19" t="s">
        <v>64</v>
      </c>
      <c r="C13" s="26" t="s">
        <v>65</v>
      </c>
      <c r="D13" s="19" t="s">
        <v>42</v>
      </c>
      <c r="E13" s="16"/>
      <c r="F13" s="16"/>
      <c r="G13" s="16">
        <v>20</v>
      </c>
      <c r="H13" s="16">
        <v>50</v>
      </c>
      <c r="I13" s="16"/>
      <c r="J13" s="16"/>
      <c r="K13" s="16">
        <v>660</v>
      </c>
      <c r="L13" s="16">
        <v>1650</v>
      </c>
      <c r="M13" s="16">
        <v>40</v>
      </c>
      <c r="N13" s="16">
        <v>100</v>
      </c>
      <c r="O13" s="16">
        <v>337</v>
      </c>
      <c r="P13" s="16">
        <v>840</v>
      </c>
      <c r="Q13" s="16"/>
      <c r="R13" s="16"/>
      <c r="S13" s="16"/>
      <c r="T13" s="16"/>
      <c r="U13" s="16">
        <v>880</v>
      </c>
      <c r="V13" s="16">
        <v>2200</v>
      </c>
      <c r="W13" s="16"/>
      <c r="X13" s="16"/>
      <c r="Y13" s="16"/>
      <c r="Z13" s="16"/>
      <c r="AA13" s="16"/>
      <c r="AB13" s="16"/>
      <c r="AC13" s="16">
        <v>4576</v>
      </c>
      <c r="AD13" s="16">
        <v>11440</v>
      </c>
      <c r="AE13" s="16"/>
      <c r="AF13" s="16"/>
      <c r="AG13" s="16"/>
      <c r="AH13" s="16"/>
      <c r="AI13" s="16">
        <v>400</v>
      </c>
      <c r="AJ13" s="16">
        <v>1000</v>
      </c>
      <c r="AK13" s="16"/>
      <c r="AL13" s="16"/>
      <c r="AM13" s="16">
        <v>20</v>
      </c>
      <c r="AN13" s="16">
        <v>48</v>
      </c>
      <c r="AO13" s="15"/>
      <c r="AP13" s="15"/>
      <c r="AQ13" s="15"/>
      <c r="AR13" s="15"/>
      <c r="AS13" s="15"/>
      <c r="AT13" s="15"/>
      <c r="AU13" s="15"/>
      <c r="AV13" s="15"/>
      <c r="AW13" s="15"/>
      <c r="AX13" s="15"/>
      <c r="AY13" s="27">
        <f t="shared" si="1"/>
        <v>6933</v>
      </c>
      <c r="AZ13" s="27">
        <f t="shared" si="2"/>
        <v>17328</v>
      </c>
    </row>
    <row r="14" spans="1:52" x14ac:dyDescent="0.25">
      <c r="A14" s="13">
        <v>15</v>
      </c>
      <c r="B14" s="19" t="s">
        <v>66</v>
      </c>
      <c r="C14" s="26" t="s">
        <v>67</v>
      </c>
      <c r="D14" s="19" t="s">
        <v>42</v>
      </c>
      <c r="E14" s="16">
        <v>52</v>
      </c>
      <c r="F14" s="16">
        <v>130</v>
      </c>
      <c r="G14" s="16">
        <v>268</v>
      </c>
      <c r="H14" s="16">
        <v>670</v>
      </c>
      <c r="I14" s="16"/>
      <c r="J14" s="16"/>
      <c r="K14" s="16">
        <v>505</v>
      </c>
      <c r="L14" s="16">
        <v>1262</v>
      </c>
      <c r="M14" s="16">
        <v>404</v>
      </c>
      <c r="N14" s="16">
        <v>1010</v>
      </c>
      <c r="O14" s="16">
        <v>235</v>
      </c>
      <c r="P14" s="16">
        <v>583</v>
      </c>
      <c r="Q14" s="16">
        <v>4636</v>
      </c>
      <c r="R14" s="16">
        <v>11586</v>
      </c>
      <c r="S14" s="16">
        <v>1200</v>
      </c>
      <c r="T14" s="16">
        <v>3000</v>
      </c>
      <c r="U14" s="16">
        <v>1610</v>
      </c>
      <c r="V14" s="16">
        <v>4024</v>
      </c>
      <c r="W14" s="16">
        <v>320</v>
      </c>
      <c r="X14" s="16">
        <v>800</v>
      </c>
      <c r="Y14" s="16">
        <v>2304</v>
      </c>
      <c r="Z14" s="16">
        <v>5760</v>
      </c>
      <c r="AA14" s="16">
        <v>640</v>
      </c>
      <c r="AB14" s="16">
        <v>1600</v>
      </c>
      <c r="AC14" s="16">
        <v>5720</v>
      </c>
      <c r="AD14" s="16">
        <v>14300</v>
      </c>
      <c r="AE14" s="16">
        <v>4993</v>
      </c>
      <c r="AF14" s="16">
        <v>12480</v>
      </c>
      <c r="AG14" s="16">
        <v>1176</v>
      </c>
      <c r="AH14" s="16">
        <v>2940</v>
      </c>
      <c r="AI14" s="16">
        <v>9920</v>
      </c>
      <c r="AJ14" s="16">
        <v>24800</v>
      </c>
      <c r="AK14" s="16">
        <v>3216</v>
      </c>
      <c r="AL14" s="16">
        <v>8040</v>
      </c>
      <c r="AM14" s="16">
        <v>154</v>
      </c>
      <c r="AN14" s="16">
        <v>384</v>
      </c>
      <c r="AO14" s="15">
        <v>240</v>
      </c>
      <c r="AP14" s="15">
        <v>600</v>
      </c>
      <c r="AQ14" s="15">
        <v>30</v>
      </c>
      <c r="AR14" s="15">
        <v>72</v>
      </c>
      <c r="AS14" s="15">
        <v>300</v>
      </c>
      <c r="AT14" s="15">
        <v>750</v>
      </c>
      <c r="AU14" s="15">
        <v>880</v>
      </c>
      <c r="AV14" s="15">
        <v>2200</v>
      </c>
      <c r="AW14" s="15">
        <v>168</v>
      </c>
      <c r="AX14" s="15">
        <v>416</v>
      </c>
      <c r="AY14" s="27">
        <f t="shared" si="1"/>
        <v>38971</v>
      </c>
      <c r="AZ14" s="27">
        <f t="shared" si="2"/>
        <v>97407</v>
      </c>
    </row>
    <row r="15" spans="1:52" x14ac:dyDescent="0.25">
      <c r="A15" s="13">
        <v>16</v>
      </c>
      <c r="B15" s="19" t="s">
        <v>68</v>
      </c>
      <c r="C15" s="26" t="s">
        <v>69</v>
      </c>
      <c r="D15" s="19" t="s">
        <v>42</v>
      </c>
      <c r="E15" s="16">
        <v>80</v>
      </c>
      <c r="F15" s="16">
        <v>200</v>
      </c>
      <c r="G15" s="16">
        <v>40</v>
      </c>
      <c r="H15" s="16">
        <v>100</v>
      </c>
      <c r="I15" s="16">
        <v>4320</v>
      </c>
      <c r="J15" s="16">
        <v>10800</v>
      </c>
      <c r="K15" s="16">
        <v>940</v>
      </c>
      <c r="L15" s="16">
        <v>2349</v>
      </c>
      <c r="M15" s="16">
        <v>160</v>
      </c>
      <c r="N15" s="16">
        <v>400</v>
      </c>
      <c r="O15" s="16"/>
      <c r="P15" s="16"/>
      <c r="Q15" s="16">
        <v>488</v>
      </c>
      <c r="R15" s="16">
        <v>1218</v>
      </c>
      <c r="S15" s="16"/>
      <c r="T15" s="16"/>
      <c r="U15" s="16"/>
      <c r="V15" s="16"/>
      <c r="W15" s="16"/>
      <c r="X15" s="16"/>
      <c r="Y15" s="16"/>
      <c r="Z15" s="16"/>
      <c r="AA15" s="16">
        <v>80</v>
      </c>
      <c r="AB15" s="16">
        <v>200</v>
      </c>
      <c r="AC15" s="16">
        <v>3432</v>
      </c>
      <c r="AD15" s="16">
        <v>8580</v>
      </c>
      <c r="AE15" s="16">
        <v>912</v>
      </c>
      <c r="AF15" s="16">
        <v>2280</v>
      </c>
      <c r="AG15" s="16">
        <v>1008</v>
      </c>
      <c r="AH15" s="16">
        <v>2520</v>
      </c>
      <c r="AI15" s="16"/>
      <c r="AJ15" s="16"/>
      <c r="AK15" s="16">
        <v>10</v>
      </c>
      <c r="AL15" s="16">
        <v>24</v>
      </c>
      <c r="AM15" s="16">
        <v>232</v>
      </c>
      <c r="AN15" s="16">
        <v>576</v>
      </c>
      <c r="AO15" s="15">
        <v>2812</v>
      </c>
      <c r="AP15" s="15">
        <v>7030</v>
      </c>
      <c r="AQ15" s="15"/>
      <c r="AR15" s="15"/>
      <c r="AS15" s="15"/>
      <c r="AT15" s="15"/>
      <c r="AU15" s="15"/>
      <c r="AV15" s="15"/>
      <c r="AW15" s="15">
        <v>36</v>
      </c>
      <c r="AX15" s="15">
        <v>88</v>
      </c>
      <c r="AY15" s="27">
        <f t="shared" si="1"/>
        <v>14550</v>
      </c>
      <c r="AZ15" s="27">
        <f t="shared" si="2"/>
        <v>36365</v>
      </c>
    </row>
    <row r="16" spans="1:52" x14ac:dyDescent="0.25">
      <c r="A16" s="13">
        <v>17</v>
      </c>
      <c r="B16" s="19" t="s">
        <v>70</v>
      </c>
      <c r="C16" s="26" t="s">
        <v>71</v>
      </c>
      <c r="D16" s="19" t="s">
        <v>42</v>
      </c>
      <c r="E16" s="16">
        <v>64</v>
      </c>
      <c r="F16" s="16">
        <v>160</v>
      </c>
      <c r="G16" s="16">
        <v>2</v>
      </c>
      <c r="H16" s="16">
        <v>2</v>
      </c>
      <c r="I16" s="16"/>
      <c r="J16" s="16"/>
      <c r="K16" s="16">
        <v>1288</v>
      </c>
      <c r="L16" s="16">
        <v>3220</v>
      </c>
      <c r="M16" s="16">
        <v>184</v>
      </c>
      <c r="N16" s="16">
        <v>460</v>
      </c>
      <c r="O16" s="16">
        <v>95</v>
      </c>
      <c r="P16" s="16">
        <v>235</v>
      </c>
      <c r="Q16" s="16"/>
      <c r="R16" s="16"/>
      <c r="S16" s="16">
        <v>288</v>
      </c>
      <c r="T16" s="16">
        <v>720</v>
      </c>
      <c r="U16" s="16">
        <v>44</v>
      </c>
      <c r="V16" s="16">
        <v>110</v>
      </c>
      <c r="W16" s="16">
        <v>128</v>
      </c>
      <c r="X16" s="16">
        <v>320</v>
      </c>
      <c r="Y16" s="16">
        <v>160</v>
      </c>
      <c r="Z16" s="16">
        <v>400</v>
      </c>
      <c r="AA16" s="16"/>
      <c r="AB16" s="16"/>
      <c r="AC16" s="16"/>
      <c r="AD16" s="16"/>
      <c r="AE16" s="16"/>
      <c r="AF16" s="16"/>
      <c r="AG16" s="16"/>
      <c r="AH16" s="16"/>
      <c r="AI16" s="16">
        <v>720</v>
      </c>
      <c r="AJ16" s="16">
        <v>1800</v>
      </c>
      <c r="AK16" s="16"/>
      <c r="AL16" s="16"/>
      <c r="AM16" s="16">
        <v>96</v>
      </c>
      <c r="AN16" s="16">
        <v>240</v>
      </c>
      <c r="AO16" s="15"/>
      <c r="AP16" s="15"/>
      <c r="AQ16" s="15"/>
      <c r="AR16" s="15"/>
      <c r="AS16" s="15"/>
      <c r="AT16" s="15"/>
      <c r="AU16" s="15">
        <v>166</v>
      </c>
      <c r="AV16" s="15">
        <v>412</v>
      </c>
      <c r="AW16" s="15"/>
      <c r="AX16" s="15"/>
      <c r="AY16" s="27">
        <f t="shared" si="1"/>
        <v>3235</v>
      </c>
      <c r="AZ16" s="27">
        <f t="shared" si="2"/>
        <v>8079</v>
      </c>
    </row>
    <row r="17" spans="1:52" x14ac:dyDescent="0.25">
      <c r="A17" s="13">
        <v>18</v>
      </c>
      <c r="B17" s="19" t="s">
        <v>72</v>
      </c>
      <c r="C17" s="26" t="s">
        <v>73</v>
      </c>
      <c r="D17" s="19" t="s">
        <v>42</v>
      </c>
      <c r="E17" s="16">
        <v>6</v>
      </c>
      <c r="F17" s="16">
        <v>12</v>
      </c>
      <c r="G17" s="16">
        <v>84</v>
      </c>
      <c r="H17" s="16">
        <v>210</v>
      </c>
      <c r="I17" s="16">
        <v>478</v>
      </c>
      <c r="J17" s="16">
        <v>1192</v>
      </c>
      <c r="K17" s="16">
        <v>1183</v>
      </c>
      <c r="L17" s="16">
        <v>2955</v>
      </c>
      <c r="M17" s="16">
        <v>228</v>
      </c>
      <c r="N17" s="16">
        <v>568</v>
      </c>
      <c r="O17" s="16">
        <v>23</v>
      </c>
      <c r="P17" s="16">
        <v>53</v>
      </c>
      <c r="Q17" s="16"/>
      <c r="R17" s="16"/>
      <c r="S17" s="16">
        <v>1</v>
      </c>
      <c r="T17" s="16">
        <v>2</v>
      </c>
      <c r="U17" s="16">
        <v>24</v>
      </c>
      <c r="V17" s="16">
        <v>59</v>
      </c>
      <c r="W17" s="16">
        <v>36</v>
      </c>
      <c r="X17" s="16">
        <v>90</v>
      </c>
      <c r="Y17" s="16">
        <v>40</v>
      </c>
      <c r="Z17" s="16">
        <v>96</v>
      </c>
      <c r="AA17" s="16"/>
      <c r="AB17" s="16"/>
      <c r="AC17" s="16">
        <v>13</v>
      </c>
      <c r="AD17" s="16">
        <v>29</v>
      </c>
      <c r="AE17" s="16"/>
      <c r="AF17" s="16"/>
      <c r="AG17" s="16"/>
      <c r="AH17" s="16"/>
      <c r="AI17" s="16">
        <v>40</v>
      </c>
      <c r="AJ17" s="16">
        <v>100</v>
      </c>
      <c r="AK17" s="16">
        <v>24</v>
      </c>
      <c r="AL17" s="16">
        <v>60</v>
      </c>
      <c r="AM17" s="16">
        <v>3024</v>
      </c>
      <c r="AN17" s="16">
        <v>7560</v>
      </c>
      <c r="AO17" s="15"/>
      <c r="AP17" s="15"/>
      <c r="AQ17" s="15">
        <v>1</v>
      </c>
      <c r="AR17" s="15">
        <v>1</v>
      </c>
      <c r="AS17" s="15">
        <v>720</v>
      </c>
      <c r="AT17" s="15">
        <v>1800</v>
      </c>
      <c r="AU17" s="15">
        <v>4</v>
      </c>
      <c r="AV17" s="15">
        <v>6</v>
      </c>
      <c r="AW17" s="15">
        <v>8</v>
      </c>
      <c r="AX17" s="15">
        <v>20</v>
      </c>
      <c r="AY17" s="27">
        <f t="shared" si="1"/>
        <v>5937</v>
      </c>
      <c r="AZ17" s="27">
        <f t="shared" si="2"/>
        <v>14813</v>
      </c>
    </row>
    <row r="18" spans="1:52" x14ac:dyDescent="0.25">
      <c r="A18" s="13">
        <v>19</v>
      </c>
      <c r="B18" s="19" t="s">
        <v>74</v>
      </c>
      <c r="C18" s="26" t="s">
        <v>75</v>
      </c>
      <c r="D18" s="19" t="s">
        <v>42</v>
      </c>
      <c r="E18" s="16">
        <v>240</v>
      </c>
      <c r="F18" s="16">
        <v>600</v>
      </c>
      <c r="G18" s="16">
        <v>12</v>
      </c>
      <c r="H18" s="16">
        <v>28</v>
      </c>
      <c r="I18" s="16">
        <v>124</v>
      </c>
      <c r="J18" s="16">
        <v>310</v>
      </c>
      <c r="K18" s="16">
        <v>24</v>
      </c>
      <c r="L18" s="16">
        <v>60</v>
      </c>
      <c r="M18" s="16">
        <v>1725</v>
      </c>
      <c r="N18" s="16">
        <v>4308</v>
      </c>
      <c r="O18" s="16">
        <v>157</v>
      </c>
      <c r="P18" s="16">
        <v>388</v>
      </c>
      <c r="Q18" s="16">
        <v>40</v>
      </c>
      <c r="R18" s="16">
        <v>100</v>
      </c>
      <c r="S18" s="16">
        <v>30</v>
      </c>
      <c r="T18" s="16">
        <v>72</v>
      </c>
      <c r="U18" s="16">
        <v>33</v>
      </c>
      <c r="V18" s="16">
        <v>81</v>
      </c>
      <c r="W18" s="16">
        <v>200</v>
      </c>
      <c r="X18" s="16">
        <v>500</v>
      </c>
      <c r="Y18" s="16">
        <v>14</v>
      </c>
      <c r="Z18" s="16">
        <v>32</v>
      </c>
      <c r="AA18" s="16">
        <v>48</v>
      </c>
      <c r="AB18" s="16">
        <v>120</v>
      </c>
      <c r="AC18" s="16">
        <v>286</v>
      </c>
      <c r="AD18" s="16">
        <v>715</v>
      </c>
      <c r="AE18" s="16">
        <v>4</v>
      </c>
      <c r="AF18" s="16">
        <v>8</v>
      </c>
      <c r="AG18" s="16">
        <v>62</v>
      </c>
      <c r="AH18" s="16">
        <v>152</v>
      </c>
      <c r="AI18" s="16">
        <v>40</v>
      </c>
      <c r="AJ18" s="16">
        <v>100</v>
      </c>
      <c r="AK18" s="16">
        <v>242</v>
      </c>
      <c r="AL18" s="16">
        <v>602</v>
      </c>
      <c r="AM18" s="16">
        <v>20</v>
      </c>
      <c r="AN18" s="16">
        <v>48</v>
      </c>
      <c r="AO18" s="15">
        <v>208</v>
      </c>
      <c r="AP18" s="15">
        <v>520</v>
      </c>
      <c r="AQ18" s="15">
        <v>3</v>
      </c>
      <c r="AR18" s="15">
        <v>6</v>
      </c>
      <c r="AS18" s="15"/>
      <c r="AT18" s="15"/>
      <c r="AU18" s="15"/>
      <c r="AV18" s="15"/>
      <c r="AW18" s="15">
        <v>12</v>
      </c>
      <c r="AX18" s="15">
        <v>30</v>
      </c>
      <c r="AY18" s="27">
        <f t="shared" si="1"/>
        <v>3524</v>
      </c>
      <c r="AZ18" s="27">
        <f t="shared" si="2"/>
        <v>8780</v>
      </c>
    </row>
    <row r="19" spans="1:52" x14ac:dyDescent="0.25">
      <c r="A19" s="13">
        <v>21</v>
      </c>
      <c r="B19" s="19" t="s">
        <v>76</v>
      </c>
      <c r="C19" s="26" t="s">
        <v>77</v>
      </c>
      <c r="D19" s="19" t="s">
        <v>42</v>
      </c>
      <c r="E19" s="16">
        <v>80</v>
      </c>
      <c r="F19" s="16">
        <v>200</v>
      </c>
      <c r="G19" s="16">
        <v>26</v>
      </c>
      <c r="H19" s="16">
        <v>58</v>
      </c>
      <c r="I19" s="16">
        <v>563</v>
      </c>
      <c r="J19" s="16">
        <v>1401</v>
      </c>
      <c r="K19" s="16">
        <v>476</v>
      </c>
      <c r="L19" s="16">
        <v>1186</v>
      </c>
      <c r="M19" s="16"/>
      <c r="N19" s="16"/>
      <c r="O19" s="16">
        <v>373</v>
      </c>
      <c r="P19" s="16">
        <v>929</v>
      </c>
      <c r="Q19" s="16">
        <v>188</v>
      </c>
      <c r="R19" s="16">
        <v>466</v>
      </c>
      <c r="S19" s="16">
        <v>72</v>
      </c>
      <c r="T19" s="16">
        <v>180</v>
      </c>
      <c r="U19" s="16">
        <v>253</v>
      </c>
      <c r="V19" s="16">
        <v>632</v>
      </c>
      <c r="W19" s="16">
        <v>160</v>
      </c>
      <c r="X19" s="16">
        <v>400</v>
      </c>
      <c r="Y19" s="16">
        <v>38</v>
      </c>
      <c r="Z19" s="16">
        <v>94</v>
      </c>
      <c r="AA19" s="16">
        <v>20</v>
      </c>
      <c r="AB19" s="16">
        <v>48</v>
      </c>
      <c r="AC19" s="16">
        <v>396</v>
      </c>
      <c r="AD19" s="16">
        <v>986</v>
      </c>
      <c r="AE19" s="16"/>
      <c r="AF19" s="16"/>
      <c r="AG19" s="16"/>
      <c r="AH19" s="16"/>
      <c r="AI19" s="16">
        <v>200</v>
      </c>
      <c r="AJ19" s="16">
        <v>500</v>
      </c>
      <c r="AK19" s="16">
        <v>41</v>
      </c>
      <c r="AL19" s="16">
        <v>100</v>
      </c>
      <c r="AM19" s="16"/>
      <c r="AN19" s="16"/>
      <c r="AO19" s="15">
        <v>136</v>
      </c>
      <c r="AP19" s="15">
        <v>340</v>
      </c>
      <c r="AQ19" s="15"/>
      <c r="AR19" s="15"/>
      <c r="AS19" s="15"/>
      <c r="AT19" s="15"/>
      <c r="AU19" s="15">
        <v>40</v>
      </c>
      <c r="AV19" s="15">
        <v>100</v>
      </c>
      <c r="AW19" s="15">
        <v>32</v>
      </c>
      <c r="AX19" s="15">
        <v>80</v>
      </c>
      <c r="AY19" s="27">
        <f t="shared" si="1"/>
        <v>3094</v>
      </c>
      <c r="AZ19" s="27">
        <f t="shared" si="2"/>
        <v>7700</v>
      </c>
    </row>
    <row r="20" spans="1:52" x14ac:dyDescent="0.25">
      <c r="A20" s="13">
        <v>22</v>
      </c>
      <c r="B20" s="19" t="s">
        <v>78</v>
      </c>
      <c r="C20" s="26" t="s">
        <v>79</v>
      </c>
      <c r="D20" s="19" t="s">
        <v>42</v>
      </c>
      <c r="E20" s="16">
        <v>20</v>
      </c>
      <c r="F20" s="16">
        <v>48</v>
      </c>
      <c r="G20" s="16">
        <v>2522</v>
      </c>
      <c r="H20" s="16">
        <v>6300</v>
      </c>
      <c r="I20" s="16">
        <v>2090</v>
      </c>
      <c r="J20" s="16">
        <v>5224</v>
      </c>
      <c r="K20" s="16">
        <v>2220</v>
      </c>
      <c r="L20" s="16">
        <v>5546</v>
      </c>
      <c r="M20" s="16">
        <v>636</v>
      </c>
      <c r="N20" s="16">
        <v>1588</v>
      </c>
      <c r="O20" s="16">
        <v>900</v>
      </c>
      <c r="P20" s="16">
        <v>2245</v>
      </c>
      <c r="Q20" s="16">
        <v>310</v>
      </c>
      <c r="R20" s="16">
        <v>772</v>
      </c>
      <c r="S20" s="16">
        <v>144</v>
      </c>
      <c r="T20" s="16">
        <v>360</v>
      </c>
      <c r="U20" s="16">
        <v>184</v>
      </c>
      <c r="V20" s="16">
        <v>460</v>
      </c>
      <c r="W20" s="16">
        <v>640</v>
      </c>
      <c r="X20" s="16">
        <v>1600</v>
      </c>
      <c r="Y20" s="16">
        <v>360</v>
      </c>
      <c r="Z20" s="16">
        <v>896</v>
      </c>
      <c r="AA20" s="16">
        <v>72</v>
      </c>
      <c r="AB20" s="16">
        <v>180</v>
      </c>
      <c r="AC20" s="16">
        <v>330</v>
      </c>
      <c r="AD20" s="16">
        <v>823</v>
      </c>
      <c r="AE20" s="16">
        <v>1312</v>
      </c>
      <c r="AF20" s="16">
        <v>3280</v>
      </c>
      <c r="AG20" s="16">
        <v>152</v>
      </c>
      <c r="AH20" s="16">
        <v>380</v>
      </c>
      <c r="AI20" s="16">
        <v>960</v>
      </c>
      <c r="AJ20" s="16">
        <v>2400</v>
      </c>
      <c r="AK20" s="16">
        <v>224</v>
      </c>
      <c r="AL20" s="16">
        <v>560</v>
      </c>
      <c r="AM20" s="16">
        <v>960</v>
      </c>
      <c r="AN20" s="16">
        <v>2400</v>
      </c>
      <c r="AO20" s="15">
        <v>360</v>
      </c>
      <c r="AP20" s="15">
        <v>900</v>
      </c>
      <c r="AQ20" s="15">
        <v>14</v>
      </c>
      <c r="AR20" s="15">
        <v>32</v>
      </c>
      <c r="AS20" s="15"/>
      <c r="AT20" s="15"/>
      <c r="AU20" s="15">
        <v>204</v>
      </c>
      <c r="AV20" s="15">
        <v>510</v>
      </c>
      <c r="AW20" s="15">
        <v>28</v>
      </c>
      <c r="AX20" s="15">
        <v>70</v>
      </c>
      <c r="AY20" s="27">
        <f t="shared" si="1"/>
        <v>14642</v>
      </c>
      <c r="AZ20" s="27">
        <f t="shared" si="2"/>
        <v>36574</v>
      </c>
    </row>
    <row r="21" spans="1:52" x14ac:dyDescent="0.25">
      <c r="A21" s="13">
        <v>23</v>
      </c>
      <c r="B21" s="19" t="s">
        <v>80</v>
      </c>
      <c r="C21" s="26" t="s">
        <v>81</v>
      </c>
      <c r="D21" s="19" t="s">
        <v>42</v>
      </c>
      <c r="E21" s="16">
        <v>12</v>
      </c>
      <c r="F21" s="16">
        <v>30</v>
      </c>
      <c r="G21" s="16">
        <v>868</v>
      </c>
      <c r="H21" s="16">
        <v>2162</v>
      </c>
      <c r="I21" s="16">
        <v>904</v>
      </c>
      <c r="J21" s="16">
        <v>2258</v>
      </c>
      <c r="K21" s="16">
        <v>664</v>
      </c>
      <c r="L21" s="16">
        <v>1658</v>
      </c>
      <c r="M21" s="16">
        <v>153</v>
      </c>
      <c r="N21" s="16">
        <v>382</v>
      </c>
      <c r="O21" s="16">
        <v>8</v>
      </c>
      <c r="P21" s="16">
        <v>18</v>
      </c>
      <c r="Q21" s="16">
        <v>212</v>
      </c>
      <c r="R21" s="16">
        <v>526</v>
      </c>
      <c r="S21" s="16">
        <v>64</v>
      </c>
      <c r="T21" s="16">
        <v>160</v>
      </c>
      <c r="U21" s="16">
        <v>396</v>
      </c>
      <c r="V21" s="16">
        <v>990</v>
      </c>
      <c r="W21" s="16">
        <v>248</v>
      </c>
      <c r="X21" s="16">
        <v>620</v>
      </c>
      <c r="Y21" s="16">
        <v>58</v>
      </c>
      <c r="Z21" s="16">
        <v>144</v>
      </c>
      <c r="AA21" s="16">
        <v>38</v>
      </c>
      <c r="AB21" s="16">
        <v>92</v>
      </c>
      <c r="AC21" s="16">
        <v>99</v>
      </c>
      <c r="AD21" s="16">
        <v>244</v>
      </c>
      <c r="AE21" s="16">
        <v>232</v>
      </c>
      <c r="AF21" s="16">
        <v>576</v>
      </c>
      <c r="AG21" s="16"/>
      <c r="AH21" s="16"/>
      <c r="AI21" s="16">
        <v>480</v>
      </c>
      <c r="AJ21" s="16">
        <v>1200</v>
      </c>
      <c r="AK21" s="16">
        <v>22</v>
      </c>
      <c r="AL21" s="16">
        <v>54</v>
      </c>
      <c r="AM21" s="16">
        <v>48</v>
      </c>
      <c r="AN21" s="16">
        <v>120</v>
      </c>
      <c r="AO21" s="15">
        <v>160</v>
      </c>
      <c r="AP21" s="15">
        <v>400</v>
      </c>
      <c r="AQ21" s="15">
        <v>4</v>
      </c>
      <c r="AR21" s="15">
        <v>6</v>
      </c>
      <c r="AS21" s="15">
        <v>4</v>
      </c>
      <c r="AT21" s="15">
        <v>10</v>
      </c>
      <c r="AU21" s="15">
        <v>8</v>
      </c>
      <c r="AV21" s="15">
        <v>20</v>
      </c>
      <c r="AW21" s="15">
        <v>32</v>
      </c>
      <c r="AX21" s="15">
        <v>80</v>
      </c>
      <c r="AY21" s="27">
        <f t="shared" si="1"/>
        <v>4714</v>
      </c>
      <c r="AZ21" s="27">
        <f t="shared" ref="AZ21:AZ60" si="3">SUM(F21+H21+J21+L21+N21+P21+R21+T21+V21+X21+Z21+AB21+AD21+AF21+AH21+AJ21+AL21+AN21+AP21+AR21+AT21+AV21+AX21)</f>
        <v>11750</v>
      </c>
    </row>
    <row r="22" spans="1:52" x14ac:dyDescent="0.25">
      <c r="A22" s="13">
        <v>24</v>
      </c>
      <c r="B22" s="19" t="s">
        <v>82</v>
      </c>
      <c r="C22" s="26" t="s">
        <v>83</v>
      </c>
      <c r="D22" s="19" t="s">
        <v>42</v>
      </c>
      <c r="E22" s="16">
        <v>12</v>
      </c>
      <c r="F22" s="16">
        <v>30</v>
      </c>
      <c r="G22" s="16">
        <v>420</v>
      </c>
      <c r="H22" s="16">
        <v>1050</v>
      </c>
      <c r="I22" s="16">
        <v>200</v>
      </c>
      <c r="J22" s="16">
        <v>500</v>
      </c>
      <c r="K22" s="16">
        <v>168</v>
      </c>
      <c r="L22" s="16">
        <v>420</v>
      </c>
      <c r="M22" s="16">
        <v>181</v>
      </c>
      <c r="N22" s="16">
        <v>452</v>
      </c>
      <c r="O22" s="16">
        <v>3402</v>
      </c>
      <c r="P22" s="16">
        <v>8503</v>
      </c>
      <c r="Q22" s="16">
        <v>56</v>
      </c>
      <c r="R22" s="16">
        <v>140</v>
      </c>
      <c r="S22" s="16">
        <v>2</v>
      </c>
      <c r="T22" s="16">
        <v>3</v>
      </c>
      <c r="U22" s="16"/>
      <c r="V22" s="16"/>
      <c r="W22" s="16">
        <v>22</v>
      </c>
      <c r="X22" s="16">
        <v>54</v>
      </c>
      <c r="Y22" s="16"/>
      <c r="Z22" s="16"/>
      <c r="AA22" s="16">
        <v>4</v>
      </c>
      <c r="AB22" s="16">
        <v>10</v>
      </c>
      <c r="AC22" s="16">
        <v>4</v>
      </c>
      <c r="AD22" s="16">
        <v>9</v>
      </c>
      <c r="AE22" s="16"/>
      <c r="AF22" s="16"/>
      <c r="AG22" s="16"/>
      <c r="AH22" s="16"/>
      <c r="AI22" s="16"/>
      <c r="AJ22" s="16"/>
      <c r="AK22" s="16"/>
      <c r="AL22" s="16"/>
      <c r="AM22" s="16"/>
      <c r="AN22" s="16"/>
      <c r="AO22" s="15">
        <v>160</v>
      </c>
      <c r="AP22" s="15">
        <v>400</v>
      </c>
      <c r="AQ22" s="15">
        <v>56</v>
      </c>
      <c r="AR22" s="15">
        <v>136</v>
      </c>
      <c r="AS22" s="15"/>
      <c r="AT22" s="15"/>
      <c r="AU22" s="15"/>
      <c r="AV22" s="15"/>
      <c r="AW22" s="15">
        <v>16</v>
      </c>
      <c r="AX22" s="15">
        <v>40</v>
      </c>
      <c r="AY22" s="27">
        <f t="shared" ref="AY22:AY60" si="4">SUM(E22+G22+I22+K22+M22+O22+Q22+S22+U22+W22+Y22+AA22+AC22+AE22+AG22+AI22+AK22+AM22+AO22+AQ22+AS22+AU22+AW22)</f>
        <v>4703</v>
      </c>
      <c r="AZ22" s="27">
        <f t="shared" si="3"/>
        <v>11747</v>
      </c>
    </row>
    <row r="23" spans="1:52" x14ac:dyDescent="0.25">
      <c r="A23" s="13">
        <v>25</v>
      </c>
      <c r="B23" s="19" t="s">
        <v>84</v>
      </c>
      <c r="C23" s="26" t="s">
        <v>85</v>
      </c>
      <c r="D23" s="19" t="s">
        <v>42</v>
      </c>
      <c r="E23" s="16">
        <v>288</v>
      </c>
      <c r="F23" s="16">
        <v>720</v>
      </c>
      <c r="G23" s="16">
        <v>64</v>
      </c>
      <c r="H23" s="16">
        <v>160</v>
      </c>
      <c r="I23" s="16">
        <v>1544</v>
      </c>
      <c r="J23" s="16">
        <v>3858</v>
      </c>
      <c r="K23" s="16">
        <v>2424</v>
      </c>
      <c r="L23" s="16">
        <v>6060</v>
      </c>
      <c r="M23" s="16">
        <v>758</v>
      </c>
      <c r="N23" s="16">
        <v>1891</v>
      </c>
      <c r="O23" s="16">
        <v>118</v>
      </c>
      <c r="P23" s="16">
        <v>293</v>
      </c>
      <c r="Q23" s="16"/>
      <c r="R23" s="16"/>
      <c r="S23" s="16">
        <v>120</v>
      </c>
      <c r="T23" s="16">
        <v>300</v>
      </c>
      <c r="U23" s="16">
        <v>377</v>
      </c>
      <c r="V23" s="16">
        <v>941</v>
      </c>
      <c r="W23" s="16">
        <v>168</v>
      </c>
      <c r="X23" s="16">
        <v>420</v>
      </c>
      <c r="Y23" s="16">
        <v>134</v>
      </c>
      <c r="Z23" s="16">
        <v>334</v>
      </c>
      <c r="AA23" s="16">
        <v>8</v>
      </c>
      <c r="AB23" s="16">
        <v>20</v>
      </c>
      <c r="AC23" s="16">
        <v>2315</v>
      </c>
      <c r="AD23" s="16">
        <v>5782</v>
      </c>
      <c r="AE23" s="16">
        <v>97</v>
      </c>
      <c r="AF23" s="16">
        <v>240</v>
      </c>
      <c r="AG23" s="16"/>
      <c r="AH23" s="16"/>
      <c r="AI23" s="16">
        <v>2400</v>
      </c>
      <c r="AJ23" s="16">
        <v>6000</v>
      </c>
      <c r="AK23" s="16">
        <v>400</v>
      </c>
      <c r="AL23" s="16">
        <v>1000</v>
      </c>
      <c r="AM23" s="16">
        <v>720</v>
      </c>
      <c r="AN23" s="16">
        <v>1800</v>
      </c>
      <c r="AO23" s="15"/>
      <c r="AP23" s="15"/>
      <c r="AQ23" s="15"/>
      <c r="AR23" s="15"/>
      <c r="AS23" s="15"/>
      <c r="AT23" s="15"/>
      <c r="AU23" s="15">
        <v>2280</v>
      </c>
      <c r="AV23" s="15">
        <v>5700</v>
      </c>
      <c r="AW23" s="15">
        <v>38</v>
      </c>
      <c r="AX23" s="15">
        <v>92</v>
      </c>
      <c r="AY23" s="27">
        <f t="shared" si="4"/>
        <v>14253</v>
      </c>
      <c r="AZ23" s="27">
        <f t="shared" si="3"/>
        <v>35611</v>
      </c>
    </row>
    <row r="24" spans="1:52" x14ac:dyDescent="0.25">
      <c r="A24" s="13">
        <v>26</v>
      </c>
      <c r="B24" s="19" t="s">
        <v>86</v>
      </c>
      <c r="C24" s="26" t="s">
        <v>87</v>
      </c>
      <c r="D24" s="19" t="s">
        <v>42</v>
      </c>
      <c r="E24" s="16">
        <v>60</v>
      </c>
      <c r="F24" s="16">
        <v>148</v>
      </c>
      <c r="G24" s="16">
        <v>48</v>
      </c>
      <c r="H24" s="16">
        <v>120</v>
      </c>
      <c r="I24" s="16">
        <v>2160</v>
      </c>
      <c r="J24" s="16">
        <v>5400</v>
      </c>
      <c r="K24" s="16">
        <v>170</v>
      </c>
      <c r="L24" s="16">
        <v>424</v>
      </c>
      <c r="M24" s="16">
        <v>931</v>
      </c>
      <c r="N24" s="16">
        <v>2327</v>
      </c>
      <c r="O24" s="16">
        <v>515</v>
      </c>
      <c r="P24" s="16">
        <v>1285</v>
      </c>
      <c r="Q24" s="16">
        <v>262</v>
      </c>
      <c r="R24" s="16">
        <v>650</v>
      </c>
      <c r="S24" s="16">
        <v>10</v>
      </c>
      <c r="T24" s="16">
        <v>24</v>
      </c>
      <c r="U24" s="16">
        <v>103</v>
      </c>
      <c r="V24" s="16">
        <v>255</v>
      </c>
      <c r="W24" s="16">
        <v>16</v>
      </c>
      <c r="X24" s="16">
        <v>40</v>
      </c>
      <c r="Y24" s="16"/>
      <c r="Z24" s="16"/>
      <c r="AA24" s="16"/>
      <c r="AB24" s="16"/>
      <c r="AC24" s="16">
        <v>281</v>
      </c>
      <c r="AD24" s="16">
        <v>697</v>
      </c>
      <c r="AE24" s="16">
        <v>2306</v>
      </c>
      <c r="AF24" s="16">
        <v>5760</v>
      </c>
      <c r="AG24" s="16"/>
      <c r="AH24" s="16"/>
      <c r="AI24" s="16">
        <v>972</v>
      </c>
      <c r="AJ24" s="16">
        <v>2430</v>
      </c>
      <c r="AK24" s="16">
        <v>68</v>
      </c>
      <c r="AL24" s="16">
        <v>170</v>
      </c>
      <c r="AM24" s="16">
        <v>96</v>
      </c>
      <c r="AN24" s="16">
        <v>240</v>
      </c>
      <c r="AO24" s="15">
        <v>463</v>
      </c>
      <c r="AP24" s="15">
        <v>1156</v>
      </c>
      <c r="AQ24" s="15"/>
      <c r="AR24" s="15"/>
      <c r="AS24" s="15"/>
      <c r="AT24" s="15"/>
      <c r="AU24" s="15"/>
      <c r="AV24" s="15"/>
      <c r="AW24" s="15"/>
      <c r="AX24" s="15"/>
      <c r="AY24" s="27">
        <f t="shared" si="4"/>
        <v>8461</v>
      </c>
      <c r="AZ24" s="27">
        <f t="shared" si="3"/>
        <v>21126</v>
      </c>
    </row>
    <row r="25" spans="1:52" x14ac:dyDescent="0.25">
      <c r="A25" s="13">
        <v>27</v>
      </c>
      <c r="B25" s="19" t="s">
        <v>88</v>
      </c>
      <c r="C25" s="26" t="s">
        <v>89</v>
      </c>
      <c r="D25" s="19" t="s">
        <v>42</v>
      </c>
      <c r="E25" s="16">
        <v>280</v>
      </c>
      <c r="F25" s="16">
        <v>700</v>
      </c>
      <c r="G25" s="16">
        <v>382</v>
      </c>
      <c r="H25" s="16">
        <v>952</v>
      </c>
      <c r="I25" s="16">
        <v>2052</v>
      </c>
      <c r="J25" s="16">
        <v>5126</v>
      </c>
      <c r="K25" s="16">
        <v>632</v>
      </c>
      <c r="L25" s="16">
        <v>1576</v>
      </c>
      <c r="M25" s="16">
        <v>420</v>
      </c>
      <c r="N25" s="16">
        <v>1050</v>
      </c>
      <c r="O25" s="16">
        <v>2446</v>
      </c>
      <c r="P25" s="16">
        <v>6112</v>
      </c>
      <c r="Q25" s="16">
        <v>162</v>
      </c>
      <c r="R25" s="16">
        <v>404</v>
      </c>
      <c r="S25" s="16">
        <v>576</v>
      </c>
      <c r="T25" s="16">
        <v>1440</v>
      </c>
      <c r="U25" s="16">
        <v>210</v>
      </c>
      <c r="V25" s="16">
        <v>524</v>
      </c>
      <c r="W25" s="16">
        <v>144</v>
      </c>
      <c r="X25" s="16">
        <v>360</v>
      </c>
      <c r="Y25" s="16">
        <v>1434</v>
      </c>
      <c r="Z25" s="16">
        <v>3584</v>
      </c>
      <c r="AA25" s="16">
        <v>192</v>
      </c>
      <c r="AB25" s="16">
        <v>480</v>
      </c>
      <c r="AC25" s="16">
        <v>15041</v>
      </c>
      <c r="AD25" s="16">
        <v>37601</v>
      </c>
      <c r="AE25" s="16">
        <v>1704</v>
      </c>
      <c r="AF25" s="16">
        <v>4260</v>
      </c>
      <c r="AG25" s="16"/>
      <c r="AH25" s="16"/>
      <c r="AI25" s="16">
        <v>192</v>
      </c>
      <c r="AJ25" s="16">
        <v>480</v>
      </c>
      <c r="AK25" s="16">
        <v>108</v>
      </c>
      <c r="AL25" s="16">
        <v>270</v>
      </c>
      <c r="AM25" s="16">
        <v>48</v>
      </c>
      <c r="AN25" s="16">
        <v>120</v>
      </c>
      <c r="AO25" s="15">
        <v>1336</v>
      </c>
      <c r="AP25" s="15">
        <v>3339</v>
      </c>
      <c r="AQ25" s="15"/>
      <c r="AR25" s="15"/>
      <c r="AS25" s="15"/>
      <c r="AT25" s="15"/>
      <c r="AU25" s="15">
        <v>80</v>
      </c>
      <c r="AV25" s="15">
        <v>200</v>
      </c>
      <c r="AW25" s="15">
        <v>4</v>
      </c>
      <c r="AX25" s="15">
        <v>10</v>
      </c>
      <c r="AY25" s="27">
        <f t="shared" si="4"/>
        <v>27443</v>
      </c>
      <c r="AZ25" s="27">
        <f t="shared" si="3"/>
        <v>68588</v>
      </c>
    </row>
    <row r="26" spans="1:52" x14ac:dyDescent="0.25">
      <c r="A26" s="13">
        <v>28</v>
      </c>
      <c r="B26" s="19" t="s">
        <v>90</v>
      </c>
      <c r="C26" s="26" t="s">
        <v>91</v>
      </c>
      <c r="D26" s="19" t="s">
        <v>42</v>
      </c>
      <c r="E26" s="16">
        <v>20</v>
      </c>
      <c r="F26" s="16">
        <v>48</v>
      </c>
      <c r="G26" s="16">
        <v>136</v>
      </c>
      <c r="H26" s="16">
        <v>338</v>
      </c>
      <c r="I26" s="16">
        <v>744</v>
      </c>
      <c r="J26" s="16">
        <v>1856</v>
      </c>
      <c r="K26" s="16">
        <v>91</v>
      </c>
      <c r="L26" s="16">
        <v>226</v>
      </c>
      <c r="M26" s="16">
        <v>625</v>
      </c>
      <c r="N26" s="16">
        <v>1561</v>
      </c>
      <c r="O26" s="16">
        <v>15</v>
      </c>
      <c r="P26" s="16">
        <v>35</v>
      </c>
      <c r="Q26" s="16">
        <v>27</v>
      </c>
      <c r="R26" s="16">
        <v>63</v>
      </c>
      <c r="S26" s="16"/>
      <c r="T26" s="16"/>
      <c r="U26" s="16">
        <v>88</v>
      </c>
      <c r="V26" s="16">
        <v>220</v>
      </c>
      <c r="W26" s="16">
        <v>15</v>
      </c>
      <c r="X26" s="16">
        <v>36</v>
      </c>
      <c r="Y26" s="16">
        <v>16</v>
      </c>
      <c r="Z26" s="16">
        <v>38</v>
      </c>
      <c r="AA26" s="16">
        <v>5</v>
      </c>
      <c r="AB26" s="16">
        <v>11</v>
      </c>
      <c r="AC26" s="16">
        <v>62</v>
      </c>
      <c r="AD26" s="16">
        <v>155</v>
      </c>
      <c r="AE26" s="16"/>
      <c r="AF26" s="16"/>
      <c r="AG26" s="16"/>
      <c r="AH26" s="16"/>
      <c r="AI26" s="16">
        <v>16</v>
      </c>
      <c r="AJ26" s="16">
        <v>40</v>
      </c>
      <c r="AK26" s="16">
        <v>24</v>
      </c>
      <c r="AL26" s="16">
        <v>60</v>
      </c>
      <c r="AM26" s="16"/>
      <c r="AN26" s="16"/>
      <c r="AO26" s="15">
        <v>112</v>
      </c>
      <c r="AP26" s="15">
        <v>280</v>
      </c>
      <c r="AQ26" s="15">
        <v>8</v>
      </c>
      <c r="AR26" s="15">
        <v>17</v>
      </c>
      <c r="AS26" s="15">
        <v>4</v>
      </c>
      <c r="AT26" s="15">
        <v>10</v>
      </c>
      <c r="AU26" s="15"/>
      <c r="AV26" s="15"/>
      <c r="AW26" s="15"/>
      <c r="AX26" s="15"/>
      <c r="AY26" s="27">
        <f t="shared" si="4"/>
        <v>2008</v>
      </c>
      <c r="AZ26" s="27">
        <f t="shared" si="3"/>
        <v>4994</v>
      </c>
    </row>
    <row r="27" spans="1:52" x14ac:dyDescent="0.25">
      <c r="A27" s="13">
        <v>30</v>
      </c>
      <c r="B27" s="19" t="s">
        <v>92</v>
      </c>
      <c r="C27" s="26" t="s">
        <v>93</v>
      </c>
      <c r="D27" s="19" t="s">
        <v>42</v>
      </c>
      <c r="E27" s="16">
        <v>464</v>
      </c>
      <c r="F27" s="16">
        <v>1160</v>
      </c>
      <c r="G27" s="16">
        <v>212</v>
      </c>
      <c r="H27" s="16">
        <v>526</v>
      </c>
      <c r="I27" s="16">
        <v>7996</v>
      </c>
      <c r="J27" s="16">
        <v>19990</v>
      </c>
      <c r="K27" s="16">
        <v>394</v>
      </c>
      <c r="L27" s="16">
        <v>984</v>
      </c>
      <c r="M27" s="16">
        <v>2618</v>
      </c>
      <c r="N27" s="16">
        <v>6544</v>
      </c>
      <c r="O27" s="16">
        <v>149</v>
      </c>
      <c r="P27" s="16">
        <v>371</v>
      </c>
      <c r="Q27" s="16">
        <v>408</v>
      </c>
      <c r="R27" s="16">
        <v>1016</v>
      </c>
      <c r="S27" s="16">
        <v>36</v>
      </c>
      <c r="T27" s="16">
        <v>90</v>
      </c>
      <c r="U27" s="16">
        <v>450</v>
      </c>
      <c r="V27" s="16">
        <v>1125</v>
      </c>
      <c r="W27" s="16">
        <v>8</v>
      </c>
      <c r="X27" s="16">
        <v>18</v>
      </c>
      <c r="Y27" s="16">
        <v>258</v>
      </c>
      <c r="Z27" s="16">
        <v>644</v>
      </c>
      <c r="AA27" s="16"/>
      <c r="AB27" s="16"/>
      <c r="AC27" s="16">
        <v>30</v>
      </c>
      <c r="AD27" s="16">
        <v>72</v>
      </c>
      <c r="AE27" s="16">
        <v>82</v>
      </c>
      <c r="AF27" s="16">
        <v>202</v>
      </c>
      <c r="AG27" s="16">
        <v>44</v>
      </c>
      <c r="AH27" s="16">
        <v>110</v>
      </c>
      <c r="AI27" s="16">
        <v>40</v>
      </c>
      <c r="AJ27" s="16">
        <v>100</v>
      </c>
      <c r="AK27" s="16">
        <v>4944</v>
      </c>
      <c r="AL27" s="16">
        <v>12360</v>
      </c>
      <c r="AM27" s="16"/>
      <c r="AN27" s="16"/>
      <c r="AO27" s="15">
        <v>4481</v>
      </c>
      <c r="AP27" s="15">
        <v>11202</v>
      </c>
      <c r="AQ27" s="15">
        <v>42</v>
      </c>
      <c r="AR27" s="15">
        <v>102</v>
      </c>
      <c r="AS27" s="15"/>
      <c r="AT27" s="15"/>
      <c r="AU27" s="15">
        <v>212</v>
      </c>
      <c r="AV27" s="15">
        <v>530</v>
      </c>
      <c r="AW27" s="15"/>
      <c r="AX27" s="15"/>
      <c r="AY27" s="27">
        <f t="shared" si="4"/>
        <v>22868</v>
      </c>
      <c r="AZ27" s="27">
        <f t="shared" si="3"/>
        <v>57146</v>
      </c>
    </row>
    <row r="28" spans="1:52" x14ac:dyDescent="0.25">
      <c r="A28" s="13">
        <v>31</v>
      </c>
      <c r="B28" s="19" t="s">
        <v>94</v>
      </c>
      <c r="C28" s="26" t="s">
        <v>95</v>
      </c>
      <c r="D28" s="19" t="s">
        <v>42</v>
      </c>
      <c r="E28" s="16">
        <v>280</v>
      </c>
      <c r="F28" s="16">
        <v>700</v>
      </c>
      <c r="G28" s="16">
        <v>82</v>
      </c>
      <c r="H28" s="16">
        <v>204</v>
      </c>
      <c r="I28" s="16">
        <v>1400</v>
      </c>
      <c r="J28" s="16">
        <v>3500</v>
      </c>
      <c r="K28" s="16">
        <v>42</v>
      </c>
      <c r="L28" s="16">
        <v>102</v>
      </c>
      <c r="M28" s="16">
        <v>1896</v>
      </c>
      <c r="N28" s="16">
        <v>4740</v>
      </c>
      <c r="O28" s="16">
        <v>57</v>
      </c>
      <c r="P28" s="16">
        <v>140</v>
      </c>
      <c r="Q28" s="16">
        <v>24</v>
      </c>
      <c r="R28" s="16">
        <v>58</v>
      </c>
      <c r="S28" s="16">
        <v>25</v>
      </c>
      <c r="T28" s="16">
        <v>59</v>
      </c>
      <c r="U28" s="16">
        <v>1021</v>
      </c>
      <c r="V28" s="16">
        <v>2552</v>
      </c>
      <c r="W28" s="16"/>
      <c r="X28" s="16"/>
      <c r="Y28" s="16">
        <v>16</v>
      </c>
      <c r="Z28" s="16">
        <v>40</v>
      </c>
      <c r="AA28" s="16"/>
      <c r="AB28" s="16"/>
      <c r="AC28" s="16"/>
      <c r="AD28" s="16"/>
      <c r="AE28" s="16"/>
      <c r="AF28" s="16"/>
      <c r="AG28" s="16"/>
      <c r="AH28" s="16"/>
      <c r="AI28" s="16">
        <v>72</v>
      </c>
      <c r="AJ28" s="16">
        <v>180</v>
      </c>
      <c r="AK28" s="16">
        <v>400</v>
      </c>
      <c r="AL28" s="16">
        <v>1000</v>
      </c>
      <c r="AM28" s="16"/>
      <c r="AN28" s="16"/>
      <c r="AO28" s="15">
        <v>520</v>
      </c>
      <c r="AP28" s="15">
        <v>1300</v>
      </c>
      <c r="AQ28" s="15">
        <v>416</v>
      </c>
      <c r="AR28" s="15">
        <v>1040</v>
      </c>
      <c r="AS28" s="15"/>
      <c r="AT28" s="15"/>
      <c r="AU28" s="15"/>
      <c r="AV28" s="15"/>
      <c r="AW28" s="15"/>
      <c r="AX28" s="15"/>
      <c r="AY28" s="27">
        <f t="shared" si="4"/>
        <v>6251</v>
      </c>
      <c r="AZ28" s="27">
        <f t="shared" si="3"/>
        <v>15615</v>
      </c>
    </row>
    <row r="29" spans="1:52" x14ac:dyDescent="0.25">
      <c r="A29" s="13">
        <v>32</v>
      </c>
      <c r="B29" s="19" t="s">
        <v>96</v>
      </c>
      <c r="C29" s="26" t="s">
        <v>97</v>
      </c>
      <c r="D29" s="19" t="s">
        <v>42</v>
      </c>
      <c r="E29" s="16">
        <v>2104</v>
      </c>
      <c r="F29" s="16">
        <v>5256</v>
      </c>
      <c r="G29" s="16">
        <v>518</v>
      </c>
      <c r="H29" s="16">
        <v>1288</v>
      </c>
      <c r="I29" s="16">
        <v>446</v>
      </c>
      <c r="J29" s="16">
        <v>1112</v>
      </c>
      <c r="K29" s="16">
        <v>3693</v>
      </c>
      <c r="L29" s="16">
        <v>9227</v>
      </c>
      <c r="M29" s="16">
        <v>14561</v>
      </c>
      <c r="N29" s="16">
        <v>36397</v>
      </c>
      <c r="O29" s="16">
        <v>6096</v>
      </c>
      <c r="P29" s="16">
        <v>15236</v>
      </c>
      <c r="Q29" s="16">
        <v>186</v>
      </c>
      <c r="R29" s="16">
        <v>462</v>
      </c>
      <c r="S29" s="16">
        <v>54</v>
      </c>
      <c r="T29" s="16">
        <v>134</v>
      </c>
      <c r="U29" s="16">
        <v>226</v>
      </c>
      <c r="V29" s="16">
        <v>558</v>
      </c>
      <c r="W29" s="16">
        <v>64</v>
      </c>
      <c r="X29" s="16">
        <v>160</v>
      </c>
      <c r="Y29" s="16">
        <v>7144</v>
      </c>
      <c r="Z29" s="16">
        <v>17860</v>
      </c>
      <c r="AA29" s="16">
        <v>352</v>
      </c>
      <c r="AB29" s="16">
        <v>876</v>
      </c>
      <c r="AC29" s="16">
        <v>766</v>
      </c>
      <c r="AD29" s="16">
        <v>1909</v>
      </c>
      <c r="AE29" s="16">
        <v>452</v>
      </c>
      <c r="AF29" s="16">
        <v>1128</v>
      </c>
      <c r="AG29" s="16">
        <v>8732</v>
      </c>
      <c r="AH29" s="16">
        <v>21830</v>
      </c>
      <c r="AI29" s="16">
        <v>8080</v>
      </c>
      <c r="AJ29" s="16">
        <v>20200</v>
      </c>
      <c r="AK29" s="16">
        <v>36332</v>
      </c>
      <c r="AL29" s="16">
        <v>90830</v>
      </c>
      <c r="AM29" s="16">
        <v>4100</v>
      </c>
      <c r="AN29" s="16">
        <v>10248</v>
      </c>
      <c r="AO29" s="15">
        <v>16115</v>
      </c>
      <c r="AP29" s="15">
        <v>40283</v>
      </c>
      <c r="AQ29" s="15">
        <v>22</v>
      </c>
      <c r="AR29" s="15">
        <v>55</v>
      </c>
      <c r="AS29" s="15"/>
      <c r="AT29" s="15"/>
      <c r="AU29" s="15">
        <v>200</v>
      </c>
      <c r="AV29" s="15">
        <v>500</v>
      </c>
      <c r="AW29" s="15"/>
      <c r="AX29" s="15"/>
      <c r="AY29" s="27">
        <f t="shared" si="4"/>
        <v>110243</v>
      </c>
      <c r="AZ29" s="27">
        <f t="shared" si="3"/>
        <v>275549</v>
      </c>
    </row>
    <row r="30" spans="1:52" x14ac:dyDescent="0.25">
      <c r="A30" s="13">
        <v>33</v>
      </c>
      <c r="B30" s="19" t="s">
        <v>98</v>
      </c>
      <c r="C30" s="26" t="s">
        <v>99</v>
      </c>
      <c r="D30" s="19" t="s">
        <v>42</v>
      </c>
      <c r="E30" s="16">
        <v>20</v>
      </c>
      <c r="F30" s="16">
        <v>48</v>
      </c>
      <c r="G30" s="16">
        <v>148</v>
      </c>
      <c r="H30" s="16">
        <v>368</v>
      </c>
      <c r="I30" s="16">
        <v>1284</v>
      </c>
      <c r="J30" s="16">
        <v>3206</v>
      </c>
      <c r="K30" s="16">
        <v>260</v>
      </c>
      <c r="L30" s="16">
        <v>646</v>
      </c>
      <c r="M30" s="16">
        <v>1086</v>
      </c>
      <c r="N30" s="16">
        <v>2715</v>
      </c>
      <c r="O30" s="16">
        <v>821</v>
      </c>
      <c r="P30" s="16">
        <v>2052</v>
      </c>
      <c r="Q30" s="16">
        <v>126</v>
      </c>
      <c r="R30" s="16">
        <v>308</v>
      </c>
      <c r="S30" s="16">
        <v>30</v>
      </c>
      <c r="T30" s="16">
        <v>72</v>
      </c>
      <c r="U30" s="16">
        <v>167</v>
      </c>
      <c r="V30" s="16">
        <v>416</v>
      </c>
      <c r="W30" s="16">
        <v>48</v>
      </c>
      <c r="X30" s="16">
        <v>120</v>
      </c>
      <c r="Y30" s="16">
        <v>52</v>
      </c>
      <c r="Z30" s="16">
        <v>128</v>
      </c>
      <c r="AA30" s="16">
        <v>33</v>
      </c>
      <c r="AB30" s="16">
        <v>77</v>
      </c>
      <c r="AC30" s="16">
        <v>81</v>
      </c>
      <c r="AD30" s="16">
        <v>200</v>
      </c>
      <c r="AE30" s="16">
        <v>113</v>
      </c>
      <c r="AF30" s="16">
        <v>276</v>
      </c>
      <c r="AG30" s="16">
        <v>68</v>
      </c>
      <c r="AH30" s="16">
        <v>166</v>
      </c>
      <c r="AI30" s="16">
        <v>176</v>
      </c>
      <c r="AJ30" s="16">
        <v>440</v>
      </c>
      <c r="AK30" s="16">
        <v>198</v>
      </c>
      <c r="AL30" s="16">
        <v>490</v>
      </c>
      <c r="AM30" s="16">
        <v>202</v>
      </c>
      <c r="AN30" s="16">
        <v>504</v>
      </c>
      <c r="AO30" s="15">
        <v>160</v>
      </c>
      <c r="AP30" s="15">
        <v>400</v>
      </c>
      <c r="AQ30" s="15">
        <v>26</v>
      </c>
      <c r="AR30" s="15">
        <v>63</v>
      </c>
      <c r="AS30" s="15">
        <v>8</v>
      </c>
      <c r="AT30" s="15">
        <v>20</v>
      </c>
      <c r="AU30" s="15">
        <v>9</v>
      </c>
      <c r="AV30" s="15">
        <v>21</v>
      </c>
      <c r="AW30" s="15">
        <v>6</v>
      </c>
      <c r="AX30" s="15">
        <v>14</v>
      </c>
      <c r="AY30" s="27">
        <f t="shared" si="4"/>
        <v>5122</v>
      </c>
      <c r="AZ30" s="27">
        <f t="shared" si="3"/>
        <v>12750</v>
      </c>
    </row>
    <row r="31" spans="1:52" x14ac:dyDescent="0.25">
      <c r="A31" s="13">
        <v>34</v>
      </c>
      <c r="B31" s="19" t="s">
        <v>100</v>
      </c>
      <c r="C31" s="26" t="s">
        <v>101</v>
      </c>
      <c r="D31" s="19" t="s">
        <v>42</v>
      </c>
      <c r="E31" s="16">
        <v>4</v>
      </c>
      <c r="F31" s="16">
        <v>10</v>
      </c>
      <c r="G31" s="16">
        <v>12</v>
      </c>
      <c r="H31" s="16">
        <v>26</v>
      </c>
      <c r="I31" s="16">
        <v>482</v>
      </c>
      <c r="J31" s="16">
        <v>1202</v>
      </c>
      <c r="K31" s="16">
        <v>292</v>
      </c>
      <c r="L31" s="16">
        <v>730</v>
      </c>
      <c r="M31" s="16">
        <v>724</v>
      </c>
      <c r="N31" s="16">
        <v>1808</v>
      </c>
      <c r="O31" s="16">
        <v>108</v>
      </c>
      <c r="P31" s="16">
        <v>270</v>
      </c>
      <c r="Q31" s="16">
        <v>40</v>
      </c>
      <c r="R31" s="16">
        <v>100</v>
      </c>
      <c r="S31" s="16">
        <v>2</v>
      </c>
      <c r="T31" s="16">
        <v>3</v>
      </c>
      <c r="U31" s="16">
        <v>256</v>
      </c>
      <c r="V31" s="16">
        <v>640</v>
      </c>
      <c r="W31" s="16">
        <v>72</v>
      </c>
      <c r="X31" s="16">
        <v>180</v>
      </c>
      <c r="Y31" s="16">
        <v>64</v>
      </c>
      <c r="Z31" s="16">
        <v>160</v>
      </c>
      <c r="AA31" s="16">
        <v>10</v>
      </c>
      <c r="AB31" s="16">
        <v>20</v>
      </c>
      <c r="AC31" s="16">
        <v>33</v>
      </c>
      <c r="AD31" s="16">
        <v>79</v>
      </c>
      <c r="AE31" s="16">
        <v>11</v>
      </c>
      <c r="AF31" s="16">
        <v>24</v>
      </c>
      <c r="AG31" s="16">
        <v>66</v>
      </c>
      <c r="AH31" s="16">
        <v>163</v>
      </c>
      <c r="AI31" s="16">
        <v>72</v>
      </c>
      <c r="AJ31" s="16">
        <v>180</v>
      </c>
      <c r="AK31" s="16">
        <v>85</v>
      </c>
      <c r="AL31" s="16">
        <v>210</v>
      </c>
      <c r="AM31" s="16">
        <v>7690</v>
      </c>
      <c r="AN31" s="16">
        <v>19224</v>
      </c>
      <c r="AO31" s="15">
        <v>200</v>
      </c>
      <c r="AP31" s="15">
        <v>500</v>
      </c>
      <c r="AQ31" s="15">
        <v>6</v>
      </c>
      <c r="AR31" s="15">
        <v>12</v>
      </c>
      <c r="AS31" s="15">
        <v>8</v>
      </c>
      <c r="AT31" s="15">
        <v>20</v>
      </c>
      <c r="AU31" s="15">
        <v>6</v>
      </c>
      <c r="AV31" s="15">
        <v>14</v>
      </c>
      <c r="AW31" s="15">
        <v>2</v>
      </c>
      <c r="AX31" s="15">
        <v>2</v>
      </c>
      <c r="AY31" s="27">
        <f t="shared" si="4"/>
        <v>10245</v>
      </c>
      <c r="AZ31" s="27">
        <f t="shared" si="3"/>
        <v>25577</v>
      </c>
    </row>
    <row r="32" spans="1:52" x14ac:dyDescent="0.25">
      <c r="A32" s="13">
        <v>35</v>
      </c>
      <c r="B32" s="19" t="s">
        <v>102</v>
      </c>
      <c r="C32" s="26" t="s">
        <v>103</v>
      </c>
      <c r="D32" s="19" t="s">
        <v>42</v>
      </c>
      <c r="E32" s="16">
        <v>4</v>
      </c>
      <c r="F32" s="16">
        <v>10</v>
      </c>
      <c r="G32" s="16">
        <v>46</v>
      </c>
      <c r="H32" s="16">
        <v>110</v>
      </c>
      <c r="I32" s="16">
        <v>3651</v>
      </c>
      <c r="J32" s="16">
        <v>9124</v>
      </c>
      <c r="K32" s="16">
        <v>308</v>
      </c>
      <c r="L32" s="16">
        <v>768</v>
      </c>
      <c r="M32" s="16">
        <v>130</v>
      </c>
      <c r="N32" s="16">
        <v>321</v>
      </c>
      <c r="O32" s="16">
        <v>2</v>
      </c>
      <c r="P32" s="16">
        <v>2</v>
      </c>
      <c r="Q32" s="16">
        <v>50</v>
      </c>
      <c r="R32" s="16">
        <v>122</v>
      </c>
      <c r="S32" s="16">
        <v>45</v>
      </c>
      <c r="T32" s="16">
        <v>109</v>
      </c>
      <c r="U32" s="16">
        <v>528</v>
      </c>
      <c r="V32" s="16">
        <v>1320</v>
      </c>
      <c r="W32" s="16">
        <v>15</v>
      </c>
      <c r="X32" s="16">
        <v>36</v>
      </c>
      <c r="Y32" s="16">
        <v>48</v>
      </c>
      <c r="Z32" s="16">
        <v>118</v>
      </c>
      <c r="AA32" s="16">
        <v>32</v>
      </c>
      <c r="AB32" s="16">
        <v>80</v>
      </c>
      <c r="AC32" s="16">
        <v>143</v>
      </c>
      <c r="AD32" s="16">
        <v>355</v>
      </c>
      <c r="AE32" s="16"/>
      <c r="AF32" s="16"/>
      <c r="AG32" s="16">
        <v>2214</v>
      </c>
      <c r="AH32" s="16">
        <v>5532</v>
      </c>
      <c r="AI32" s="16">
        <v>692</v>
      </c>
      <c r="AJ32" s="16">
        <v>1728</v>
      </c>
      <c r="AK32" s="16">
        <v>26</v>
      </c>
      <c r="AL32" s="16">
        <v>58</v>
      </c>
      <c r="AM32" s="16">
        <v>20</v>
      </c>
      <c r="AN32" s="16">
        <v>48</v>
      </c>
      <c r="AO32" s="15"/>
      <c r="AP32" s="15"/>
      <c r="AQ32" s="15">
        <v>2</v>
      </c>
      <c r="AR32" s="15">
        <v>2</v>
      </c>
      <c r="AS32" s="15"/>
      <c r="AT32" s="15"/>
      <c r="AU32" s="15"/>
      <c r="AV32" s="15"/>
      <c r="AW32" s="15"/>
      <c r="AX32" s="15"/>
      <c r="AY32" s="27">
        <f t="shared" si="4"/>
        <v>7956</v>
      </c>
      <c r="AZ32" s="27">
        <f t="shared" si="3"/>
        <v>19843</v>
      </c>
    </row>
    <row r="33" spans="1:52" x14ac:dyDescent="0.25">
      <c r="A33" s="13">
        <v>36</v>
      </c>
      <c r="B33" s="19" t="s">
        <v>104</v>
      </c>
      <c r="C33" s="26" t="s">
        <v>105</v>
      </c>
      <c r="D33" s="19" t="s">
        <v>42</v>
      </c>
      <c r="E33" s="16">
        <v>4</v>
      </c>
      <c r="F33" s="16">
        <v>10</v>
      </c>
      <c r="G33" s="16">
        <v>44</v>
      </c>
      <c r="H33" s="16">
        <v>106</v>
      </c>
      <c r="I33" s="16">
        <v>290</v>
      </c>
      <c r="J33" s="16">
        <v>724</v>
      </c>
      <c r="K33" s="16">
        <v>41</v>
      </c>
      <c r="L33" s="16">
        <v>100</v>
      </c>
      <c r="M33" s="16">
        <v>40</v>
      </c>
      <c r="N33" s="16">
        <v>99</v>
      </c>
      <c r="O33" s="16">
        <v>5</v>
      </c>
      <c r="P33" s="16">
        <v>11</v>
      </c>
      <c r="Q33" s="16">
        <v>72</v>
      </c>
      <c r="R33" s="16">
        <v>180</v>
      </c>
      <c r="S33" s="16">
        <v>16</v>
      </c>
      <c r="T33" s="16">
        <v>40</v>
      </c>
      <c r="U33" s="16">
        <v>352</v>
      </c>
      <c r="V33" s="16">
        <v>880</v>
      </c>
      <c r="W33" s="16">
        <v>36</v>
      </c>
      <c r="X33" s="16">
        <v>90</v>
      </c>
      <c r="Y33" s="16">
        <v>32</v>
      </c>
      <c r="Z33" s="16">
        <v>80</v>
      </c>
      <c r="AA33" s="16">
        <v>22</v>
      </c>
      <c r="AB33" s="16">
        <v>54</v>
      </c>
      <c r="AC33" s="16">
        <v>18</v>
      </c>
      <c r="AD33" s="16">
        <v>42</v>
      </c>
      <c r="AE33" s="16"/>
      <c r="AF33" s="16"/>
      <c r="AG33" s="16">
        <v>280</v>
      </c>
      <c r="AH33" s="16">
        <v>700</v>
      </c>
      <c r="AI33" s="16">
        <v>24</v>
      </c>
      <c r="AJ33" s="16">
        <v>56</v>
      </c>
      <c r="AK33" s="16">
        <v>8</v>
      </c>
      <c r="AL33" s="16">
        <v>20</v>
      </c>
      <c r="AM33" s="16">
        <v>20</v>
      </c>
      <c r="AN33" s="16">
        <v>48</v>
      </c>
      <c r="AO33" s="15"/>
      <c r="AP33" s="15"/>
      <c r="AQ33" s="15">
        <v>2</v>
      </c>
      <c r="AR33" s="15">
        <v>4</v>
      </c>
      <c r="AS33" s="15"/>
      <c r="AT33" s="15"/>
      <c r="AU33" s="15">
        <v>14</v>
      </c>
      <c r="AV33" s="15">
        <v>35</v>
      </c>
      <c r="AW33" s="15"/>
      <c r="AX33" s="15"/>
      <c r="AY33" s="27">
        <f t="shared" si="4"/>
        <v>1320</v>
      </c>
      <c r="AZ33" s="27">
        <f t="shared" si="3"/>
        <v>3279</v>
      </c>
    </row>
    <row r="34" spans="1:52" x14ac:dyDescent="0.25">
      <c r="A34" s="13">
        <v>38</v>
      </c>
      <c r="B34" s="19" t="s">
        <v>106</v>
      </c>
      <c r="C34" s="26" t="s">
        <v>107</v>
      </c>
      <c r="D34" s="19" t="s">
        <v>42</v>
      </c>
      <c r="E34" s="16">
        <v>110</v>
      </c>
      <c r="F34" s="16">
        <v>275</v>
      </c>
      <c r="G34" s="16">
        <v>754</v>
      </c>
      <c r="H34" s="16">
        <v>1884</v>
      </c>
      <c r="I34" s="16">
        <v>8054</v>
      </c>
      <c r="J34" s="16">
        <v>20132</v>
      </c>
      <c r="K34" s="16">
        <v>1328</v>
      </c>
      <c r="L34" s="16">
        <v>3320</v>
      </c>
      <c r="M34" s="16">
        <v>305</v>
      </c>
      <c r="N34" s="16">
        <v>761</v>
      </c>
      <c r="O34" s="16">
        <v>57</v>
      </c>
      <c r="P34" s="16">
        <v>140</v>
      </c>
      <c r="Q34" s="16">
        <v>260</v>
      </c>
      <c r="R34" s="16">
        <v>646</v>
      </c>
      <c r="S34" s="16">
        <v>43</v>
      </c>
      <c r="T34" s="16">
        <v>104</v>
      </c>
      <c r="U34" s="16">
        <v>528</v>
      </c>
      <c r="V34" s="16">
        <v>1320</v>
      </c>
      <c r="W34" s="16">
        <v>252</v>
      </c>
      <c r="X34" s="16">
        <v>630</v>
      </c>
      <c r="Y34" s="16">
        <v>406</v>
      </c>
      <c r="Z34" s="16">
        <v>1012</v>
      </c>
      <c r="AA34" s="16">
        <v>52</v>
      </c>
      <c r="AB34" s="16">
        <v>128</v>
      </c>
      <c r="AC34" s="16">
        <v>74</v>
      </c>
      <c r="AD34" s="16">
        <v>182</v>
      </c>
      <c r="AE34" s="16"/>
      <c r="AF34" s="16"/>
      <c r="AG34" s="16">
        <v>3680</v>
      </c>
      <c r="AH34" s="16">
        <v>9200</v>
      </c>
      <c r="AI34" s="16">
        <v>1016</v>
      </c>
      <c r="AJ34" s="16">
        <v>2540</v>
      </c>
      <c r="AK34" s="16">
        <v>56</v>
      </c>
      <c r="AL34" s="16">
        <v>140</v>
      </c>
      <c r="AM34" s="16">
        <v>864</v>
      </c>
      <c r="AN34" s="16">
        <v>2160</v>
      </c>
      <c r="AO34" s="15">
        <v>535</v>
      </c>
      <c r="AP34" s="15">
        <v>1334</v>
      </c>
      <c r="AQ34" s="15">
        <v>10</v>
      </c>
      <c r="AR34" s="15">
        <v>24</v>
      </c>
      <c r="AS34" s="15">
        <v>1888</v>
      </c>
      <c r="AT34" s="15">
        <v>4720</v>
      </c>
      <c r="AU34" s="15">
        <v>12</v>
      </c>
      <c r="AV34" s="15">
        <v>30</v>
      </c>
      <c r="AW34" s="15">
        <v>2</v>
      </c>
      <c r="AX34" s="15">
        <v>4</v>
      </c>
      <c r="AY34" s="27">
        <f t="shared" si="4"/>
        <v>20286</v>
      </c>
      <c r="AZ34" s="27">
        <f t="shared" si="3"/>
        <v>50686</v>
      </c>
    </row>
    <row r="35" spans="1:52" x14ac:dyDescent="0.25">
      <c r="A35" s="13">
        <v>39</v>
      </c>
      <c r="B35" s="19" t="s">
        <v>108</v>
      </c>
      <c r="C35" s="26" t="s">
        <v>109</v>
      </c>
      <c r="D35" s="19" t="s">
        <v>42</v>
      </c>
      <c r="E35" s="16">
        <v>110</v>
      </c>
      <c r="F35" s="16">
        <v>275</v>
      </c>
      <c r="G35" s="16">
        <v>48</v>
      </c>
      <c r="H35" s="16">
        <v>116</v>
      </c>
      <c r="I35" s="16">
        <v>16</v>
      </c>
      <c r="J35" s="16">
        <v>40</v>
      </c>
      <c r="K35" s="16">
        <v>2</v>
      </c>
      <c r="L35" s="16">
        <v>2</v>
      </c>
      <c r="M35" s="16">
        <v>80</v>
      </c>
      <c r="N35" s="16">
        <v>198</v>
      </c>
      <c r="O35" s="16">
        <v>72</v>
      </c>
      <c r="P35" s="16">
        <v>176</v>
      </c>
      <c r="Q35" s="16">
        <v>16</v>
      </c>
      <c r="R35" s="16">
        <v>38</v>
      </c>
      <c r="S35" s="16">
        <v>13</v>
      </c>
      <c r="T35" s="16">
        <v>32</v>
      </c>
      <c r="U35" s="16">
        <v>264</v>
      </c>
      <c r="V35" s="16">
        <v>660</v>
      </c>
      <c r="W35" s="16">
        <v>284</v>
      </c>
      <c r="X35" s="16">
        <v>710</v>
      </c>
      <c r="Y35" s="16">
        <v>12</v>
      </c>
      <c r="Z35" s="16">
        <v>26</v>
      </c>
      <c r="AA35" s="16">
        <v>57</v>
      </c>
      <c r="AB35" s="16">
        <v>139</v>
      </c>
      <c r="AC35" s="16">
        <v>39</v>
      </c>
      <c r="AD35" s="16">
        <v>96</v>
      </c>
      <c r="AE35" s="16">
        <v>30</v>
      </c>
      <c r="AF35" s="16">
        <v>72</v>
      </c>
      <c r="AG35" s="16">
        <v>5421</v>
      </c>
      <c r="AH35" s="16">
        <v>13550</v>
      </c>
      <c r="AI35" s="16">
        <v>160</v>
      </c>
      <c r="AJ35" s="16">
        <v>400</v>
      </c>
      <c r="AK35" s="16">
        <v>10</v>
      </c>
      <c r="AL35" s="16">
        <v>24</v>
      </c>
      <c r="AM35" s="16">
        <v>58</v>
      </c>
      <c r="AN35" s="16">
        <v>144</v>
      </c>
      <c r="AO35" s="15">
        <v>240</v>
      </c>
      <c r="AP35" s="15">
        <v>600</v>
      </c>
      <c r="AQ35" s="15">
        <v>22</v>
      </c>
      <c r="AR35" s="15">
        <v>52</v>
      </c>
      <c r="AS35" s="15"/>
      <c r="AT35" s="15"/>
      <c r="AU35" s="15"/>
      <c r="AV35" s="15"/>
      <c r="AW35" s="15"/>
      <c r="AX35" s="15"/>
      <c r="AY35" s="27">
        <f t="shared" si="4"/>
        <v>6954</v>
      </c>
      <c r="AZ35" s="27">
        <f t="shared" si="3"/>
        <v>17350</v>
      </c>
    </row>
    <row r="36" spans="1:52" x14ac:dyDescent="0.25">
      <c r="A36" s="13">
        <v>41</v>
      </c>
      <c r="B36" s="19" t="s">
        <v>110</v>
      </c>
      <c r="C36" s="26" t="s">
        <v>111</v>
      </c>
      <c r="D36" s="19" t="s">
        <v>42</v>
      </c>
      <c r="E36" s="16"/>
      <c r="F36" s="16"/>
      <c r="G36" s="16">
        <v>604</v>
      </c>
      <c r="H36" s="16">
        <v>1506</v>
      </c>
      <c r="I36" s="16">
        <v>8</v>
      </c>
      <c r="J36" s="16">
        <v>20</v>
      </c>
      <c r="K36" s="16">
        <v>244</v>
      </c>
      <c r="L36" s="16">
        <v>610</v>
      </c>
      <c r="M36" s="16"/>
      <c r="N36" s="16"/>
      <c r="O36" s="16"/>
      <c r="P36" s="16"/>
      <c r="Q36" s="16">
        <v>96</v>
      </c>
      <c r="R36" s="16">
        <v>234</v>
      </c>
      <c r="S36" s="16">
        <v>2</v>
      </c>
      <c r="T36" s="16">
        <v>3</v>
      </c>
      <c r="U36" s="16">
        <v>60</v>
      </c>
      <c r="V36" s="16">
        <v>150</v>
      </c>
      <c r="W36" s="16"/>
      <c r="X36" s="16"/>
      <c r="Y36" s="16"/>
      <c r="Z36" s="16"/>
      <c r="AA36" s="16">
        <v>84</v>
      </c>
      <c r="AB36" s="16">
        <v>208</v>
      </c>
      <c r="AC36" s="16">
        <v>18</v>
      </c>
      <c r="AD36" s="16">
        <v>43</v>
      </c>
      <c r="AE36" s="16"/>
      <c r="AF36" s="16"/>
      <c r="AG36" s="16"/>
      <c r="AH36" s="16"/>
      <c r="AI36" s="16"/>
      <c r="AJ36" s="16"/>
      <c r="AK36" s="16"/>
      <c r="AL36" s="16"/>
      <c r="AM36" s="16"/>
      <c r="AN36" s="16"/>
      <c r="AO36" s="15">
        <v>236</v>
      </c>
      <c r="AP36" s="15">
        <v>589</v>
      </c>
      <c r="AQ36" s="15">
        <v>112</v>
      </c>
      <c r="AR36" s="15">
        <v>280</v>
      </c>
      <c r="AS36" s="15"/>
      <c r="AT36" s="15"/>
      <c r="AU36" s="15"/>
      <c r="AV36" s="15"/>
      <c r="AW36" s="15"/>
      <c r="AX36" s="15"/>
      <c r="AY36" s="27">
        <f t="shared" si="4"/>
        <v>1464</v>
      </c>
      <c r="AZ36" s="27">
        <f t="shared" si="3"/>
        <v>3643</v>
      </c>
    </row>
    <row r="37" spans="1:52" x14ac:dyDescent="0.25">
      <c r="A37" s="13">
        <v>42</v>
      </c>
      <c r="B37" s="19" t="s">
        <v>112</v>
      </c>
      <c r="C37" s="26" t="s">
        <v>113</v>
      </c>
      <c r="D37" s="19" t="s">
        <v>42</v>
      </c>
      <c r="E37" s="16"/>
      <c r="F37" s="16"/>
      <c r="G37" s="16">
        <v>2</v>
      </c>
      <c r="H37" s="16">
        <v>4</v>
      </c>
      <c r="I37" s="16"/>
      <c r="J37" s="16"/>
      <c r="K37" s="16">
        <v>4</v>
      </c>
      <c r="L37" s="16">
        <v>8</v>
      </c>
      <c r="M37" s="16"/>
      <c r="N37" s="16"/>
      <c r="O37" s="16"/>
      <c r="P37" s="16"/>
      <c r="Q37" s="16"/>
      <c r="R37" s="16"/>
      <c r="S37" s="16"/>
      <c r="T37" s="16"/>
      <c r="U37" s="16">
        <v>44</v>
      </c>
      <c r="V37" s="16">
        <v>110</v>
      </c>
      <c r="W37" s="16"/>
      <c r="X37" s="16"/>
      <c r="Y37" s="16">
        <v>24</v>
      </c>
      <c r="Z37" s="16">
        <v>56</v>
      </c>
      <c r="AA37" s="16"/>
      <c r="AB37" s="16"/>
      <c r="AC37" s="16"/>
      <c r="AD37" s="16"/>
      <c r="AE37" s="16"/>
      <c r="AF37" s="16"/>
      <c r="AG37" s="16"/>
      <c r="AH37" s="16"/>
      <c r="AI37" s="16"/>
      <c r="AJ37" s="16"/>
      <c r="AK37" s="16"/>
      <c r="AL37" s="16"/>
      <c r="AM37" s="16"/>
      <c r="AN37" s="16"/>
      <c r="AO37" s="15">
        <v>287</v>
      </c>
      <c r="AP37" s="15">
        <v>715</v>
      </c>
      <c r="AQ37" s="15"/>
      <c r="AR37" s="15"/>
      <c r="AS37" s="15"/>
      <c r="AT37" s="15"/>
      <c r="AU37" s="15"/>
      <c r="AV37" s="15"/>
      <c r="AW37" s="15"/>
      <c r="AX37" s="15"/>
      <c r="AY37" s="27">
        <f t="shared" si="4"/>
        <v>361</v>
      </c>
      <c r="AZ37" s="27">
        <f t="shared" si="3"/>
        <v>893</v>
      </c>
    </row>
    <row r="38" spans="1:52" x14ac:dyDescent="0.25">
      <c r="A38" s="13">
        <v>43</v>
      </c>
      <c r="B38" s="19" t="s">
        <v>114</v>
      </c>
      <c r="C38" s="26" t="s">
        <v>115</v>
      </c>
      <c r="D38" s="19" t="s">
        <v>42</v>
      </c>
      <c r="E38" s="16"/>
      <c r="F38" s="16"/>
      <c r="G38" s="16">
        <v>480</v>
      </c>
      <c r="H38" s="16">
        <v>1194</v>
      </c>
      <c r="I38" s="16">
        <v>20844</v>
      </c>
      <c r="J38" s="16">
        <v>52110</v>
      </c>
      <c r="K38" s="16">
        <v>646</v>
      </c>
      <c r="L38" s="16">
        <v>1613</v>
      </c>
      <c r="M38" s="16">
        <v>88</v>
      </c>
      <c r="N38" s="16">
        <v>216</v>
      </c>
      <c r="O38" s="16">
        <v>492</v>
      </c>
      <c r="P38" s="16">
        <v>1226</v>
      </c>
      <c r="Q38" s="16">
        <v>66</v>
      </c>
      <c r="R38" s="16">
        <v>164</v>
      </c>
      <c r="S38" s="16">
        <v>137</v>
      </c>
      <c r="T38" s="16">
        <v>340</v>
      </c>
      <c r="U38" s="16">
        <v>220</v>
      </c>
      <c r="V38" s="16">
        <v>550</v>
      </c>
      <c r="W38" s="16"/>
      <c r="X38" s="16"/>
      <c r="Y38" s="16">
        <v>478</v>
      </c>
      <c r="Z38" s="16">
        <v>1188</v>
      </c>
      <c r="AA38" s="16">
        <v>660</v>
      </c>
      <c r="AB38" s="16">
        <v>1650</v>
      </c>
      <c r="AC38" s="16">
        <v>346</v>
      </c>
      <c r="AD38" s="16">
        <v>863</v>
      </c>
      <c r="AE38" s="16"/>
      <c r="AF38" s="16"/>
      <c r="AG38" s="16">
        <v>4592</v>
      </c>
      <c r="AH38" s="16">
        <v>11480</v>
      </c>
      <c r="AI38" s="16">
        <v>200</v>
      </c>
      <c r="AJ38" s="16">
        <v>500</v>
      </c>
      <c r="AK38" s="16">
        <v>136</v>
      </c>
      <c r="AL38" s="16">
        <v>340</v>
      </c>
      <c r="AM38" s="16">
        <v>528</v>
      </c>
      <c r="AN38" s="16">
        <v>1320</v>
      </c>
      <c r="AO38" s="15">
        <v>360</v>
      </c>
      <c r="AP38" s="15">
        <v>900</v>
      </c>
      <c r="AQ38" s="15">
        <v>16</v>
      </c>
      <c r="AR38" s="15">
        <v>34</v>
      </c>
      <c r="AS38" s="15">
        <v>176</v>
      </c>
      <c r="AT38" s="15">
        <v>440</v>
      </c>
      <c r="AU38" s="15"/>
      <c r="AV38" s="15"/>
      <c r="AW38" s="15">
        <v>6</v>
      </c>
      <c r="AX38" s="15">
        <v>12</v>
      </c>
      <c r="AY38" s="27">
        <f t="shared" si="4"/>
        <v>30471</v>
      </c>
      <c r="AZ38" s="27">
        <f t="shared" si="3"/>
        <v>76140</v>
      </c>
    </row>
    <row r="39" spans="1:52" x14ac:dyDescent="0.25">
      <c r="A39" s="13">
        <v>44</v>
      </c>
      <c r="B39" s="19" t="s">
        <v>116</v>
      </c>
      <c r="C39" s="26" t="s">
        <v>117</v>
      </c>
      <c r="D39" s="19" t="s">
        <v>42</v>
      </c>
      <c r="E39" s="16">
        <v>120</v>
      </c>
      <c r="F39" s="16">
        <v>300</v>
      </c>
      <c r="G39" s="16">
        <v>460</v>
      </c>
      <c r="H39" s="16">
        <v>1148</v>
      </c>
      <c r="I39" s="16">
        <v>5930</v>
      </c>
      <c r="J39" s="16">
        <v>14824</v>
      </c>
      <c r="K39" s="16">
        <v>932</v>
      </c>
      <c r="L39" s="16">
        <v>2324</v>
      </c>
      <c r="M39" s="16">
        <v>2130</v>
      </c>
      <c r="N39" s="16">
        <v>5324</v>
      </c>
      <c r="O39" s="16">
        <v>1</v>
      </c>
      <c r="P39" s="16">
        <v>1</v>
      </c>
      <c r="Q39" s="16">
        <v>32</v>
      </c>
      <c r="R39" s="16">
        <v>80</v>
      </c>
      <c r="S39" s="16">
        <v>72</v>
      </c>
      <c r="T39" s="16">
        <v>180</v>
      </c>
      <c r="U39" s="16">
        <v>374</v>
      </c>
      <c r="V39" s="16">
        <v>933</v>
      </c>
      <c r="W39" s="16">
        <v>112</v>
      </c>
      <c r="X39" s="16">
        <v>280</v>
      </c>
      <c r="Y39" s="16">
        <v>428</v>
      </c>
      <c r="Z39" s="16">
        <v>1068</v>
      </c>
      <c r="AA39" s="16">
        <v>16</v>
      </c>
      <c r="AB39" s="16">
        <v>40</v>
      </c>
      <c r="AC39" s="16">
        <v>3278</v>
      </c>
      <c r="AD39" s="16">
        <v>8192</v>
      </c>
      <c r="AE39" s="16">
        <v>10</v>
      </c>
      <c r="AF39" s="16">
        <v>24</v>
      </c>
      <c r="AG39" s="16">
        <v>1116</v>
      </c>
      <c r="AH39" s="16">
        <v>2790</v>
      </c>
      <c r="AI39" s="16">
        <v>694</v>
      </c>
      <c r="AJ39" s="16">
        <v>1732</v>
      </c>
      <c r="AK39" s="16"/>
      <c r="AL39" s="16"/>
      <c r="AM39" s="16">
        <v>568</v>
      </c>
      <c r="AN39" s="16">
        <v>1416</v>
      </c>
      <c r="AO39" s="15">
        <v>600</v>
      </c>
      <c r="AP39" s="15">
        <v>1500</v>
      </c>
      <c r="AQ39" s="15">
        <v>82</v>
      </c>
      <c r="AR39" s="15">
        <v>202</v>
      </c>
      <c r="AS39" s="15">
        <v>1168</v>
      </c>
      <c r="AT39" s="15">
        <v>2920</v>
      </c>
      <c r="AU39" s="15">
        <v>24</v>
      </c>
      <c r="AV39" s="15">
        <v>59</v>
      </c>
      <c r="AW39" s="15"/>
      <c r="AX39" s="15"/>
      <c r="AY39" s="27">
        <f t="shared" si="4"/>
        <v>18147</v>
      </c>
      <c r="AZ39" s="27">
        <f t="shared" si="3"/>
        <v>45337</v>
      </c>
    </row>
    <row r="40" spans="1:52" x14ac:dyDescent="0.25">
      <c r="A40" s="13">
        <v>45</v>
      </c>
      <c r="B40" s="19" t="s">
        <v>118</v>
      </c>
      <c r="C40" s="26" t="s">
        <v>119</v>
      </c>
      <c r="D40" s="19" t="s">
        <v>42</v>
      </c>
      <c r="E40" s="16">
        <v>254</v>
      </c>
      <c r="F40" s="16">
        <v>635</v>
      </c>
      <c r="G40" s="16">
        <v>172</v>
      </c>
      <c r="H40" s="16">
        <v>430</v>
      </c>
      <c r="I40" s="16">
        <v>3726</v>
      </c>
      <c r="J40" s="16">
        <v>9314</v>
      </c>
      <c r="K40" s="16">
        <v>3478</v>
      </c>
      <c r="L40" s="16">
        <v>8692</v>
      </c>
      <c r="M40" s="16">
        <v>2270</v>
      </c>
      <c r="N40" s="16">
        <v>5668</v>
      </c>
      <c r="O40" s="16">
        <v>2</v>
      </c>
      <c r="P40" s="16">
        <v>3</v>
      </c>
      <c r="Q40" s="16">
        <v>372</v>
      </c>
      <c r="R40" s="16">
        <v>926</v>
      </c>
      <c r="S40" s="16">
        <v>13</v>
      </c>
      <c r="T40" s="16">
        <v>30</v>
      </c>
      <c r="U40" s="16">
        <v>1232</v>
      </c>
      <c r="V40" s="16">
        <v>3080</v>
      </c>
      <c r="W40" s="16">
        <v>216</v>
      </c>
      <c r="X40" s="16">
        <v>540</v>
      </c>
      <c r="Y40" s="16">
        <v>30</v>
      </c>
      <c r="Z40" s="16">
        <v>72</v>
      </c>
      <c r="AA40" s="16">
        <v>100</v>
      </c>
      <c r="AB40" s="16">
        <v>250</v>
      </c>
      <c r="AC40" s="16">
        <v>5819</v>
      </c>
      <c r="AD40" s="16">
        <v>14547</v>
      </c>
      <c r="AE40" s="16">
        <v>26</v>
      </c>
      <c r="AF40" s="16">
        <v>58</v>
      </c>
      <c r="AG40" s="16">
        <v>2760</v>
      </c>
      <c r="AH40" s="16">
        <v>6896</v>
      </c>
      <c r="AI40" s="16">
        <v>504</v>
      </c>
      <c r="AJ40" s="16">
        <v>1260</v>
      </c>
      <c r="AK40" s="16">
        <v>12</v>
      </c>
      <c r="AL40" s="16">
        <v>30</v>
      </c>
      <c r="AM40" s="16">
        <v>78</v>
      </c>
      <c r="AN40" s="16">
        <v>192</v>
      </c>
      <c r="AO40" s="15">
        <v>2590</v>
      </c>
      <c r="AP40" s="15">
        <v>6472</v>
      </c>
      <c r="AQ40" s="15">
        <v>48</v>
      </c>
      <c r="AR40" s="15">
        <v>116</v>
      </c>
      <c r="AS40" s="15">
        <v>192</v>
      </c>
      <c r="AT40" s="15">
        <v>480</v>
      </c>
      <c r="AU40" s="15">
        <v>16</v>
      </c>
      <c r="AV40" s="15">
        <v>40</v>
      </c>
      <c r="AW40" s="15">
        <v>12</v>
      </c>
      <c r="AX40" s="15">
        <v>26</v>
      </c>
      <c r="AY40" s="27">
        <f t="shared" si="4"/>
        <v>23922</v>
      </c>
      <c r="AZ40" s="27">
        <f t="shared" si="3"/>
        <v>59757</v>
      </c>
    </row>
    <row r="41" spans="1:52" x14ac:dyDescent="0.25">
      <c r="A41" s="13">
        <v>46</v>
      </c>
      <c r="B41" s="19" t="s">
        <v>120</v>
      </c>
      <c r="C41" s="26" t="s">
        <v>121</v>
      </c>
      <c r="D41" s="19" t="s">
        <v>42</v>
      </c>
      <c r="E41" s="16"/>
      <c r="F41" s="16"/>
      <c r="G41" s="16">
        <v>106</v>
      </c>
      <c r="H41" s="16">
        <v>262</v>
      </c>
      <c r="I41" s="16">
        <v>48</v>
      </c>
      <c r="J41" s="16">
        <v>114</v>
      </c>
      <c r="K41" s="16">
        <v>440</v>
      </c>
      <c r="L41" s="16">
        <v>1100</v>
      </c>
      <c r="M41" s="16"/>
      <c r="N41" s="16"/>
      <c r="O41" s="16"/>
      <c r="P41" s="16"/>
      <c r="Q41" s="16">
        <v>54</v>
      </c>
      <c r="R41" s="16">
        <v>130</v>
      </c>
      <c r="S41" s="16">
        <v>20</v>
      </c>
      <c r="T41" s="16">
        <v>48</v>
      </c>
      <c r="U41" s="16">
        <v>198</v>
      </c>
      <c r="V41" s="16">
        <v>492</v>
      </c>
      <c r="W41" s="16">
        <v>72</v>
      </c>
      <c r="X41" s="16">
        <v>180</v>
      </c>
      <c r="Y41" s="16">
        <v>42</v>
      </c>
      <c r="Z41" s="16">
        <v>104</v>
      </c>
      <c r="AA41" s="16">
        <v>74</v>
      </c>
      <c r="AB41" s="16">
        <v>184</v>
      </c>
      <c r="AC41" s="16">
        <v>59</v>
      </c>
      <c r="AD41" s="16">
        <v>146</v>
      </c>
      <c r="AE41" s="16"/>
      <c r="AF41" s="16"/>
      <c r="AG41" s="16">
        <v>154</v>
      </c>
      <c r="AH41" s="16">
        <v>383</v>
      </c>
      <c r="AI41" s="16">
        <v>432</v>
      </c>
      <c r="AJ41" s="16">
        <v>1080</v>
      </c>
      <c r="AK41" s="16">
        <v>60</v>
      </c>
      <c r="AL41" s="16">
        <v>146</v>
      </c>
      <c r="AM41" s="16">
        <v>68</v>
      </c>
      <c r="AN41" s="16">
        <v>168</v>
      </c>
      <c r="AO41" s="15"/>
      <c r="AP41" s="15"/>
      <c r="AQ41" s="15">
        <v>2</v>
      </c>
      <c r="AR41" s="15">
        <v>2</v>
      </c>
      <c r="AS41" s="15"/>
      <c r="AT41" s="15"/>
      <c r="AU41" s="15"/>
      <c r="AV41" s="15"/>
      <c r="AW41" s="15">
        <v>2</v>
      </c>
      <c r="AX41" s="15">
        <v>4</v>
      </c>
      <c r="AY41" s="27">
        <f t="shared" si="4"/>
        <v>1831</v>
      </c>
      <c r="AZ41" s="27">
        <f t="shared" si="3"/>
        <v>4543</v>
      </c>
    </row>
    <row r="42" spans="1:52" x14ac:dyDescent="0.25">
      <c r="A42" s="13">
        <v>47</v>
      </c>
      <c r="B42" s="19" t="s">
        <v>122</v>
      </c>
      <c r="C42" s="26" t="s">
        <v>123</v>
      </c>
      <c r="D42" s="19" t="s">
        <v>42</v>
      </c>
      <c r="E42" s="16">
        <v>20</v>
      </c>
      <c r="F42" s="16">
        <v>48</v>
      </c>
      <c r="G42" s="16">
        <v>4156</v>
      </c>
      <c r="H42" s="16">
        <v>10388</v>
      </c>
      <c r="I42" s="16">
        <v>570</v>
      </c>
      <c r="J42" s="16">
        <v>1424</v>
      </c>
      <c r="K42" s="16">
        <v>522</v>
      </c>
      <c r="L42" s="16">
        <v>1302</v>
      </c>
      <c r="M42" s="16">
        <v>777</v>
      </c>
      <c r="N42" s="16">
        <v>1941</v>
      </c>
      <c r="O42" s="16"/>
      <c r="P42" s="16"/>
      <c r="Q42" s="16">
        <v>138</v>
      </c>
      <c r="R42" s="16">
        <v>344</v>
      </c>
      <c r="S42" s="16"/>
      <c r="T42" s="16"/>
      <c r="U42" s="16">
        <v>132</v>
      </c>
      <c r="V42" s="16">
        <v>330</v>
      </c>
      <c r="W42" s="16"/>
      <c r="X42" s="16"/>
      <c r="Y42" s="16"/>
      <c r="Z42" s="16"/>
      <c r="AA42" s="16">
        <v>4</v>
      </c>
      <c r="AB42" s="16">
        <v>10</v>
      </c>
      <c r="AC42" s="16"/>
      <c r="AD42" s="16"/>
      <c r="AE42" s="16">
        <v>20</v>
      </c>
      <c r="AF42" s="16">
        <v>48</v>
      </c>
      <c r="AG42" s="16">
        <v>212</v>
      </c>
      <c r="AH42" s="16">
        <v>526</v>
      </c>
      <c r="AI42" s="16">
        <v>960</v>
      </c>
      <c r="AJ42" s="16">
        <v>2400</v>
      </c>
      <c r="AK42" s="16">
        <v>4</v>
      </c>
      <c r="AL42" s="16">
        <v>6</v>
      </c>
      <c r="AM42" s="16">
        <v>452</v>
      </c>
      <c r="AN42" s="16">
        <v>1128</v>
      </c>
      <c r="AO42" s="15">
        <v>4</v>
      </c>
      <c r="AP42" s="15">
        <v>10</v>
      </c>
      <c r="AQ42" s="15">
        <v>126</v>
      </c>
      <c r="AR42" s="15">
        <v>312</v>
      </c>
      <c r="AS42" s="15"/>
      <c r="AT42" s="15"/>
      <c r="AU42" s="15"/>
      <c r="AV42" s="15"/>
      <c r="AW42" s="15"/>
      <c r="AX42" s="15"/>
      <c r="AY42" s="27">
        <f t="shared" si="4"/>
        <v>8097</v>
      </c>
      <c r="AZ42" s="27">
        <f t="shared" si="3"/>
        <v>20217</v>
      </c>
    </row>
    <row r="43" spans="1:52" x14ac:dyDescent="0.25">
      <c r="A43" s="13">
        <v>48</v>
      </c>
      <c r="B43" s="19" t="s">
        <v>124</v>
      </c>
      <c r="C43" s="26" t="s">
        <v>125</v>
      </c>
      <c r="D43" s="19" t="s">
        <v>42</v>
      </c>
      <c r="E43" s="16"/>
      <c r="F43" s="16"/>
      <c r="G43" s="16">
        <v>638</v>
      </c>
      <c r="H43" s="16">
        <v>1590</v>
      </c>
      <c r="I43" s="16">
        <v>15046</v>
      </c>
      <c r="J43" s="16">
        <v>37612</v>
      </c>
      <c r="K43" s="16">
        <v>1444</v>
      </c>
      <c r="L43" s="16">
        <v>3607</v>
      </c>
      <c r="M43" s="16"/>
      <c r="N43" s="16"/>
      <c r="O43" s="16">
        <v>2689</v>
      </c>
      <c r="P43" s="16">
        <v>6720</v>
      </c>
      <c r="Q43" s="16">
        <v>98</v>
      </c>
      <c r="R43" s="16">
        <v>242</v>
      </c>
      <c r="S43" s="16">
        <v>75</v>
      </c>
      <c r="T43" s="16">
        <v>186</v>
      </c>
      <c r="U43" s="16">
        <v>537</v>
      </c>
      <c r="V43" s="16">
        <v>1342</v>
      </c>
      <c r="W43" s="16">
        <v>256</v>
      </c>
      <c r="X43" s="16">
        <v>640</v>
      </c>
      <c r="Y43" s="16">
        <v>342</v>
      </c>
      <c r="Z43" s="16">
        <v>852</v>
      </c>
      <c r="AA43" s="16">
        <v>672</v>
      </c>
      <c r="AB43" s="16">
        <v>1680</v>
      </c>
      <c r="AC43" s="16">
        <v>3837</v>
      </c>
      <c r="AD43" s="16">
        <v>9591</v>
      </c>
      <c r="AE43" s="16"/>
      <c r="AF43" s="16"/>
      <c r="AG43" s="16">
        <v>5104</v>
      </c>
      <c r="AH43" s="16">
        <v>12759</v>
      </c>
      <c r="AI43" s="16">
        <v>12960</v>
      </c>
      <c r="AJ43" s="16">
        <v>32400</v>
      </c>
      <c r="AK43" s="16">
        <v>188</v>
      </c>
      <c r="AL43" s="16">
        <v>466</v>
      </c>
      <c r="AM43" s="16">
        <v>414</v>
      </c>
      <c r="AN43" s="16">
        <v>1032</v>
      </c>
      <c r="AO43" s="15">
        <v>80</v>
      </c>
      <c r="AP43" s="15">
        <v>200</v>
      </c>
      <c r="AQ43" s="15"/>
      <c r="AR43" s="15"/>
      <c r="AS43" s="15"/>
      <c r="AT43" s="15"/>
      <c r="AU43" s="15">
        <v>17</v>
      </c>
      <c r="AV43" s="15">
        <v>42</v>
      </c>
      <c r="AW43" s="15">
        <v>24</v>
      </c>
      <c r="AX43" s="15">
        <v>60</v>
      </c>
      <c r="AY43" s="27">
        <f t="shared" si="4"/>
        <v>44421</v>
      </c>
      <c r="AZ43" s="27">
        <f t="shared" si="3"/>
        <v>111021</v>
      </c>
    </row>
    <row r="44" spans="1:52" x14ac:dyDescent="0.25">
      <c r="A44" s="13">
        <v>49</v>
      </c>
      <c r="B44" s="19" t="s">
        <v>126</v>
      </c>
      <c r="C44" s="26" t="s">
        <v>127</v>
      </c>
      <c r="D44" s="19" t="s">
        <v>42</v>
      </c>
      <c r="E44" s="16">
        <v>110</v>
      </c>
      <c r="F44" s="16">
        <v>273</v>
      </c>
      <c r="G44" s="16">
        <v>26</v>
      </c>
      <c r="H44" s="16">
        <v>62</v>
      </c>
      <c r="I44" s="16">
        <v>174</v>
      </c>
      <c r="J44" s="16">
        <v>432</v>
      </c>
      <c r="K44" s="16">
        <v>174</v>
      </c>
      <c r="L44" s="16">
        <v>432</v>
      </c>
      <c r="M44" s="16">
        <v>1127</v>
      </c>
      <c r="N44" s="16">
        <v>2814</v>
      </c>
      <c r="O44" s="16">
        <v>45</v>
      </c>
      <c r="P44" s="16">
        <v>110</v>
      </c>
      <c r="Q44" s="16">
        <v>26</v>
      </c>
      <c r="R44" s="16">
        <v>60</v>
      </c>
      <c r="S44" s="16">
        <v>10</v>
      </c>
      <c r="T44" s="16">
        <v>24</v>
      </c>
      <c r="U44" s="16">
        <v>64</v>
      </c>
      <c r="V44" s="16">
        <v>160</v>
      </c>
      <c r="W44" s="16">
        <v>15</v>
      </c>
      <c r="X44" s="16">
        <v>36</v>
      </c>
      <c r="Y44" s="16">
        <v>32</v>
      </c>
      <c r="Z44" s="16">
        <v>80</v>
      </c>
      <c r="AA44" s="16">
        <v>13</v>
      </c>
      <c r="AB44" s="16">
        <v>29</v>
      </c>
      <c r="AC44" s="16">
        <v>237</v>
      </c>
      <c r="AD44" s="16">
        <v>590</v>
      </c>
      <c r="AE44" s="16">
        <v>18</v>
      </c>
      <c r="AF44" s="16">
        <v>43</v>
      </c>
      <c r="AG44" s="16">
        <v>123</v>
      </c>
      <c r="AH44" s="16">
        <v>305</v>
      </c>
      <c r="AI44" s="16">
        <v>240</v>
      </c>
      <c r="AJ44" s="16">
        <v>600</v>
      </c>
      <c r="AK44" s="16">
        <v>82</v>
      </c>
      <c r="AL44" s="16">
        <v>202</v>
      </c>
      <c r="AM44" s="16">
        <v>768</v>
      </c>
      <c r="AN44" s="16">
        <v>1920</v>
      </c>
      <c r="AO44" s="15">
        <v>440</v>
      </c>
      <c r="AP44" s="15">
        <v>1100</v>
      </c>
      <c r="AQ44" s="15">
        <v>21</v>
      </c>
      <c r="AR44" s="15">
        <v>50</v>
      </c>
      <c r="AS44" s="15"/>
      <c r="AT44" s="15"/>
      <c r="AU44" s="15">
        <v>56</v>
      </c>
      <c r="AV44" s="15">
        <v>140</v>
      </c>
      <c r="AW44" s="15">
        <v>6</v>
      </c>
      <c r="AX44" s="15">
        <v>12</v>
      </c>
      <c r="AY44" s="27">
        <f t="shared" si="4"/>
        <v>3807</v>
      </c>
      <c r="AZ44" s="27">
        <f t="shared" si="3"/>
        <v>9474</v>
      </c>
    </row>
    <row r="45" spans="1:52" x14ac:dyDescent="0.25">
      <c r="A45" s="13">
        <v>50</v>
      </c>
      <c r="B45" s="19" t="s">
        <v>128</v>
      </c>
      <c r="C45" s="26" t="s">
        <v>129</v>
      </c>
      <c r="D45" s="19" t="s">
        <v>42</v>
      </c>
      <c r="E45" s="16">
        <v>26</v>
      </c>
      <c r="F45" s="16">
        <v>63</v>
      </c>
      <c r="G45" s="16">
        <v>800</v>
      </c>
      <c r="H45" s="16">
        <v>2000</v>
      </c>
      <c r="I45" s="16">
        <v>387</v>
      </c>
      <c r="J45" s="16">
        <v>963</v>
      </c>
      <c r="K45" s="16">
        <v>202</v>
      </c>
      <c r="L45" s="16">
        <v>502</v>
      </c>
      <c r="M45" s="16">
        <v>514</v>
      </c>
      <c r="N45" s="16">
        <v>1279</v>
      </c>
      <c r="O45" s="16">
        <v>46</v>
      </c>
      <c r="P45" s="16">
        <v>112</v>
      </c>
      <c r="Q45" s="16">
        <v>125</v>
      </c>
      <c r="R45" s="16">
        <v>307</v>
      </c>
      <c r="S45" s="16">
        <v>12</v>
      </c>
      <c r="T45" s="16">
        <v>30</v>
      </c>
      <c r="U45" s="16">
        <v>176</v>
      </c>
      <c r="V45" s="16">
        <v>440</v>
      </c>
      <c r="W45" s="16">
        <v>36</v>
      </c>
      <c r="X45" s="16">
        <v>90</v>
      </c>
      <c r="Y45" s="16">
        <v>30</v>
      </c>
      <c r="Z45" s="16">
        <v>72</v>
      </c>
      <c r="AA45" s="16">
        <v>48</v>
      </c>
      <c r="AB45" s="16">
        <v>118</v>
      </c>
      <c r="AC45" s="16">
        <v>187</v>
      </c>
      <c r="AD45" s="16">
        <v>464</v>
      </c>
      <c r="AE45" s="16">
        <v>10</v>
      </c>
      <c r="AF45" s="16">
        <v>24</v>
      </c>
      <c r="AG45" s="16"/>
      <c r="AH45" s="16"/>
      <c r="AI45" s="16">
        <v>42</v>
      </c>
      <c r="AJ45" s="16">
        <v>104</v>
      </c>
      <c r="AK45" s="16">
        <v>218</v>
      </c>
      <c r="AL45" s="16">
        <v>544</v>
      </c>
      <c r="AM45" s="16">
        <v>20</v>
      </c>
      <c r="AN45" s="16">
        <v>48</v>
      </c>
      <c r="AO45" s="15">
        <v>56</v>
      </c>
      <c r="AP45" s="15">
        <v>140</v>
      </c>
      <c r="AQ45" s="15"/>
      <c r="AR45" s="15"/>
      <c r="AS45" s="15"/>
      <c r="AT45" s="15"/>
      <c r="AU45" s="15">
        <v>13</v>
      </c>
      <c r="AV45" s="15">
        <v>30</v>
      </c>
      <c r="AW45" s="15">
        <v>4</v>
      </c>
      <c r="AX45" s="15">
        <v>8</v>
      </c>
      <c r="AY45" s="27">
        <f t="shared" si="4"/>
        <v>2952</v>
      </c>
      <c r="AZ45" s="27">
        <f t="shared" si="3"/>
        <v>7338</v>
      </c>
    </row>
    <row r="46" spans="1:52" x14ac:dyDescent="0.25">
      <c r="A46" s="13">
        <v>51</v>
      </c>
      <c r="B46" s="19" t="s">
        <v>130</v>
      </c>
      <c r="C46" s="26" t="s">
        <v>131</v>
      </c>
      <c r="D46" s="19" t="s">
        <v>42</v>
      </c>
      <c r="E46" s="16">
        <v>22</v>
      </c>
      <c r="F46" s="16">
        <v>51</v>
      </c>
      <c r="G46" s="16">
        <v>176</v>
      </c>
      <c r="H46" s="16">
        <v>436</v>
      </c>
      <c r="I46" s="16">
        <v>731</v>
      </c>
      <c r="J46" s="16">
        <v>1825</v>
      </c>
      <c r="K46" s="16">
        <v>260</v>
      </c>
      <c r="L46" s="16">
        <v>648</v>
      </c>
      <c r="M46" s="16">
        <v>756</v>
      </c>
      <c r="N46" s="16">
        <v>1888</v>
      </c>
      <c r="O46" s="16">
        <v>20</v>
      </c>
      <c r="P46" s="16">
        <v>44</v>
      </c>
      <c r="Q46" s="16">
        <v>125</v>
      </c>
      <c r="R46" s="16">
        <v>307</v>
      </c>
      <c r="S46" s="16">
        <v>52</v>
      </c>
      <c r="T46" s="16">
        <v>126</v>
      </c>
      <c r="U46" s="16">
        <v>441</v>
      </c>
      <c r="V46" s="16">
        <v>1100</v>
      </c>
      <c r="W46" s="16">
        <v>320</v>
      </c>
      <c r="X46" s="16">
        <v>800</v>
      </c>
      <c r="Y46" s="16">
        <v>896</v>
      </c>
      <c r="Z46" s="16">
        <v>2240</v>
      </c>
      <c r="AA46" s="16">
        <v>296</v>
      </c>
      <c r="AB46" s="16">
        <v>738</v>
      </c>
      <c r="AC46" s="16">
        <v>115</v>
      </c>
      <c r="AD46" s="16">
        <v>286</v>
      </c>
      <c r="AE46" s="16">
        <v>8</v>
      </c>
      <c r="AF46" s="16">
        <v>20</v>
      </c>
      <c r="AG46" s="16">
        <v>720</v>
      </c>
      <c r="AH46" s="16">
        <v>1800</v>
      </c>
      <c r="AI46" s="16">
        <v>224</v>
      </c>
      <c r="AJ46" s="16">
        <v>560</v>
      </c>
      <c r="AK46" s="16">
        <v>366</v>
      </c>
      <c r="AL46" s="16">
        <v>912</v>
      </c>
      <c r="AM46" s="16">
        <v>10</v>
      </c>
      <c r="AN46" s="16">
        <v>24</v>
      </c>
      <c r="AO46" s="15">
        <v>160</v>
      </c>
      <c r="AP46" s="15">
        <v>400</v>
      </c>
      <c r="AQ46" s="15">
        <v>71</v>
      </c>
      <c r="AR46" s="15">
        <v>174</v>
      </c>
      <c r="AS46" s="15"/>
      <c r="AT46" s="15"/>
      <c r="AU46" s="15">
        <v>44</v>
      </c>
      <c r="AV46" s="15">
        <v>110</v>
      </c>
      <c r="AW46" s="15">
        <v>4</v>
      </c>
      <c r="AX46" s="15">
        <v>6</v>
      </c>
      <c r="AY46" s="27">
        <f t="shared" si="4"/>
        <v>5817</v>
      </c>
      <c r="AZ46" s="27">
        <f t="shared" si="3"/>
        <v>14495</v>
      </c>
    </row>
    <row r="47" spans="1:52" x14ac:dyDescent="0.25">
      <c r="A47" s="13">
        <v>52</v>
      </c>
      <c r="B47" s="19" t="s">
        <v>132</v>
      </c>
      <c r="C47" s="26" t="s">
        <v>133</v>
      </c>
      <c r="D47" s="19" t="s">
        <v>42</v>
      </c>
      <c r="E47" s="16">
        <v>36</v>
      </c>
      <c r="F47" s="16">
        <v>90</v>
      </c>
      <c r="G47" s="16">
        <v>40</v>
      </c>
      <c r="H47" s="16">
        <v>100</v>
      </c>
      <c r="I47" s="16">
        <v>232</v>
      </c>
      <c r="J47" s="16">
        <v>580</v>
      </c>
      <c r="K47" s="16">
        <v>136</v>
      </c>
      <c r="L47" s="16">
        <v>337</v>
      </c>
      <c r="M47" s="16">
        <v>2248</v>
      </c>
      <c r="N47" s="16">
        <v>5615</v>
      </c>
      <c r="O47" s="16">
        <v>151</v>
      </c>
      <c r="P47" s="16">
        <v>371</v>
      </c>
      <c r="Q47" s="16">
        <v>18</v>
      </c>
      <c r="R47" s="16">
        <v>41</v>
      </c>
      <c r="S47" s="16">
        <v>20</v>
      </c>
      <c r="T47" s="16">
        <v>44</v>
      </c>
      <c r="U47" s="16">
        <v>152</v>
      </c>
      <c r="V47" s="16">
        <v>380</v>
      </c>
      <c r="W47" s="16">
        <v>160</v>
      </c>
      <c r="X47" s="16">
        <v>400</v>
      </c>
      <c r="Y47" s="16">
        <v>30</v>
      </c>
      <c r="Z47" s="16">
        <v>72</v>
      </c>
      <c r="AA47" s="16">
        <v>5</v>
      </c>
      <c r="AB47" s="16">
        <v>11</v>
      </c>
      <c r="AC47" s="16">
        <v>75</v>
      </c>
      <c r="AD47" s="16">
        <v>186</v>
      </c>
      <c r="AE47" s="16">
        <v>8</v>
      </c>
      <c r="AF47" s="16">
        <v>20</v>
      </c>
      <c r="AG47" s="16">
        <v>400</v>
      </c>
      <c r="AH47" s="16">
        <v>1000</v>
      </c>
      <c r="AI47" s="16">
        <v>800</v>
      </c>
      <c r="AJ47" s="16">
        <v>2000</v>
      </c>
      <c r="AK47" s="16">
        <v>68</v>
      </c>
      <c r="AL47" s="16">
        <v>166</v>
      </c>
      <c r="AM47" s="16">
        <v>280</v>
      </c>
      <c r="AN47" s="16">
        <v>700</v>
      </c>
      <c r="AO47" s="15">
        <v>380</v>
      </c>
      <c r="AP47" s="15">
        <v>948</v>
      </c>
      <c r="AQ47" s="15">
        <v>42</v>
      </c>
      <c r="AR47" s="15">
        <v>104</v>
      </c>
      <c r="AS47" s="15"/>
      <c r="AT47" s="15"/>
      <c r="AU47" s="15">
        <v>14</v>
      </c>
      <c r="AV47" s="15">
        <v>33</v>
      </c>
      <c r="AW47" s="15"/>
      <c r="AX47" s="15"/>
      <c r="AY47" s="27">
        <f t="shared" si="4"/>
        <v>5295</v>
      </c>
      <c r="AZ47" s="27">
        <f t="shared" si="3"/>
        <v>13198</v>
      </c>
    </row>
    <row r="48" spans="1:52" x14ac:dyDescent="0.25">
      <c r="A48" s="13">
        <v>53</v>
      </c>
      <c r="B48" s="19" t="s">
        <v>134</v>
      </c>
      <c r="C48" s="26" t="s">
        <v>135</v>
      </c>
      <c r="D48" s="19" t="s">
        <v>42</v>
      </c>
      <c r="E48" s="16">
        <v>20</v>
      </c>
      <c r="F48" s="16">
        <v>50</v>
      </c>
      <c r="G48" s="16">
        <v>10</v>
      </c>
      <c r="H48" s="16">
        <v>24</v>
      </c>
      <c r="I48" s="16">
        <v>250</v>
      </c>
      <c r="J48" s="16">
        <v>624</v>
      </c>
      <c r="K48" s="16">
        <v>9</v>
      </c>
      <c r="L48" s="16">
        <v>22</v>
      </c>
      <c r="M48" s="16">
        <v>80</v>
      </c>
      <c r="N48" s="16">
        <v>200</v>
      </c>
      <c r="O48" s="16">
        <v>2</v>
      </c>
      <c r="P48" s="16">
        <v>4</v>
      </c>
      <c r="Q48" s="16">
        <v>8</v>
      </c>
      <c r="R48" s="16">
        <v>18</v>
      </c>
      <c r="S48" s="16">
        <v>1</v>
      </c>
      <c r="T48" s="16">
        <v>1</v>
      </c>
      <c r="U48" s="16">
        <v>167</v>
      </c>
      <c r="V48" s="16">
        <v>416</v>
      </c>
      <c r="W48" s="16">
        <v>96</v>
      </c>
      <c r="X48" s="16">
        <v>240</v>
      </c>
      <c r="Y48" s="16">
        <v>24</v>
      </c>
      <c r="Z48" s="16">
        <v>56</v>
      </c>
      <c r="AA48" s="16"/>
      <c r="AB48" s="16"/>
      <c r="AC48" s="16">
        <v>18</v>
      </c>
      <c r="AD48" s="16">
        <v>42</v>
      </c>
      <c r="AE48" s="16"/>
      <c r="AF48" s="16"/>
      <c r="AG48" s="16">
        <v>296</v>
      </c>
      <c r="AH48" s="16">
        <v>740</v>
      </c>
      <c r="AI48" s="16">
        <v>320</v>
      </c>
      <c r="AJ48" s="16">
        <v>800</v>
      </c>
      <c r="AK48" s="16">
        <v>78</v>
      </c>
      <c r="AL48" s="16">
        <v>192</v>
      </c>
      <c r="AM48" s="16"/>
      <c r="AN48" s="16"/>
      <c r="AO48" s="15">
        <v>34</v>
      </c>
      <c r="AP48" s="15">
        <v>82</v>
      </c>
      <c r="AQ48" s="15">
        <v>76</v>
      </c>
      <c r="AR48" s="15">
        <v>190</v>
      </c>
      <c r="AS48" s="15"/>
      <c r="AT48" s="15"/>
      <c r="AU48" s="15">
        <v>3</v>
      </c>
      <c r="AV48" s="15">
        <v>6</v>
      </c>
      <c r="AW48" s="15"/>
      <c r="AX48" s="15"/>
      <c r="AY48" s="27">
        <f t="shared" si="4"/>
        <v>1492</v>
      </c>
      <c r="AZ48" s="27">
        <f t="shared" si="3"/>
        <v>3707</v>
      </c>
    </row>
    <row r="49" spans="1:52" x14ac:dyDescent="0.25">
      <c r="A49" s="13">
        <v>54</v>
      </c>
      <c r="B49" s="19" t="s">
        <v>136</v>
      </c>
      <c r="C49" s="26" t="s">
        <v>137</v>
      </c>
      <c r="D49" s="19" t="s">
        <v>42</v>
      </c>
      <c r="E49" s="16">
        <v>16</v>
      </c>
      <c r="F49" s="16">
        <v>40</v>
      </c>
      <c r="G49" s="16">
        <v>44</v>
      </c>
      <c r="H49" s="16">
        <v>106</v>
      </c>
      <c r="I49" s="16"/>
      <c r="J49" s="16"/>
      <c r="K49" s="16">
        <v>124</v>
      </c>
      <c r="L49" s="16">
        <v>310</v>
      </c>
      <c r="M49" s="16">
        <v>151</v>
      </c>
      <c r="N49" s="16">
        <v>376</v>
      </c>
      <c r="O49" s="16">
        <v>30</v>
      </c>
      <c r="P49" s="16">
        <v>72</v>
      </c>
      <c r="Q49" s="16"/>
      <c r="R49" s="16"/>
      <c r="S49" s="16">
        <v>2</v>
      </c>
      <c r="T49" s="16">
        <v>3</v>
      </c>
      <c r="U49" s="16">
        <v>171</v>
      </c>
      <c r="V49" s="16">
        <v>427</v>
      </c>
      <c r="W49" s="16"/>
      <c r="X49" s="16"/>
      <c r="Y49" s="16">
        <v>2</v>
      </c>
      <c r="Z49" s="16">
        <v>2</v>
      </c>
      <c r="AA49" s="16"/>
      <c r="AB49" s="16"/>
      <c r="AC49" s="16">
        <v>48</v>
      </c>
      <c r="AD49" s="16">
        <v>117</v>
      </c>
      <c r="AE49" s="16"/>
      <c r="AF49" s="16"/>
      <c r="AG49" s="16">
        <v>108</v>
      </c>
      <c r="AH49" s="16">
        <v>270</v>
      </c>
      <c r="AI49" s="16">
        <v>98</v>
      </c>
      <c r="AJ49" s="16">
        <v>244</v>
      </c>
      <c r="AK49" s="16">
        <v>22</v>
      </c>
      <c r="AL49" s="16">
        <v>54</v>
      </c>
      <c r="AM49" s="16"/>
      <c r="AN49" s="16"/>
      <c r="AO49" s="15">
        <v>60</v>
      </c>
      <c r="AP49" s="15">
        <v>147</v>
      </c>
      <c r="AQ49" s="15">
        <v>46</v>
      </c>
      <c r="AR49" s="15">
        <v>110</v>
      </c>
      <c r="AS49" s="15"/>
      <c r="AT49" s="15"/>
      <c r="AU49" s="15"/>
      <c r="AV49" s="15"/>
      <c r="AW49" s="15"/>
      <c r="AX49" s="15"/>
      <c r="AY49" s="27">
        <f t="shared" si="4"/>
        <v>922</v>
      </c>
      <c r="AZ49" s="27">
        <f t="shared" si="3"/>
        <v>2278</v>
      </c>
    </row>
    <row r="50" spans="1:52" x14ac:dyDescent="0.25">
      <c r="A50" s="13">
        <v>55</v>
      </c>
      <c r="B50" s="19" t="s">
        <v>138</v>
      </c>
      <c r="C50" s="26" t="s">
        <v>139</v>
      </c>
      <c r="D50" s="19" t="s">
        <v>42</v>
      </c>
      <c r="E50" s="16">
        <v>8</v>
      </c>
      <c r="F50" s="16">
        <v>20</v>
      </c>
      <c r="G50" s="16">
        <v>44</v>
      </c>
      <c r="H50" s="16">
        <v>106</v>
      </c>
      <c r="I50" s="16">
        <v>40</v>
      </c>
      <c r="J50" s="16">
        <v>96</v>
      </c>
      <c r="K50" s="16">
        <v>141</v>
      </c>
      <c r="L50" s="16">
        <v>351</v>
      </c>
      <c r="M50" s="16">
        <v>556</v>
      </c>
      <c r="N50" s="16">
        <v>1390</v>
      </c>
      <c r="O50" s="16">
        <v>109</v>
      </c>
      <c r="P50" s="16">
        <v>268</v>
      </c>
      <c r="Q50" s="16">
        <v>18</v>
      </c>
      <c r="R50" s="16">
        <v>42</v>
      </c>
      <c r="S50" s="16">
        <v>41</v>
      </c>
      <c r="T50" s="16">
        <v>96</v>
      </c>
      <c r="U50" s="16">
        <v>115</v>
      </c>
      <c r="V50" s="16">
        <v>286</v>
      </c>
      <c r="W50" s="16">
        <v>208</v>
      </c>
      <c r="X50" s="16">
        <v>520</v>
      </c>
      <c r="Y50" s="16">
        <v>146</v>
      </c>
      <c r="Z50" s="16">
        <v>362</v>
      </c>
      <c r="AA50" s="16"/>
      <c r="AB50" s="16"/>
      <c r="AC50" s="16">
        <v>180</v>
      </c>
      <c r="AD50" s="16">
        <v>449</v>
      </c>
      <c r="AE50" s="16">
        <v>57</v>
      </c>
      <c r="AF50" s="16">
        <v>139</v>
      </c>
      <c r="AG50" s="16">
        <v>4542</v>
      </c>
      <c r="AH50" s="16">
        <v>11352</v>
      </c>
      <c r="AI50" s="16">
        <v>736</v>
      </c>
      <c r="AJ50" s="16">
        <v>1840</v>
      </c>
      <c r="AK50" s="16">
        <v>509</v>
      </c>
      <c r="AL50" s="16">
        <v>1271</v>
      </c>
      <c r="AM50" s="16">
        <v>170</v>
      </c>
      <c r="AN50" s="16">
        <v>424</v>
      </c>
      <c r="AO50" s="15">
        <v>470</v>
      </c>
      <c r="AP50" s="15">
        <v>1175</v>
      </c>
      <c r="AQ50" s="15">
        <v>74</v>
      </c>
      <c r="AR50" s="15">
        <v>182</v>
      </c>
      <c r="AS50" s="15"/>
      <c r="AT50" s="15"/>
      <c r="AU50" s="15">
        <v>80</v>
      </c>
      <c r="AV50" s="15">
        <v>200</v>
      </c>
      <c r="AW50" s="15"/>
      <c r="AX50" s="15"/>
      <c r="AY50" s="27">
        <f t="shared" si="4"/>
        <v>8244</v>
      </c>
      <c r="AZ50" s="27">
        <f t="shared" si="3"/>
        <v>20569</v>
      </c>
    </row>
    <row r="51" spans="1:52" x14ac:dyDescent="0.25">
      <c r="A51" s="13">
        <v>56</v>
      </c>
      <c r="B51" s="19" t="s">
        <v>140</v>
      </c>
      <c r="C51" s="26" t="s">
        <v>141</v>
      </c>
      <c r="D51" s="19" t="s">
        <v>42</v>
      </c>
      <c r="E51" s="16">
        <v>32</v>
      </c>
      <c r="F51" s="16">
        <v>80</v>
      </c>
      <c r="G51" s="16">
        <v>2</v>
      </c>
      <c r="H51" s="16">
        <v>2</v>
      </c>
      <c r="I51" s="16">
        <v>528</v>
      </c>
      <c r="J51" s="16">
        <v>1320</v>
      </c>
      <c r="K51" s="16">
        <v>12</v>
      </c>
      <c r="L51" s="16">
        <v>26</v>
      </c>
      <c r="M51" s="16">
        <v>1495</v>
      </c>
      <c r="N51" s="16">
        <v>3734</v>
      </c>
      <c r="O51" s="16"/>
      <c r="P51" s="16"/>
      <c r="Q51" s="16">
        <v>16</v>
      </c>
      <c r="R51" s="16">
        <v>38</v>
      </c>
      <c r="S51" s="16">
        <v>48</v>
      </c>
      <c r="T51" s="16">
        <v>120</v>
      </c>
      <c r="U51" s="16">
        <v>147</v>
      </c>
      <c r="V51" s="16">
        <v>365</v>
      </c>
      <c r="W51" s="16"/>
      <c r="X51" s="16"/>
      <c r="Y51" s="16">
        <v>384</v>
      </c>
      <c r="Z51" s="16">
        <v>960</v>
      </c>
      <c r="AA51" s="16">
        <v>12</v>
      </c>
      <c r="AB51" s="16">
        <v>30</v>
      </c>
      <c r="AC51" s="16">
        <v>55</v>
      </c>
      <c r="AD51" s="16">
        <v>136</v>
      </c>
      <c r="AE51" s="16"/>
      <c r="AF51" s="16"/>
      <c r="AG51" s="16">
        <v>4160</v>
      </c>
      <c r="AH51" s="16">
        <v>10400</v>
      </c>
      <c r="AI51" s="16">
        <v>96</v>
      </c>
      <c r="AJ51" s="16">
        <v>240</v>
      </c>
      <c r="AK51" s="16">
        <v>112</v>
      </c>
      <c r="AL51" s="16">
        <v>280</v>
      </c>
      <c r="AM51" s="16">
        <v>48</v>
      </c>
      <c r="AN51" s="16">
        <v>120</v>
      </c>
      <c r="AO51" s="15">
        <v>214</v>
      </c>
      <c r="AP51" s="15">
        <v>533</v>
      </c>
      <c r="AQ51" s="15"/>
      <c r="AR51" s="15"/>
      <c r="AS51" s="15"/>
      <c r="AT51" s="15"/>
      <c r="AU51" s="15">
        <v>4</v>
      </c>
      <c r="AV51" s="15">
        <v>8</v>
      </c>
      <c r="AW51" s="15"/>
      <c r="AX51" s="15"/>
      <c r="AY51" s="27">
        <f t="shared" si="4"/>
        <v>7365</v>
      </c>
      <c r="AZ51" s="27">
        <f t="shared" si="3"/>
        <v>18392</v>
      </c>
    </row>
    <row r="52" spans="1:52" x14ac:dyDescent="0.25">
      <c r="A52" s="13">
        <v>57</v>
      </c>
      <c r="B52" s="19" t="s">
        <v>142</v>
      </c>
      <c r="C52" s="26" t="s">
        <v>143</v>
      </c>
      <c r="D52" s="19" t="s">
        <v>42</v>
      </c>
      <c r="E52" s="16">
        <v>960</v>
      </c>
      <c r="F52" s="16">
        <v>2400</v>
      </c>
      <c r="G52" s="16">
        <v>240</v>
      </c>
      <c r="H52" s="16">
        <v>596</v>
      </c>
      <c r="I52" s="16">
        <v>1652</v>
      </c>
      <c r="J52" s="16">
        <v>4128</v>
      </c>
      <c r="K52" s="16">
        <v>124</v>
      </c>
      <c r="L52" s="16">
        <v>310</v>
      </c>
      <c r="M52" s="16"/>
      <c r="N52" s="16"/>
      <c r="O52" s="16">
        <v>62</v>
      </c>
      <c r="P52" s="16">
        <v>154</v>
      </c>
      <c r="Q52" s="16">
        <v>82</v>
      </c>
      <c r="R52" s="16">
        <v>202</v>
      </c>
      <c r="S52" s="16">
        <v>60</v>
      </c>
      <c r="T52" s="16">
        <v>150</v>
      </c>
      <c r="U52" s="16">
        <v>353</v>
      </c>
      <c r="V52" s="16">
        <v>882</v>
      </c>
      <c r="W52" s="16">
        <v>196</v>
      </c>
      <c r="X52" s="16">
        <v>490</v>
      </c>
      <c r="Y52" s="16">
        <v>82</v>
      </c>
      <c r="Z52" s="16">
        <v>202</v>
      </c>
      <c r="AA52" s="16"/>
      <c r="AB52" s="16"/>
      <c r="AC52" s="16">
        <v>102</v>
      </c>
      <c r="AD52" s="16">
        <v>252</v>
      </c>
      <c r="AE52" s="16">
        <v>12</v>
      </c>
      <c r="AF52" s="16">
        <v>30</v>
      </c>
      <c r="AG52" s="16">
        <v>86</v>
      </c>
      <c r="AH52" s="16">
        <v>215</v>
      </c>
      <c r="AI52" s="16">
        <v>480</v>
      </c>
      <c r="AJ52" s="16">
        <v>1200</v>
      </c>
      <c r="AK52" s="16">
        <v>32</v>
      </c>
      <c r="AL52" s="16">
        <v>78</v>
      </c>
      <c r="AM52" s="16"/>
      <c r="AN52" s="16"/>
      <c r="AO52" s="15">
        <v>600</v>
      </c>
      <c r="AP52" s="15">
        <v>1500</v>
      </c>
      <c r="AQ52" s="15">
        <v>288</v>
      </c>
      <c r="AR52" s="15">
        <v>720</v>
      </c>
      <c r="AS52" s="15"/>
      <c r="AT52" s="15"/>
      <c r="AU52" s="15"/>
      <c r="AV52" s="15"/>
      <c r="AW52" s="15"/>
      <c r="AX52" s="15"/>
      <c r="AY52" s="27">
        <f t="shared" si="4"/>
        <v>5411</v>
      </c>
      <c r="AZ52" s="27">
        <f t="shared" si="3"/>
        <v>13509</v>
      </c>
    </row>
    <row r="53" spans="1:52" x14ac:dyDescent="0.25">
      <c r="A53" s="13">
        <v>58</v>
      </c>
      <c r="B53" s="19" t="s">
        <v>144</v>
      </c>
      <c r="C53" s="26" t="s">
        <v>145</v>
      </c>
      <c r="D53" s="19" t="s">
        <v>42</v>
      </c>
      <c r="E53" s="16"/>
      <c r="F53" s="16"/>
      <c r="G53" s="16">
        <v>28</v>
      </c>
      <c r="H53" s="16">
        <v>70</v>
      </c>
      <c r="I53" s="16"/>
      <c r="J53" s="16"/>
      <c r="K53" s="16">
        <v>8</v>
      </c>
      <c r="L53" s="16">
        <v>20</v>
      </c>
      <c r="M53" s="16"/>
      <c r="N53" s="16"/>
      <c r="O53" s="16"/>
      <c r="P53" s="16"/>
      <c r="Q53" s="16"/>
      <c r="R53" s="16"/>
      <c r="S53" s="16"/>
      <c r="T53" s="16"/>
      <c r="U53" s="16"/>
      <c r="V53" s="16"/>
      <c r="W53" s="16">
        <v>8</v>
      </c>
      <c r="X53" s="16">
        <v>18</v>
      </c>
      <c r="Y53" s="16">
        <v>8</v>
      </c>
      <c r="Z53" s="16">
        <v>18</v>
      </c>
      <c r="AA53" s="16"/>
      <c r="AB53" s="16"/>
      <c r="AC53" s="16">
        <v>46</v>
      </c>
      <c r="AD53" s="16">
        <v>113</v>
      </c>
      <c r="AE53" s="16"/>
      <c r="AF53" s="16"/>
      <c r="AG53" s="16"/>
      <c r="AH53" s="16"/>
      <c r="AI53" s="16"/>
      <c r="AJ53" s="16"/>
      <c r="AK53" s="16"/>
      <c r="AL53" s="16"/>
      <c r="AM53" s="16">
        <v>96</v>
      </c>
      <c r="AN53" s="16">
        <v>240</v>
      </c>
      <c r="AO53" s="15"/>
      <c r="AP53" s="15"/>
      <c r="AQ53" s="15"/>
      <c r="AR53" s="15"/>
      <c r="AS53" s="15"/>
      <c r="AT53" s="15"/>
      <c r="AU53" s="15"/>
      <c r="AV53" s="15"/>
      <c r="AW53" s="15"/>
      <c r="AX53" s="15"/>
      <c r="AY53" s="27">
        <f t="shared" si="4"/>
        <v>194</v>
      </c>
      <c r="AZ53" s="27">
        <f t="shared" si="3"/>
        <v>479</v>
      </c>
    </row>
    <row r="54" spans="1:52" x14ac:dyDescent="0.25">
      <c r="A54" s="13">
        <v>59</v>
      </c>
      <c r="B54" s="19" t="s">
        <v>146</v>
      </c>
      <c r="C54" s="26" t="s">
        <v>147</v>
      </c>
      <c r="D54" s="19" t="s">
        <v>42</v>
      </c>
      <c r="E54" s="16">
        <v>86</v>
      </c>
      <c r="F54" s="16">
        <v>212</v>
      </c>
      <c r="G54" s="16">
        <v>42</v>
      </c>
      <c r="H54" s="16">
        <v>102</v>
      </c>
      <c r="I54" s="16">
        <v>1840</v>
      </c>
      <c r="J54" s="16">
        <v>4600</v>
      </c>
      <c r="K54" s="16">
        <v>2</v>
      </c>
      <c r="L54" s="16">
        <v>3</v>
      </c>
      <c r="M54" s="16"/>
      <c r="N54" s="16"/>
      <c r="O54" s="16">
        <v>15</v>
      </c>
      <c r="P54" s="16">
        <v>35</v>
      </c>
      <c r="Q54" s="16">
        <v>162</v>
      </c>
      <c r="R54" s="16">
        <v>404</v>
      </c>
      <c r="S54" s="16"/>
      <c r="T54" s="16"/>
      <c r="U54" s="16">
        <v>97</v>
      </c>
      <c r="V54" s="16">
        <v>242</v>
      </c>
      <c r="W54" s="16">
        <v>11</v>
      </c>
      <c r="X54" s="16">
        <v>27</v>
      </c>
      <c r="Y54" s="16"/>
      <c r="Z54" s="16"/>
      <c r="AA54" s="16"/>
      <c r="AB54" s="16"/>
      <c r="AC54" s="16"/>
      <c r="AD54" s="16"/>
      <c r="AE54" s="16"/>
      <c r="AF54" s="16"/>
      <c r="AG54" s="16">
        <v>7</v>
      </c>
      <c r="AH54" s="16">
        <v>15</v>
      </c>
      <c r="AI54" s="16"/>
      <c r="AJ54" s="16"/>
      <c r="AK54" s="16"/>
      <c r="AL54" s="16"/>
      <c r="AM54" s="16"/>
      <c r="AN54" s="16"/>
      <c r="AO54" s="15"/>
      <c r="AP54" s="15"/>
      <c r="AQ54" s="15">
        <v>72</v>
      </c>
      <c r="AR54" s="15">
        <v>176</v>
      </c>
      <c r="AS54" s="15"/>
      <c r="AT54" s="15"/>
      <c r="AU54" s="15">
        <v>8</v>
      </c>
      <c r="AV54" s="15">
        <v>20</v>
      </c>
      <c r="AW54" s="15">
        <v>2</v>
      </c>
      <c r="AX54" s="15">
        <v>4</v>
      </c>
      <c r="AY54" s="27">
        <f t="shared" si="4"/>
        <v>2344</v>
      </c>
      <c r="AZ54" s="27">
        <f t="shared" si="3"/>
        <v>5840</v>
      </c>
    </row>
    <row r="55" spans="1:52" x14ac:dyDescent="0.25">
      <c r="A55" s="13">
        <v>60</v>
      </c>
      <c r="B55" s="19" t="s">
        <v>148</v>
      </c>
      <c r="C55" s="26" t="s">
        <v>149</v>
      </c>
      <c r="D55" s="19" t="s">
        <v>42</v>
      </c>
      <c r="E55" s="16"/>
      <c r="F55" s="16"/>
      <c r="G55" s="16"/>
      <c r="H55" s="16"/>
      <c r="I55" s="16">
        <v>80</v>
      </c>
      <c r="J55" s="16">
        <v>200</v>
      </c>
      <c r="K55" s="16">
        <v>200</v>
      </c>
      <c r="L55" s="16">
        <v>500</v>
      </c>
      <c r="M55" s="16">
        <v>338</v>
      </c>
      <c r="N55" s="16">
        <v>840</v>
      </c>
      <c r="O55" s="16"/>
      <c r="P55" s="16"/>
      <c r="Q55" s="16"/>
      <c r="R55" s="16"/>
      <c r="S55" s="16"/>
      <c r="T55" s="16"/>
      <c r="U55" s="16"/>
      <c r="V55" s="16"/>
      <c r="W55" s="16"/>
      <c r="X55" s="16"/>
      <c r="Y55" s="16"/>
      <c r="Z55" s="16"/>
      <c r="AA55" s="16"/>
      <c r="AB55" s="16"/>
      <c r="AC55" s="16"/>
      <c r="AD55" s="16"/>
      <c r="AE55" s="16">
        <v>232</v>
      </c>
      <c r="AF55" s="16">
        <v>576</v>
      </c>
      <c r="AG55" s="16">
        <v>4</v>
      </c>
      <c r="AH55" s="16">
        <v>10</v>
      </c>
      <c r="AI55" s="16">
        <v>184</v>
      </c>
      <c r="AJ55" s="16">
        <v>460</v>
      </c>
      <c r="AK55" s="16">
        <v>56</v>
      </c>
      <c r="AL55" s="16">
        <v>140</v>
      </c>
      <c r="AM55" s="16"/>
      <c r="AN55" s="16"/>
      <c r="AO55" s="15">
        <v>10</v>
      </c>
      <c r="AP55" s="15">
        <v>24</v>
      </c>
      <c r="AQ55" s="15"/>
      <c r="AR55" s="15"/>
      <c r="AS55" s="15"/>
      <c r="AT55" s="15"/>
      <c r="AU55" s="15"/>
      <c r="AV55" s="15"/>
      <c r="AW55" s="15"/>
      <c r="AX55" s="15"/>
      <c r="AY55" s="27">
        <f t="shared" si="4"/>
        <v>1104</v>
      </c>
      <c r="AZ55" s="27">
        <f t="shared" si="3"/>
        <v>2750</v>
      </c>
    </row>
    <row r="56" spans="1:52" x14ac:dyDescent="0.25">
      <c r="A56" s="13">
        <v>61</v>
      </c>
      <c r="B56" s="19" t="s">
        <v>150</v>
      </c>
      <c r="C56" s="26" t="s">
        <v>151</v>
      </c>
      <c r="D56" s="19" t="s">
        <v>42</v>
      </c>
      <c r="E56" s="16">
        <v>52</v>
      </c>
      <c r="F56" s="16">
        <v>130</v>
      </c>
      <c r="G56" s="16"/>
      <c r="H56" s="16"/>
      <c r="I56" s="16"/>
      <c r="J56" s="16"/>
      <c r="K56" s="16">
        <v>6</v>
      </c>
      <c r="L56" s="16">
        <v>12</v>
      </c>
      <c r="M56" s="16"/>
      <c r="N56" s="16"/>
      <c r="O56" s="16"/>
      <c r="P56" s="16"/>
      <c r="Q56" s="16"/>
      <c r="R56" s="16"/>
      <c r="S56" s="16"/>
      <c r="T56" s="16"/>
      <c r="U56" s="16">
        <v>7</v>
      </c>
      <c r="V56" s="16">
        <v>14</v>
      </c>
      <c r="W56" s="16">
        <v>4</v>
      </c>
      <c r="X56" s="16">
        <v>9</v>
      </c>
      <c r="Y56" s="16"/>
      <c r="Z56" s="16"/>
      <c r="AA56" s="16"/>
      <c r="AB56" s="16"/>
      <c r="AC56" s="16">
        <v>18</v>
      </c>
      <c r="AD56" s="16">
        <v>43</v>
      </c>
      <c r="AE56" s="16"/>
      <c r="AF56" s="16"/>
      <c r="AG56" s="16">
        <v>2</v>
      </c>
      <c r="AH56" s="16">
        <v>2</v>
      </c>
      <c r="AI56" s="16">
        <v>80</v>
      </c>
      <c r="AJ56" s="16">
        <v>200</v>
      </c>
      <c r="AK56" s="16">
        <v>8</v>
      </c>
      <c r="AL56" s="16">
        <v>20</v>
      </c>
      <c r="AM56" s="16"/>
      <c r="AN56" s="16"/>
      <c r="AO56" s="15">
        <v>111</v>
      </c>
      <c r="AP56" s="15">
        <v>276</v>
      </c>
      <c r="AQ56" s="15">
        <v>176</v>
      </c>
      <c r="AR56" s="15">
        <v>440</v>
      </c>
      <c r="AS56" s="15"/>
      <c r="AT56" s="15"/>
      <c r="AU56" s="15"/>
      <c r="AV56" s="15"/>
      <c r="AW56" s="15"/>
      <c r="AX56" s="15"/>
      <c r="AY56" s="27">
        <f t="shared" si="4"/>
        <v>464</v>
      </c>
      <c r="AZ56" s="27">
        <f t="shared" si="3"/>
        <v>1146</v>
      </c>
    </row>
    <row r="57" spans="1:52" x14ac:dyDescent="0.25">
      <c r="A57" s="13">
        <v>62</v>
      </c>
      <c r="B57" s="19" t="s">
        <v>152</v>
      </c>
      <c r="C57" s="26" t="s">
        <v>153</v>
      </c>
      <c r="D57" s="19" t="s">
        <v>42</v>
      </c>
      <c r="E57" s="16">
        <v>17</v>
      </c>
      <c r="F57" s="16">
        <v>42</v>
      </c>
      <c r="G57" s="16"/>
      <c r="H57" s="16"/>
      <c r="I57" s="16"/>
      <c r="J57" s="16"/>
      <c r="K57" s="16">
        <v>484</v>
      </c>
      <c r="L57" s="16">
        <v>1210</v>
      </c>
      <c r="M57" s="16"/>
      <c r="N57" s="16"/>
      <c r="O57" s="16">
        <v>20</v>
      </c>
      <c r="P57" s="16">
        <v>50</v>
      </c>
      <c r="Q57" s="16"/>
      <c r="R57" s="16"/>
      <c r="S57" s="16"/>
      <c r="T57" s="16"/>
      <c r="U57" s="16"/>
      <c r="V57" s="16"/>
      <c r="W57" s="16">
        <v>11</v>
      </c>
      <c r="X57" s="16">
        <v>27</v>
      </c>
      <c r="Y57" s="16"/>
      <c r="Z57" s="16"/>
      <c r="AA57" s="16"/>
      <c r="AB57" s="16"/>
      <c r="AC57" s="16"/>
      <c r="AD57" s="16"/>
      <c r="AE57" s="16">
        <v>288</v>
      </c>
      <c r="AF57" s="16">
        <v>720</v>
      </c>
      <c r="AG57" s="16">
        <v>12</v>
      </c>
      <c r="AH57" s="16">
        <v>30</v>
      </c>
      <c r="AI57" s="16">
        <v>160</v>
      </c>
      <c r="AJ57" s="16">
        <v>400</v>
      </c>
      <c r="AK57" s="16">
        <v>16</v>
      </c>
      <c r="AL57" s="16">
        <v>40</v>
      </c>
      <c r="AM57" s="16"/>
      <c r="AN57" s="16"/>
      <c r="AO57" s="15">
        <v>108</v>
      </c>
      <c r="AP57" s="15">
        <v>270</v>
      </c>
      <c r="AQ57" s="15">
        <v>48</v>
      </c>
      <c r="AR57" s="15">
        <v>120</v>
      </c>
      <c r="AS57" s="15"/>
      <c r="AT57" s="15"/>
      <c r="AU57" s="15"/>
      <c r="AV57" s="15"/>
      <c r="AW57" s="15"/>
      <c r="AX57" s="15"/>
      <c r="AY57" s="27">
        <f t="shared" si="4"/>
        <v>1164</v>
      </c>
      <c r="AZ57" s="27">
        <f t="shared" si="3"/>
        <v>2909</v>
      </c>
    </row>
    <row r="58" spans="1:52" x14ac:dyDescent="0.25">
      <c r="A58" s="13">
        <v>63</v>
      </c>
      <c r="B58" s="19" t="s">
        <v>154</v>
      </c>
      <c r="C58" s="26" t="s">
        <v>155</v>
      </c>
      <c r="D58" s="19" t="s">
        <v>42</v>
      </c>
      <c r="E58" s="16">
        <v>8</v>
      </c>
      <c r="F58" s="16">
        <v>20</v>
      </c>
      <c r="G58" s="16"/>
      <c r="H58" s="16"/>
      <c r="I58" s="16">
        <v>80</v>
      </c>
      <c r="J58" s="16">
        <v>200</v>
      </c>
      <c r="K58" s="16"/>
      <c r="L58" s="16"/>
      <c r="M58" s="16"/>
      <c r="N58" s="16"/>
      <c r="O58" s="16"/>
      <c r="P58" s="16"/>
      <c r="Q58" s="16">
        <v>16</v>
      </c>
      <c r="R58" s="16">
        <v>38</v>
      </c>
      <c r="S58" s="16">
        <v>26</v>
      </c>
      <c r="T58" s="16">
        <v>62</v>
      </c>
      <c r="U58" s="16">
        <v>44</v>
      </c>
      <c r="V58" s="16">
        <v>110</v>
      </c>
      <c r="W58" s="16">
        <v>16</v>
      </c>
      <c r="X58" s="16">
        <v>40</v>
      </c>
      <c r="Y58" s="16"/>
      <c r="Z58" s="16"/>
      <c r="AA58" s="16"/>
      <c r="AB58" s="16"/>
      <c r="AC58" s="16"/>
      <c r="AD58" s="16"/>
      <c r="AE58" s="16">
        <v>96</v>
      </c>
      <c r="AF58" s="16">
        <v>240</v>
      </c>
      <c r="AG58" s="16">
        <v>8</v>
      </c>
      <c r="AH58" s="16">
        <v>16</v>
      </c>
      <c r="AI58" s="16">
        <v>44</v>
      </c>
      <c r="AJ58" s="16">
        <v>110</v>
      </c>
      <c r="AK58" s="16">
        <v>8</v>
      </c>
      <c r="AL58" s="16">
        <v>20</v>
      </c>
      <c r="AM58" s="16"/>
      <c r="AN58" s="16"/>
      <c r="AO58" s="15">
        <v>12</v>
      </c>
      <c r="AP58" s="15">
        <v>30</v>
      </c>
      <c r="AQ58" s="15"/>
      <c r="AR58" s="15"/>
      <c r="AS58" s="15"/>
      <c r="AT58" s="15"/>
      <c r="AU58" s="15"/>
      <c r="AV58" s="15"/>
      <c r="AW58" s="15"/>
      <c r="AX58" s="15"/>
      <c r="AY58" s="27">
        <f t="shared" si="4"/>
        <v>358</v>
      </c>
      <c r="AZ58" s="27">
        <f t="shared" si="3"/>
        <v>886</v>
      </c>
    </row>
    <row r="59" spans="1:52" x14ac:dyDescent="0.25">
      <c r="A59" s="13">
        <v>64</v>
      </c>
      <c r="B59" s="19" t="s">
        <v>156</v>
      </c>
      <c r="C59" s="26" t="s">
        <v>157</v>
      </c>
      <c r="D59" s="19" t="s">
        <v>42</v>
      </c>
      <c r="E59" s="16"/>
      <c r="F59" s="16"/>
      <c r="G59" s="16">
        <v>28</v>
      </c>
      <c r="H59" s="16">
        <v>66</v>
      </c>
      <c r="I59" s="16"/>
      <c r="J59" s="16"/>
      <c r="K59" s="16">
        <v>132</v>
      </c>
      <c r="L59" s="16">
        <v>330</v>
      </c>
      <c r="M59" s="16">
        <v>104</v>
      </c>
      <c r="N59" s="16">
        <v>258</v>
      </c>
      <c r="O59" s="16">
        <v>9</v>
      </c>
      <c r="P59" s="16">
        <v>21</v>
      </c>
      <c r="Q59" s="16">
        <v>16</v>
      </c>
      <c r="R59" s="16">
        <v>38</v>
      </c>
      <c r="S59" s="16"/>
      <c r="T59" s="16"/>
      <c r="U59" s="16">
        <v>44</v>
      </c>
      <c r="V59" s="16">
        <v>110</v>
      </c>
      <c r="W59" s="16"/>
      <c r="X59" s="16"/>
      <c r="Y59" s="16"/>
      <c r="Z59" s="16"/>
      <c r="AA59" s="16">
        <v>22</v>
      </c>
      <c r="AB59" s="16">
        <v>50</v>
      </c>
      <c r="AC59" s="16">
        <v>4</v>
      </c>
      <c r="AD59" s="16">
        <v>7</v>
      </c>
      <c r="AE59" s="16"/>
      <c r="AF59" s="16"/>
      <c r="AG59" s="16"/>
      <c r="AH59" s="16"/>
      <c r="AI59" s="16">
        <v>484</v>
      </c>
      <c r="AJ59" s="16">
        <v>1210</v>
      </c>
      <c r="AK59" s="16">
        <v>8</v>
      </c>
      <c r="AL59" s="16">
        <v>20</v>
      </c>
      <c r="AM59" s="16"/>
      <c r="AN59" s="16"/>
      <c r="AO59" s="15"/>
      <c r="AP59" s="15"/>
      <c r="AQ59" s="15"/>
      <c r="AR59" s="15"/>
      <c r="AS59" s="15"/>
      <c r="AT59" s="15"/>
      <c r="AU59" s="15"/>
      <c r="AV59" s="15"/>
      <c r="AW59" s="15"/>
      <c r="AX59" s="15"/>
      <c r="AY59" s="27">
        <f t="shared" si="4"/>
        <v>851</v>
      </c>
      <c r="AZ59" s="27">
        <f t="shared" si="3"/>
        <v>2110</v>
      </c>
    </row>
    <row r="60" spans="1:52" x14ac:dyDescent="0.25">
      <c r="A60" s="13">
        <v>65</v>
      </c>
      <c r="B60" s="19" t="s">
        <v>158</v>
      </c>
      <c r="C60" s="26" t="s">
        <v>159</v>
      </c>
      <c r="D60" s="19" t="s">
        <v>42</v>
      </c>
      <c r="E60" s="16">
        <v>680</v>
      </c>
      <c r="F60" s="16">
        <v>1700</v>
      </c>
      <c r="G60" s="16">
        <v>712</v>
      </c>
      <c r="H60" s="16">
        <v>1772</v>
      </c>
      <c r="I60" s="16">
        <v>1436</v>
      </c>
      <c r="J60" s="16">
        <v>3590</v>
      </c>
      <c r="K60" s="16">
        <v>1320</v>
      </c>
      <c r="L60" s="16">
        <v>3300</v>
      </c>
      <c r="M60" s="16">
        <v>535</v>
      </c>
      <c r="N60" s="16">
        <v>1334</v>
      </c>
      <c r="O60" s="16">
        <v>585</v>
      </c>
      <c r="P60" s="16">
        <v>1457</v>
      </c>
      <c r="Q60" s="16">
        <v>24</v>
      </c>
      <c r="R60" s="16">
        <v>58</v>
      </c>
      <c r="S60" s="16">
        <v>8</v>
      </c>
      <c r="T60" s="16">
        <v>20</v>
      </c>
      <c r="U60" s="16">
        <v>204</v>
      </c>
      <c r="V60" s="16">
        <v>510</v>
      </c>
      <c r="W60" s="16">
        <v>160</v>
      </c>
      <c r="X60" s="16">
        <v>400</v>
      </c>
      <c r="Y60" s="16">
        <v>62</v>
      </c>
      <c r="Z60" s="16">
        <v>152</v>
      </c>
      <c r="AA60" s="16">
        <v>82</v>
      </c>
      <c r="AB60" s="16">
        <v>202</v>
      </c>
      <c r="AC60" s="16">
        <v>172</v>
      </c>
      <c r="AD60" s="16">
        <v>429</v>
      </c>
      <c r="AE60" s="16">
        <v>1440</v>
      </c>
      <c r="AF60" s="16">
        <v>3600</v>
      </c>
      <c r="AG60" s="16">
        <v>1528</v>
      </c>
      <c r="AH60" s="16">
        <v>3820</v>
      </c>
      <c r="AI60" s="16">
        <v>56</v>
      </c>
      <c r="AJ60" s="16">
        <v>140</v>
      </c>
      <c r="AK60" s="16">
        <v>156</v>
      </c>
      <c r="AL60" s="16">
        <v>388</v>
      </c>
      <c r="AM60" s="16">
        <v>192</v>
      </c>
      <c r="AN60" s="16">
        <v>480</v>
      </c>
      <c r="AO60" s="15">
        <v>20662</v>
      </c>
      <c r="AP60" s="15">
        <v>51654</v>
      </c>
      <c r="AQ60" s="15">
        <v>1090</v>
      </c>
      <c r="AR60" s="15">
        <v>2720</v>
      </c>
      <c r="AS60" s="15"/>
      <c r="AT60" s="15"/>
      <c r="AU60" s="15">
        <v>404</v>
      </c>
      <c r="AV60" s="15">
        <v>1006</v>
      </c>
      <c r="AW60" s="15"/>
      <c r="AX60" s="15"/>
      <c r="AY60" s="27">
        <f t="shared" si="4"/>
        <v>31508</v>
      </c>
      <c r="AZ60" s="27">
        <f t="shared" si="3"/>
        <v>78732</v>
      </c>
    </row>
    <row r="61" spans="1:52" x14ac:dyDescent="0.25">
      <c r="A61" s="13">
        <v>66</v>
      </c>
      <c r="B61" s="19" t="s">
        <v>160</v>
      </c>
      <c r="C61" s="26" t="s">
        <v>161</v>
      </c>
      <c r="D61" s="19" t="s">
        <v>42</v>
      </c>
      <c r="E61" s="16">
        <v>88</v>
      </c>
      <c r="F61" s="16">
        <v>220</v>
      </c>
      <c r="G61" s="16">
        <v>274</v>
      </c>
      <c r="H61" s="16">
        <v>684</v>
      </c>
      <c r="I61" s="16">
        <v>18088</v>
      </c>
      <c r="J61" s="16">
        <v>45216</v>
      </c>
      <c r="K61" s="16">
        <v>4318</v>
      </c>
      <c r="L61" s="16">
        <v>10788</v>
      </c>
      <c r="M61" s="16">
        <v>248</v>
      </c>
      <c r="N61" s="16">
        <v>616</v>
      </c>
      <c r="O61" s="16">
        <v>71</v>
      </c>
      <c r="P61" s="16">
        <v>174</v>
      </c>
      <c r="Q61" s="16">
        <v>104</v>
      </c>
      <c r="R61" s="16">
        <v>256</v>
      </c>
      <c r="S61" s="16">
        <v>24</v>
      </c>
      <c r="T61" s="16">
        <v>58</v>
      </c>
      <c r="U61" s="16">
        <v>91</v>
      </c>
      <c r="V61" s="16">
        <v>226</v>
      </c>
      <c r="W61" s="16">
        <v>304</v>
      </c>
      <c r="X61" s="16">
        <v>760</v>
      </c>
      <c r="Y61" s="16">
        <v>368</v>
      </c>
      <c r="Z61" s="16">
        <v>918</v>
      </c>
      <c r="AA61" s="16">
        <v>84</v>
      </c>
      <c r="AB61" s="16">
        <v>206</v>
      </c>
      <c r="AC61" s="16">
        <v>2230</v>
      </c>
      <c r="AD61" s="16">
        <v>5572</v>
      </c>
      <c r="AE61" s="16">
        <v>386</v>
      </c>
      <c r="AF61" s="16">
        <v>962</v>
      </c>
      <c r="AG61" s="16">
        <v>3698</v>
      </c>
      <c r="AH61" s="16">
        <v>9241</v>
      </c>
      <c r="AI61" s="16">
        <v>8880</v>
      </c>
      <c r="AJ61" s="16">
        <v>22200</v>
      </c>
      <c r="AK61" s="16">
        <v>44</v>
      </c>
      <c r="AL61" s="16">
        <v>110</v>
      </c>
      <c r="AM61" s="16">
        <v>1374</v>
      </c>
      <c r="AN61" s="16">
        <v>3433</v>
      </c>
      <c r="AO61" s="15">
        <v>1280</v>
      </c>
      <c r="AP61" s="15">
        <v>3197</v>
      </c>
      <c r="AQ61" s="15">
        <v>20</v>
      </c>
      <c r="AR61" s="15">
        <v>50</v>
      </c>
      <c r="AS61" s="15">
        <v>1027</v>
      </c>
      <c r="AT61" s="15">
        <v>2565</v>
      </c>
      <c r="AU61" s="15">
        <v>640</v>
      </c>
      <c r="AV61" s="15">
        <v>1600</v>
      </c>
      <c r="AW61" s="15"/>
      <c r="AX61" s="15"/>
      <c r="AY61" s="27">
        <f t="shared" ref="AY61:AY72" si="5">SUM(E61+G61+I61+K61+M61+O61+Q61+S61+U61+W61+Y61+AA61+AC61+AE61+AG61+AI61+AK61+AM61+AO61+AQ61+AS61+AU61+AW61)</f>
        <v>43641</v>
      </c>
      <c r="AZ61" s="27">
        <f t="shared" ref="AZ61:AZ72" si="6">SUM(F61+H61+J61+L61+N61+P61+R61+T61+V61+X61+Z61+AB61+AD61+AF61+AH61+AJ61+AL61+AN61+AP61+AR61+AT61+AV61+AX61)</f>
        <v>109052</v>
      </c>
    </row>
    <row r="62" spans="1:52" x14ac:dyDescent="0.25">
      <c r="A62" s="13">
        <v>67</v>
      </c>
      <c r="B62" s="19" t="s">
        <v>162</v>
      </c>
      <c r="C62" s="26" t="s">
        <v>163</v>
      </c>
      <c r="D62" s="19" t="s">
        <v>42</v>
      </c>
      <c r="E62" s="16"/>
      <c r="F62" s="16"/>
      <c r="G62" s="16">
        <v>54</v>
      </c>
      <c r="H62" s="16">
        <v>128</v>
      </c>
      <c r="I62" s="16">
        <v>1520</v>
      </c>
      <c r="J62" s="16">
        <v>3800</v>
      </c>
      <c r="K62" s="16">
        <v>39</v>
      </c>
      <c r="L62" s="16">
        <v>96</v>
      </c>
      <c r="M62" s="16">
        <v>346</v>
      </c>
      <c r="N62" s="16">
        <v>860</v>
      </c>
      <c r="O62" s="16">
        <v>560</v>
      </c>
      <c r="P62" s="16">
        <v>1400</v>
      </c>
      <c r="Q62" s="16">
        <v>32</v>
      </c>
      <c r="R62" s="16">
        <v>78</v>
      </c>
      <c r="S62" s="16">
        <v>49</v>
      </c>
      <c r="T62" s="16">
        <v>121</v>
      </c>
      <c r="U62" s="16"/>
      <c r="V62" s="16"/>
      <c r="W62" s="16">
        <v>648</v>
      </c>
      <c r="X62" s="16">
        <v>1620</v>
      </c>
      <c r="Y62" s="16">
        <v>644</v>
      </c>
      <c r="Z62" s="16">
        <v>1606</v>
      </c>
      <c r="AA62" s="16"/>
      <c r="AB62" s="16"/>
      <c r="AC62" s="16">
        <v>6206</v>
      </c>
      <c r="AD62" s="16">
        <v>15514</v>
      </c>
      <c r="AE62" s="16"/>
      <c r="AF62" s="16"/>
      <c r="AG62" s="16">
        <v>216</v>
      </c>
      <c r="AH62" s="16">
        <v>540</v>
      </c>
      <c r="AI62" s="16">
        <v>824</v>
      </c>
      <c r="AJ62" s="16">
        <v>2060</v>
      </c>
      <c r="AK62" s="16"/>
      <c r="AL62" s="16"/>
      <c r="AM62" s="16">
        <v>20</v>
      </c>
      <c r="AN62" s="16">
        <v>48</v>
      </c>
      <c r="AO62" s="15">
        <v>4653</v>
      </c>
      <c r="AP62" s="15">
        <v>11631</v>
      </c>
      <c r="AQ62" s="15">
        <v>14</v>
      </c>
      <c r="AR62" s="15">
        <v>32</v>
      </c>
      <c r="AS62" s="15">
        <v>112</v>
      </c>
      <c r="AT62" s="15">
        <v>280</v>
      </c>
      <c r="AU62" s="15"/>
      <c r="AV62" s="15"/>
      <c r="AW62" s="15"/>
      <c r="AX62" s="15"/>
      <c r="AY62" s="27">
        <f t="shared" si="5"/>
        <v>15937</v>
      </c>
      <c r="AZ62" s="27">
        <f t="shared" si="6"/>
        <v>39814</v>
      </c>
    </row>
    <row r="63" spans="1:52" x14ac:dyDescent="0.25">
      <c r="A63" s="13">
        <v>68</v>
      </c>
      <c r="B63" s="19" t="s">
        <v>164</v>
      </c>
      <c r="C63" s="26" t="s">
        <v>165</v>
      </c>
      <c r="D63" s="19" t="s">
        <v>42</v>
      </c>
      <c r="E63" s="16">
        <v>24</v>
      </c>
      <c r="F63" s="16">
        <v>60</v>
      </c>
      <c r="G63" s="16">
        <v>82</v>
      </c>
      <c r="H63" s="16">
        <v>198</v>
      </c>
      <c r="I63" s="16">
        <v>6</v>
      </c>
      <c r="J63" s="16">
        <v>12</v>
      </c>
      <c r="K63" s="16"/>
      <c r="L63" s="16"/>
      <c r="M63" s="16"/>
      <c r="N63" s="16"/>
      <c r="O63" s="16"/>
      <c r="P63" s="16"/>
      <c r="Q63" s="16"/>
      <c r="R63" s="16"/>
      <c r="S63" s="16"/>
      <c r="T63" s="16"/>
      <c r="U63" s="16"/>
      <c r="V63" s="16"/>
      <c r="W63" s="16">
        <v>87</v>
      </c>
      <c r="X63" s="16">
        <v>216</v>
      </c>
      <c r="Y63" s="16"/>
      <c r="Z63" s="16"/>
      <c r="AA63" s="16">
        <v>80</v>
      </c>
      <c r="AB63" s="16">
        <v>200</v>
      </c>
      <c r="AC63" s="16">
        <v>1063</v>
      </c>
      <c r="AD63" s="16">
        <v>2655</v>
      </c>
      <c r="AE63" s="16"/>
      <c r="AF63" s="16"/>
      <c r="AG63" s="16">
        <v>40</v>
      </c>
      <c r="AH63" s="16">
        <v>100</v>
      </c>
      <c r="AI63" s="16">
        <v>200</v>
      </c>
      <c r="AJ63" s="16">
        <v>500</v>
      </c>
      <c r="AK63" s="16"/>
      <c r="AL63" s="16"/>
      <c r="AM63" s="16">
        <v>58</v>
      </c>
      <c r="AN63" s="16">
        <v>144</v>
      </c>
      <c r="AO63" s="15"/>
      <c r="AP63" s="15"/>
      <c r="AQ63" s="15"/>
      <c r="AR63" s="15"/>
      <c r="AS63" s="15">
        <v>368</v>
      </c>
      <c r="AT63" s="15">
        <v>920</v>
      </c>
      <c r="AU63" s="15"/>
      <c r="AV63" s="15"/>
      <c r="AW63" s="15">
        <v>8</v>
      </c>
      <c r="AX63" s="15">
        <v>18</v>
      </c>
      <c r="AY63" s="27">
        <f t="shared" si="5"/>
        <v>2016</v>
      </c>
      <c r="AZ63" s="27">
        <f t="shared" si="6"/>
        <v>5023</v>
      </c>
    </row>
    <row r="64" spans="1:52" x14ac:dyDescent="0.25">
      <c r="A64" s="13">
        <v>69</v>
      </c>
      <c r="B64" s="19" t="s">
        <v>166</v>
      </c>
      <c r="C64" s="26" t="s">
        <v>167</v>
      </c>
      <c r="D64" s="19" t="s">
        <v>42</v>
      </c>
      <c r="E64" s="16"/>
      <c r="F64" s="16"/>
      <c r="G64" s="16">
        <v>94</v>
      </c>
      <c r="H64" s="16">
        <v>228</v>
      </c>
      <c r="I64" s="16">
        <v>3800</v>
      </c>
      <c r="J64" s="16">
        <v>9500</v>
      </c>
      <c r="K64" s="16">
        <v>2438</v>
      </c>
      <c r="L64" s="16">
        <v>6094</v>
      </c>
      <c r="M64" s="16"/>
      <c r="N64" s="16"/>
      <c r="O64" s="16"/>
      <c r="P64" s="16"/>
      <c r="Q64" s="16"/>
      <c r="R64" s="16"/>
      <c r="S64" s="16"/>
      <c r="T64" s="16"/>
      <c r="U64" s="16">
        <v>136</v>
      </c>
      <c r="V64" s="16">
        <v>337</v>
      </c>
      <c r="W64" s="16"/>
      <c r="X64" s="16"/>
      <c r="Y64" s="16">
        <v>198</v>
      </c>
      <c r="Z64" s="16">
        <v>492</v>
      </c>
      <c r="AA64" s="16"/>
      <c r="AB64" s="16"/>
      <c r="AC64" s="16"/>
      <c r="AD64" s="16"/>
      <c r="AE64" s="16"/>
      <c r="AF64" s="16"/>
      <c r="AG64" s="16"/>
      <c r="AH64" s="16"/>
      <c r="AI64" s="16">
        <v>1088</v>
      </c>
      <c r="AJ64" s="16">
        <v>2720</v>
      </c>
      <c r="AK64" s="16">
        <v>4</v>
      </c>
      <c r="AL64" s="16">
        <v>10</v>
      </c>
      <c r="AM64" s="16">
        <v>1600</v>
      </c>
      <c r="AN64" s="16">
        <v>4000</v>
      </c>
      <c r="AO64" s="15"/>
      <c r="AP64" s="15"/>
      <c r="AQ64" s="15"/>
      <c r="AR64" s="15"/>
      <c r="AS64" s="15">
        <v>16</v>
      </c>
      <c r="AT64" s="15">
        <v>40</v>
      </c>
      <c r="AU64" s="15"/>
      <c r="AV64" s="15"/>
      <c r="AW64" s="15"/>
      <c r="AX64" s="15"/>
      <c r="AY64" s="27">
        <f t="shared" si="5"/>
        <v>9374</v>
      </c>
      <c r="AZ64" s="27">
        <f t="shared" si="6"/>
        <v>23421</v>
      </c>
    </row>
    <row r="65" spans="1:52" x14ac:dyDescent="0.25">
      <c r="A65" s="13">
        <v>70</v>
      </c>
      <c r="B65" s="19" t="s">
        <v>168</v>
      </c>
      <c r="C65" s="26" t="s">
        <v>169</v>
      </c>
      <c r="D65" s="19" t="s">
        <v>42</v>
      </c>
      <c r="E65" s="16"/>
      <c r="F65" s="16"/>
      <c r="G65" s="16">
        <v>140</v>
      </c>
      <c r="H65" s="16">
        <v>344</v>
      </c>
      <c r="I65" s="16">
        <v>4608</v>
      </c>
      <c r="J65" s="16">
        <v>11520</v>
      </c>
      <c r="K65" s="16">
        <v>2202</v>
      </c>
      <c r="L65" s="16">
        <v>5504</v>
      </c>
      <c r="M65" s="16">
        <v>184</v>
      </c>
      <c r="N65" s="16">
        <v>460</v>
      </c>
      <c r="O65" s="16">
        <v>204</v>
      </c>
      <c r="P65" s="16">
        <v>504</v>
      </c>
      <c r="Q65" s="16">
        <v>488</v>
      </c>
      <c r="R65" s="16">
        <v>1218</v>
      </c>
      <c r="S65" s="16"/>
      <c r="T65" s="16"/>
      <c r="U65" s="16">
        <v>141</v>
      </c>
      <c r="V65" s="16">
        <v>352</v>
      </c>
      <c r="W65" s="16">
        <v>376</v>
      </c>
      <c r="X65" s="16">
        <v>940</v>
      </c>
      <c r="Y65" s="16">
        <v>60</v>
      </c>
      <c r="Z65" s="16">
        <v>150</v>
      </c>
      <c r="AA65" s="16">
        <v>544</v>
      </c>
      <c r="AB65" s="16">
        <v>1360</v>
      </c>
      <c r="AC65" s="16">
        <v>137</v>
      </c>
      <c r="AD65" s="16">
        <v>342</v>
      </c>
      <c r="AE65" s="16">
        <v>48</v>
      </c>
      <c r="AF65" s="16">
        <v>120</v>
      </c>
      <c r="AG65" s="16">
        <v>696</v>
      </c>
      <c r="AH65" s="16">
        <v>1740</v>
      </c>
      <c r="AI65" s="16">
        <v>448</v>
      </c>
      <c r="AJ65" s="16">
        <v>1120</v>
      </c>
      <c r="AK65" s="16">
        <v>1080</v>
      </c>
      <c r="AL65" s="16">
        <v>2700</v>
      </c>
      <c r="AM65" s="16">
        <v>2896</v>
      </c>
      <c r="AN65" s="16">
        <v>7240</v>
      </c>
      <c r="AO65" s="15"/>
      <c r="AP65" s="15"/>
      <c r="AQ65" s="15">
        <v>40</v>
      </c>
      <c r="AR65" s="15">
        <v>100</v>
      </c>
      <c r="AS65" s="15"/>
      <c r="AT65" s="15"/>
      <c r="AU65" s="15">
        <v>160</v>
      </c>
      <c r="AV65" s="15">
        <v>400</v>
      </c>
      <c r="AW65" s="15"/>
      <c r="AX65" s="15"/>
      <c r="AY65" s="27">
        <f t="shared" si="5"/>
        <v>14452</v>
      </c>
      <c r="AZ65" s="27">
        <f t="shared" si="6"/>
        <v>36114</v>
      </c>
    </row>
    <row r="66" spans="1:52" x14ac:dyDescent="0.25">
      <c r="A66" s="13">
        <v>71</v>
      </c>
      <c r="B66" s="19" t="s">
        <v>170</v>
      </c>
      <c r="C66" s="26" t="s">
        <v>171</v>
      </c>
      <c r="D66" s="19" t="s">
        <v>42</v>
      </c>
      <c r="E66" s="16"/>
      <c r="F66" s="16"/>
      <c r="G66" s="16">
        <v>116</v>
      </c>
      <c r="H66" s="16">
        <v>288</v>
      </c>
      <c r="I66" s="16">
        <v>174</v>
      </c>
      <c r="J66" s="16">
        <v>432</v>
      </c>
      <c r="K66" s="16">
        <v>556</v>
      </c>
      <c r="L66" s="16">
        <v>1390</v>
      </c>
      <c r="M66" s="16">
        <v>136</v>
      </c>
      <c r="N66" s="16">
        <v>336</v>
      </c>
      <c r="O66" s="16"/>
      <c r="P66" s="16"/>
      <c r="Q66" s="16"/>
      <c r="R66" s="16"/>
      <c r="S66" s="16"/>
      <c r="T66" s="16"/>
      <c r="U66" s="16"/>
      <c r="V66" s="16"/>
      <c r="W66" s="16"/>
      <c r="X66" s="16"/>
      <c r="Y66" s="16">
        <v>142</v>
      </c>
      <c r="Z66" s="16">
        <v>352</v>
      </c>
      <c r="AA66" s="16">
        <v>5</v>
      </c>
      <c r="AB66" s="16">
        <v>11</v>
      </c>
      <c r="AC66" s="16"/>
      <c r="AD66" s="16"/>
      <c r="AE66" s="16"/>
      <c r="AF66" s="16"/>
      <c r="AG66" s="16"/>
      <c r="AH66" s="16"/>
      <c r="AI66" s="16">
        <v>1888</v>
      </c>
      <c r="AJ66" s="16">
        <v>4720</v>
      </c>
      <c r="AK66" s="16"/>
      <c r="AL66" s="16"/>
      <c r="AM66" s="16">
        <v>2072</v>
      </c>
      <c r="AN66" s="16">
        <v>5176</v>
      </c>
      <c r="AO66" s="15"/>
      <c r="AP66" s="15"/>
      <c r="AQ66" s="15"/>
      <c r="AR66" s="15"/>
      <c r="AS66" s="15">
        <v>16</v>
      </c>
      <c r="AT66" s="15">
        <v>40</v>
      </c>
      <c r="AU66" s="15"/>
      <c r="AV66" s="15"/>
      <c r="AW66" s="15"/>
      <c r="AX66" s="15"/>
      <c r="AY66" s="27">
        <f t="shared" si="5"/>
        <v>5105</v>
      </c>
      <c r="AZ66" s="27">
        <f t="shared" si="6"/>
        <v>12745</v>
      </c>
    </row>
    <row r="67" spans="1:52" x14ac:dyDescent="0.25">
      <c r="A67" s="13">
        <v>72</v>
      </c>
      <c r="B67" s="19" t="s">
        <v>172</v>
      </c>
      <c r="C67" s="26" t="s">
        <v>173</v>
      </c>
      <c r="D67" s="19" t="s">
        <v>42</v>
      </c>
      <c r="E67" s="16">
        <v>4</v>
      </c>
      <c r="F67" s="16">
        <v>10</v>
      </c>
      <c r="G67" s="16">
        <v>210</v>
      </c>
      <c r="H67" s="16">
        <v>522</v>
      </c>
      <c r="I67" s="16">
        <v>3360</v>
      </c>
      <c r="J67" s="16">
        <v>8400</v>
      </c>
      <c r="K67" s="16">
        <v>1736</v>
      </c>
      <c r="L67" s="16">
        <v>4336</v>
      </c>
      <c r="M67" s="16">
        <v>718</v>
      </c>
      <c r="N67" s="16">
        <v>1792</v>
      </c>
      <c r="O67" s="16">
        <v>275</v>
      </c>
      <c r="P67" s="16">
        <v>680</v>
      </c>
      <c r="Q67" s="16">
        <v>488</v>
      </c>
      <c r="R67" s="16">
        <v>1218</v>
      </c>
      <c r="S67" s="16">
        <v>146</v>
      </c>
      <c r="T67" s="16">
        <v>362</v>
      </c>
      <c r="U67" s="16">
        <v>149</v>
      </c>
      <c r="V67" s="16">
        <v>370</v>
      </c>
      <c r="W67" s="16">
        <v>120</v>
      </c>
      <c r="X67" s="16">
        <v>300</v>
      </c>
      <c r="Y67" s="16"/>
      <c r="Z67" s="16"/>
      <c r="AA67" s="16">
        <v>40</v>
      </c>
      <c r="AB67" s="16">
        <v>100</v>
      </c>
      <c r="AC67" s="16">
        <v>286</v>
      </c>
      <c r="AD67" s="16">
        <v>715</v>
      </c>
      <c r="AE67" s="16">
        <v>288</v>
      </c>
      <c r="AF67" s="16">
        <v>720</v>
      </c>
      <c r="AG67" s="16">
        <v>960</v>
      </c>
      <c r="AH67" s="16">
        <v>2400</v>
      </c>
      <c r="AI67" s="16">
        <v>532</v>
      </c>
      <c r="AJ67" s="16">
        <v>1330</v>
      </c>
      <c r="AK67" s="16">
        <v>1152</v>
      </c>
      <c r="AL67" s="16">
        <v>2880</v>
      </c>
      <c r="AM67" s="16">
        <v>1600</v>
      </c>
      <c r="AN67" s="16">
        <v>4000</v>
      </c>
      <c r="AO67" s="15">
        <v>480</v>
      </c>
      <c r="AP67" s="15">
        <v>1200</v>
      </c>
      <c r="AQ67" s="15">
        <v>40</v>
      </c>
      <c r="AR67" s="15">
        <v>96</v>
      </c>
      <c r="AS67" s="15"/>
      <c r="AT67" s="15"/>
      <c r="AU67" s="15">
        <v>200</v>
      </c>
      <c r="AV67" s="15">
        <v>500</v>
      </c>
      <c r="AW67" s="15"/>
      <c r="AX67" s="15"/>
      <c r="AY67" s="27">
        <f t="shared" si="5"/>
        <v>12784</v>
      </c>
      <c r="AZ67" s="27">
        <f t="shared" si="6"/>
        <v>31931</v>
      </c>
    </row>
    <row r="68" spans="1:52" x14ac:dyDescent="0.25">
      <c r="A68" s="13">
        <v>73</v>
      </c>
      <c r="B68" s="19" t="s">
        <v>174</v>
      </c>
      <c r="C68" s="26" t="s">
        <v>175</v>
      </c>
      <c r="D68" s="19" t="s">
        <v>42</v>
      </c>
      <c r="E68" s="16">
        <v>6</v>
      </c>
      <c r="F68" s="16">
        <v>12</v>
      </c>
      <c r="G68" s="16"/>
      <c r="H68" s="16"/>
      <c r="I68" s="16">
        <v>52</v>
      </c>
      <c r="J68" s="16">
        <v>130</v>
      </c>
      <c r="K68" s="16">
        <v>128</v>
      </c>
      <c r="L68" s="16">
        <v>320</v>
      </c>
      <c r="M68" s="16">
        <v>98</v>
      </c>
      <c r="N68" s="16">
        <v>242</v>
      </c>
      <c r="O68" s="16">
        <v>34</v>
      </c>
      <c r="P68" s="16">
        <v>84</v>
      </c>
      <c r="Q68" s="16"/>
      <c r="R68" s="16"/>
      <c r="S68" s="16">
        <v>5</v>
      </c>
      <c r="T68" s="16">
        <v>10</v>
      </c>
      <c r="U68" s="16"/>
      <c r="V68" s="16"/>
      <c r="W68" s="16">
        <v>72</v>
      </c>
      <c r="X68" s="16">
        <v>180</v>
      </c>
      <c r="Y68" s="16">
        <v>680</v>
      </c>
      <c r="Z68" s="16">
        <v>1700</v>
      </c>
      <c r="AA68" s="16"/>
      <c r="AB68" s="16"/>
      <c r="AC68" s="16"/>
      <c r="AD68" s="16"/>
      <c r="AE68" s="16"/>
      <c r="AF68" s="16"/>
      <c r="AG68" s="16"/>
      <c r="AH68" s="16"/>
      <c r="AI68" s="16">
        <v>384</v>
      </c>
      <c r="AJ68" s="16">
        <v>960</v>
      </c>
      <c r="AK68" s="16"/>
      <c r="AL68" s="16"/>
      <c r="AM68" s="16">
        <v>20</v>
      </c>
      <c r="AN68" s="16">
        <v>48</v>
      </c>
      <c r="AO68" s="15">
        <v>500</v>
      </c>
      <c r="AP68" s="15">
        <v>1250</v>
      </c>
      <c r="AQ68" s="15"/>
      <c r="AR68" s="15"/>
      <c r="AS68" s="15"/>
      <c r="AT68" s="15"/>
      <c r="AU68" s="15"/>
      <c r="AV68" s="15"/>
      <c r="AW68" s="15"/>
      <c r="AX68" s="15"/>
      <c r="AY68" s="27">
        <f t="shared" si="5"/>
        <v>1979</v>
      </c>
      <c r="AZ68" s="27">
        <f t="shared" si="6"/>
        <v>4936</v>
      </c>
    </row>
    <row r="69" spans="1:52" x14ac:dyDescent="0.25">
      <c r="A69" s="13">
        <v>74</v>
      </c>
      <c r="B69" s="19" t="s">
        <v>176</v>
      </c>
      <c r="C69" s="26" t="s">
        <v>177</v>
      </c>
      <c r="D69" s="19" t="s">
        <v>42</v>
      </c>
      <c r="E69" s="16"/>
      <c r="F69" s="16"/>
      <c r="G69" s="16">
        <v>424</v>
      </c>
      <c r="H69" s="16">
        <v>1060</v>
      </c>
      <c r="I69" s="16"/>
      <c r="J69" s="16"/>
      <c r="K69" s="16"/>
      <c r="L69" s="16"/>
      <c r="M69" s="16">
        <v>356</v>
      </c>
      <c r="N69" s="16">
        <v>888</v>
      </c>
      <c r="O69" s="16"/>
      <c r="P69" s="16"/>
      <c r="Q69" s="16"/>
      <c r="R69" s="16"/>
      <c r="S69" s="16"/>
      <c r="T69" s="16"/>
      <c r="U69" s="16"/>
      <c r="V69" s="16"/>
      <c r="W69" s="16"/>
      <c r="X69" s="16"/>
      <c r="Y69" s="16"/>
      <c r="Z69" s="16"/>
      <c r="AA69" s="16"/>
      <c r="AB69" s="16"/>
      <c r="AC69" s="16"/>
      <c r="AD69" s="16"/>
      <c r="AE69" s="16"/>
      <c r="AF69" s="16"/>
      <c r="AG69" s="16"/>
      <c r="AH69" s="16"/>
      <c r="AI69" s="16">
        <v>24</v>
      </c>
      <c r="AJ69" s="16">
        <v>60</v>
      </c>
      <c r="AK69" s="16"/>
      <c r="AL69" s="16"/>
      <c r="AM69" s="16"/>
      <c r="AN69" s="16"/>
      <c r="AO69" s="15">
        <v>28</v>
      </c>
      <c r="AP69" s="15">
        <v>70</v>
      </c>
      <c r="AQ69" s="15"/>
      <c r="AR69" s="15"/>
      <c r="AS69" s="15"/>
      <c r="AT69" s="15"/>
      <c r="AU69" s="15"/>
      <c r="AV69" s="15"/>
      <c r="AW69" s="15"/>
      <c r="AX69" s="15"/>
      <c r="AY69" s="27">
        <f t="shared" si="5"/>
        <v>832</v>
      </c>
      <c r="AZ69" s="27">
        <f t="shared" si="6"/>
        <v>2078</v>
      </c>
    </row>
    <row r="70" spans="1:52" x14ac:dyDescent="0.25">
      <c r="A70" s="13">
        <v>76</v>
      </c>
      <c r="B70" s="19" t="s">
        <v>178</v>
      </c>
      <c r="C70" s="26" t="s">
        <v>179</v>
      </c>
      <c r="D70" s="19" t="s">
        <v>42</v>
      </c>
      <c r="E70" s="16">
        <v>312</v>
      </c>
      <c r="F70" s="16">
        <v>780</v>
      </c>
      <c r="G70" s="16">
        <v>2400</v>
      </c>
      <c r="H70" s="16">
        <v>6000</v>
      </c>
      <c r="I70" s="16">
        <v>8280</v>
      </c>
      <c r="J70" s="16">
        <v>20700</v>
      </c>
      <c r="K70" s="16">
        <v>48</v>
      </c>
      <c r="L70" s="16">
        <v>119</v>
      </c>
      <c r="M70" s="16">
        <v>588</v>
      </c>
      <c r="N70" s="16">
        <v>1468</v>
      </c>
      <c r="O70" s="16">
        <v>160</v>
      </c>
      <c r="P70" s="16">
        <v>395</v>
      </c>
      <c r="Q70" s="16"/>
      <c r="R70" s="16"/>
      <c r="S70" s="16">
        <v>24</v>
      </c>
      <c r="T70" s="16">
        <v>56</v>
      </c>
      <c r="U70" s="16">
        <v>15</v>
      </c>
      <c r="V70" s="16">
        <v>35</v>
      </c>
      <c r="W70" s="16">
        <v>48</v>
      </c>
      <c r="X70" s="16">
        <v>120</v>
      </c>
      <c r="Y70" s="16">
        <v>124</v>
      </c>
      <c r="Z70" s="16">
        <v>308</v>
      </c>
      <c r="AA70" s="16">
        <v>32</v>
      </c>
      <c r="AB70" s="16">
        <v>80</v>
      </c>
      <c r="AC70" s="16">
        <v>4</v>
      </c>
      <c r="AD70" s="16">
        <v>6</v>
      </c>
      <c r="AE70" s="16">
        <v>11</v>
      </c>
      <c r="AF70" s="16">
        <v>27</v>
      </c>
      <c r="AG70" s="16">
        <v>80</v>
      </c>
      <c r="AH70" s="16">
        <v>200</v>
      </c>
      <c r="AI70" s="16">
        <v>976</v>
      </c>
      <c r="AJ70" s="16">
        <v>2440</v>
      </c>
      <c r="AK70" s="16">
        <v>8</v>
      </c>
      <c r="AL70" s="16">
        <v>20</v>
      </c>
      <c r="AM70" s="16"/>
      <c r="AN70" s="16"/>
      <c r="AO70" s="15">
        <v>5040</v>
      </c>
      <c r="AP70" s="15">
        <v>12600</v>
      </c>
      <c r="AQ70" s="15">
        <v>47</v>
      </c>
      <c r="AR70" s="15">
        <v>111</v>
      </c>
      <c r="AS70" s="15"/>
      <c r="AT70" s="15"/>
      <c r="AU70" s="15">
        <v>120</v>
      </c>
      <c r="AV70" s="15">
        <v>300</v>
      </c>
      <c r="AW70" s="15"/>
      <c r="AX70" s="15"/>
      <c r="AY70" s="27">
        <f t="shared" si="5"/>
        <v>18317</v>
      </c>
      <c r="AZ70" s="27">
        <f t="shared" si="6"/>
        <v>45765</v>
      </c>
    </row>
    <row r="71" spans="1:52" x14ac:dyDescent="0.25">
      <c r="A71" s="13">
        <v>78</v>
      </c>
      <c r="B71" s="19" t="s">
        <v>180</v>
      </c>
      <c r="C71" s="26" t="s">
        <v>181</v>
      </c>
      <c r="D71" s="19" t="s">
        <v>42</v>
      </c>
      <c r="E71" s="16">
        <v>480</v>
      </c>
      <c r="F71" s="16">
        <v>1200</v>
      </c>
      <c r="G71" s="16">
        <v>164</v>
      </c>
      <c r="H71" s="16">
        <v>410</v>
      </c>
      <c r="I71" s="16">
        <v>1084</v>
      </c>
      <c r="J71" s="16">
        <v>2706</v>
      </c>
      <c r="K71" s="16">
        <v>84</v>
      </c>
      <c r="L71" s="16">
        <v>210</v>
      </c>
      <c r="M71" s="16">
        <v>5984</v>
      </c>
      <c r="N71" s="16">
        <v>14956</v>
      </c>
      <c r="O71" s="16">
        <v>338</v>
      </c>
      <c r="P71" s="16">
        <v>840</v>
      </c>
      <c r="Q71" s="16">
        <v>63</v>
      </c>
      <c r="R71" s="16">
        <v>153</v>
      </c>
      <c r="S71" s="16"/>
      <c r="T71" s="16"/>
      <c r="U71" s="16"/>
      <c r="V71" s="16"/>
      <c r="W71" s="16"/>
      <c r="X71" s="16"/>
      <c r="Y71" s="16">
        <v>16</v>
      </c>
      <c r="Z71" s="16">
        <v>38</v>
      </c>
      <c r="AA71" s="16">
        <v>111</v>
      </c>
      <c r="AB71" s="16">
        <v>275</v>
      </c>
      <c r="AC71" s="16">
        <v>58</v>
      </c>
      <c r="AD71" s="16">
        <v>143</v>
      </c>
      <c r="AE71" s="16"/>
      <c r="AF71" s="16"/>
      <c r="AG71" s="16">
        <v>1280</v>
      </c>
      <c r="AH71" s="16">
        <v>3200</v>
      </c>
      <c r="AI71" s="16">
        <v>480</v>
      </c>
      <c r="AJ71" s="16">
        <v>1200</v>
      </c>
      <c r="AK71" s="16">
        <v>80</v>
      </c>
      <c r="AL71" s="16">
        <v>200</v>
      </c>
      <c r="AM71" s="16"/>
      <c r="AN71" s="16"/>
      <c r="AO71" s="15">
        <v>4254</v>
      </c>
      <c r="AP71" s="15">
        <v>10632</v>
      </c>
      <c r="AQ71" s="15"/>
      <c r="AR71" s="15"/>
      <c r="AS71" s="15"/>
      <c r="AT71" s="15"/>
      <c r="AU71" s="15">
        <v>8</v>
      </c>
      <c r="AV71" s="15">
        <v>20</v>
      </c>
      <c r="AW71" s="15"/>
      <c r="AX71" s="15"/>
      <c r="AY71" s="27">
        <f t="shared" si="5"/>
        <v>14484</v>
      </c>
      <c r="AZ71" s="27">
        <f t="shared" si="6"/>
        <v>36183</v>
      </c>
    </row>
    <row r="72" spans="1:52" x14ac:dyDescent="0.25">
      <c r="A72" s="13">
        <v>79</v>
      </c>
      <c r="B72" s="19" t="s">
        <v>182</v>
      </c>
      <c r="C72" s="26" t="s">
        <v>183</v>
      </c>
      <c r="D72" s="19" t="s">
        <v>42</v>
      </c>
      <c r="E72" s="16">
        <v>200</v>
      </c>
      <c r="F72" s="16">
        <v>500</v>
      </c>
      <c r="G72" s="16">
        <v>26</v>
      </c>
      <c r="H72" s="16">
        <v>64</v>
      </c>
      <c r="I72" s="16">
        <v>6680</v>
      </c>
      <c r="J72" s="16">
        <v>16700</v>
      </c>
      <c r="K72" s="16">
        <v>252</v>
      </c>
      <c r="L72" s="16">
        <v>628</v>
      </c>
      <c r="M72" s="16"/>
      <c r="N72" s="16"/>
      <c r="O72" s="16"/>
      <c r="P72" s="16"/>
      <c r="Q72" s="16">
        <v>426</v>
      </c>
      <c r="R72" s="16">
        <v>1062</v>
      </c>
      <c r="S72" s="16"/>
      <c r="T72" s="16"/>
      <c r="U72" s="16"/>
      <c r="V72" s="16"/>
      <c r="W72" s="16"/>
      <c r="X72" s="16"/>
      <c r="Y72" s="16"/>
      <c r="Z72" s="16"/>
      <c r="AA72" s="16">
        <v>2</v>
      </c>
      <c r="AB72" s="16">
        <v>2</v>
      </c>
      <c r="AC72" s="16">
        <v>49</v>
      </c>
      <c r="AD72" s="16">
        <v>121</v>
      </c>
      <c r="AE72" s="16"/>
      <c r="AF72" s="16"/>
      <c r="AG72" s="16"/>
      <c r="AH72" s="16"/>
      <c r="AI72" s="16">
        <v>960</v>
      </c>
      <c r="AJ72" s="16">
        <v>2400</v>
      </c>
      <c r="AK72" s="16"/>
      <c r="AL72" s="16"/>
      <c r="AM72" s="16"/>
      <c r="AN72" s="16"/>
      <c r="AO72" s="15">
        <v>896</v>
      </c>
      <c r="AP72" s="15">
        <v>2240</v>
      </c>
      <c r="AQ72" s="15"/>
      <c r="AR72" s="15"/>
      <c r="AS72" s="15"/>
      <c r="AT72" s="15"/>
      <c r="AU72" s="15">
        <v>80</v>
      </c>
      <c r="AV72" s="15">
        <v>200</v>
      </c>
      <c r="AW72" s="15"/>
      <c r="AX72" s="15"/>
      <c r="AY72" s="27">
        <f t="shared" si="5"/>
        <v>9571</v>
      </c>
      <c r="AZ72" s="27">
        <f t="shared" si="6"/>
        <v>23917</v>
      </c>
    </row>
    <row r="73" spans="1:52" x14ac:dyDescent="0.25">
      <c r="A73" s="13">
        <v>80</v>
      </c>
      <c r="B73" s="19" t="s">
        <v>184</v>
      </c>
      <c r="C73" s="26" t="s">
        <v>185</v>
      </c>
      <c r="D73" s="19" t="s">
        <v>42</v>
      </c>
      <c r="E73" s="16">
        <v>320</v>
      </c>
      <c r="F73" s="16">
        <v>800</v>
      </c>
      <c r="G73" s="16">
        <v>250</v>
      </c>
      <c r="H73" s="16">
        <v>624</v>
      </c>
      <c r="I73" s="16">
        <v>232</v>
      </c>
      <c r="J73" s="16">
        <v>576</v>
      </c>
      <c r="K73" s="16">
        <v>696</v>
      </c>
      <c r="L73" s="16">
        <v>1740</v>
      </c>
      <c r="M73" s="16">
        <v>2304</v>
      </c>
      <c r="N73" s="16">
        <v>5759</v>
      </c>
      <c r="O73" s="16">
        <v>35</v>
      </c>
      <c r="P73" s="16">
        <v>85</v>
      </c>
      <c r="Q73" s="16">
        <v>120</v>
      </c>
      <c r="R73" s="16">
        <v>298</v>
      </c>
      <c r="S73" s="16">
        <v>10</v>
      </c>
      <c r="T73" s="16">
        <v>24</v>
      </c>
      <c r="U73" s="16">
        <v>46</v>
      </c>
      <c r="V73" s="16">
        <v>113</v>
      </c>
      <c r="W73" s="16"/>
      <c r="X73" s="16"/>
      <c r="Y73" s="16"/>
      <c r="Z73" s="16"/>
      <c r="AA73" s="16">
        <v>60</v>
      </c>
      <c r="AB73" s="16">
        <v>150</v>
      </c>
      <c r="AC73" s="16">
        <v>4</v>
      </c>
      <c r="AD73" s="16">
        <v>6</v>
      </c>
      <c r="AE73" s="16">
        <v>960</v>
      </c>
      <c r="AF73" s="16">
        <v>2400</v>
      </c>
      <c r="AG73" s="16">
        <v>2</v>
      </c>
      <c r="AH73" s="16">
        <v>4</v>
      </c>
      <c r="AI73" s="16">
        <v>72</v>
      </c>
      <c r="AJ73" s="16">
        <v>176</v>
      </c>
      <c r="AK73" s="16"/>
      <c r="AL73" s="16"/>
      <c r="AM73" s="16">
        <v>20</v>
      </c>
      <c r="AN73" s="16">
        <v>48</v>
      </c>
      <c r="AO73" s="15">
        <v>3822</v>
      </c>
      <c r="AP73" s="15">
        <v>9552</v>
      </c>
      <c r="AQ73" s="15">
        <v>74</v>
      </c>
      <c r="AR73" s="15">
        <v>184</v>
      </c>
      <c r="AS73" s="15"/>
      <c r="AT73" s="15"/>
      <c r="AU73" s="15"/>
      <c r="AV73" s="15"/>
      <c r="AW73" s="15">
        <v>4</v>
      </c>
      <c r="AX73" s="15">
        <v>6</v>
      </c>
      <c r="AY73" s="27">
        <f t="shared" ref="AY73:AY119" si="7">SUM(E73+G73+I73+K73+M73+O73+Q73+S73+U73+W73+Y73+AA73+AC73+AE73+AG73+AI73+AK73+AM73+AO73+AQ73+AS73+AU73+AW73)</f>
        <v>9031</v>
      </c>
      <c r="AZ73" s="27">
        <f t="shared" ref="AZ73:AZ119" si="8">SUM(F73+H73+J73+L73+N73+P73+R73+T73+V73+X73+Z73+AB73+AD73+AF73+AH73+AJ73+AL73+AN73+AP73+AR73+AT73+AV73+AX73)</f>
        <v>22545</v>
      </c>
    </row>
    <row r="74" spans="1:52" x14ac:dyDescent="0.25">
      <c r="A74" s="13">
        <v>81</v>
      </c>
      <c r="B74" s="19" t="s">
        <v>186</v>
      </c>
      <c r="C74" s="26" t="s">
        <v>187</v>
      </c>
      <c r="D74" s="19" t="s">
        <v>42</v>
      </c>
      <c r="E74" s="16">
        <v>128</v>
      </c>
      <c r="F74" s="16">
        <v>320</v>
      </c>
      <c r="G74" s="16">
        <v>2116</v>
      </c>
      <c r="H74" s="16">
        <v>5286</v>
      </c>
      <c r="I74" s="16">
        <v>7200</v>
      </c>
      <c r="J74" s="16">
        <v>18000</v>
      </c>
      <c r="K74" s="16">
        <v>1988</v>
      </c>
      <c r="L74" s="16">
        <v>4968</v>
      </c>
      <c r="M74" s="16">
        <v>374</v>
      </c>
      <c r="N74" s="16">
        <v>935</v>
      </c>
      <c r="O74" s="16">
        <v>192</v>
      </c>
      <c r="P74" s="16">
        <v>478</v>
      </c>
      <c r="Q74" s="16">
        <v>480</v>
      </c>
      <c r="R74" s="16">
        <v>1196</v>
      </c>
      <c r="S74" s="16">
        <v>9</v>
      </c>
      <c r="T74" s="16">
        <v>20</v>
      </c>
      <c r="U74" s="16">
        <v>440</v>
      </c>
      <c r="V74" s="16">
        <v>1100</v>
      </c>
      <c r="W74" s="16">
        <v>176</v>
      </c>
      <c r="X74" s="16">
        <v>440</v>
      </c>
      <c r="Y74" s="16">
        <v>454</v>
      </c>
      <c r="Z74" s="16">
        <v>1132</v>
      </c>
      <c r="AA74" s="16">
        <v>456</v>
      </c>
      <c r="AB74" s="16">
        <v>1140</v>
      </c>
      <c r="AC74" s="16">
        <v>29</v>
      </c>
      <c r="AD74" s="16">
        <v>69</v>
      </c>
      <c r="AE74" s="16">
        <v>432</v>
      </c>
      <c r="AF74" s="16">
        <v>1076</v>
      </c>
      <c r="AG74" s="16">
        <v>382</v>
      </c>
      <c r="AH74" s="16">
        <v>952</v>
      </c>
      <c r="AI74" s="16">
        <v>276</v>
      </c>
      <c r="AJ74" s="16">
        <v>686</v>
      </c>
      <c r="AK74" s="16">
        <v>52</v>
      </c>
      <c r="AL74" s="16">
        <v>130</v>
      </c>
      <c r="AM74" s="16">
        <v>116</v>
      </c>
      <c r="AN74" s="16">
        <v>288</v>
      </c>
      <c r="AO74" s="15">
        <v>640</v>
      </c>
      <c r="AP74" s="15">
        <v>1600</v>
      </c>
      <c r="AQ74" s="15"/>
      <c r="AR74" s="15"/>
      <c r="AS74" s="15">
        <v>88</v>
      </c>
      <c r="AT74" s="15">
        <v>220</v>
      </c>
      <c r="AU74" s="15">
        <v>204</v>
      </c>
      <c r="AV74" s="15">
        <v>510</v>
      </c>
      <c r="AW74" s="15">
        <v>8</v>
      </c>
      <c r="AX74" s="15">
        <v>20</v>
      </c>
      <c r="AY74" s="27">
        <f t="shared" si="7"/>
        <v>16240</v>
      </c>
      <c r="AZ74" s="27">
        <f t="shared" si="8"/>
        <v>40566</v>
      </c>
    </row>
    <row r="75" spans="1:52" x14ac:dyDescent="0.25">
      <c r="A75" s="13">
        <v>82</v>
      </c>
      <c r="B75" s="19" t="s">
        <v>188</v>
      </c>
      <c r="C75" s="26" t="s">
        <v>189</v>
      </c>
      <c r="D75" s="19" t="s">
        <v>42</v>
      </c>
      <c r="E75" s="16">
        <v>10</v>
      </c>
      <c r="F75" s="16">
        <v>24</v>
      </c>
      <c r="G75" s="16">
        <v>48</v>
      </c>
      <c r="H75" s="16">
        <v>120</v>
      </c>
      <c r="I75" s="16">
        <v>560</v>
      </c>
      <c r="J75" s="16">
        <v>1400</v>
      </c>
      <c r="K75" s="16">
        <v>808</v>
      </c>
      <c r="L75" s="16">
        <v>2016</v>
      </c>
      <c r="M75" s="16"/>
      <c r="N75" s="16"/>
      <c r="O75" s="16"/>
      <c r="P75" s="16"/>
      <c r="Q75" s="16">
        <v>16</v>
      </c>
      <c r="R75" s="16">
        <v>38</v>
      </c>
      <c r="S75" s="16"/>
      <c r="T75" s="16"/>
      <c r="U75" s="16">
        <v>44</v>
      </c>
      <c r="V75" s="16">
        <v>110</v>
      </c>
      <c r="W75" s="16">
        <v>22</v>
      </c>
      <c r="X75" s="16">
        <v>54</v>
      </c>
      <c r="Y75" s="16"/>
      <c r="Z75" s="16"/>
      <c r="AA75" s="16"/>
      <c r="AB75" s="16"/>
      <c r="AC75" s="16">
        <v>44</v>
      </c>
      <c r="AD75" s="16">
        <v>110</v>
      </c>
      <c r="AE75" s="16">
        <v>48</v>
      </c>
      <c r="AF75" s="16">
        <v>120</v>
      </c>
      <c r="AG75" s="16"/>
      <c r="AH75" s="16"/>
      <c r="AI75" s="16">
        <v>200</v>
      </c>
      <c r="AJ75" s="16">
        <v>500</v>
      </c>
      <c r="AK75" s="16">
        <v>16</v>
      </c>
      <c r="AL75" s="16">
        <v>40</v>
      </c>
      <c r="AM75" s="16"/>
      <c r="AN75" s="16"/>
      <c r="AO75" s="15">
        <v>60</v>
      </c>
      <c r="AP75" s="15">
        <v>148</v>
      </c>
      <c r="AQ75" s="15"/>
      <c r="AR75" s="15"/>
      <c r="AS75" s="15"/>
      <c r="AT75" s="15"/>
      <c r="AU75" s="15"/>
      <c r="AV75" s="15"/>
      <c r="AW75" s="15"/>
      <c r="AX75" s="15"/>
      <c r="AY75" s="27">
        <f t="shared" si="7"/>
        <v>1876</v>
      </c>
      <c r="AZ75" s="27">
        <f t="shared" si="8"/>
        <v>4680</v>
      </c>
    </row>
    <row r="76" spans="1:52" x14ac:dyDescent="0.25">
      <c r="A76" s="13">
        <v>83</v>
      </c>
      <c r="B76" s="19" t="s">
        <v>190</v>
      </c>
      <c r="C76" s="26" t="s">
        <v>191</v>
      </c>
      <c r="D76" s="19" t="s">
        <v>42</v>
      </c>
      <c r="E76" s="16">
        <v>60</v>
      </c>
      <c r="F76" s="16">
        <v>150</v>
      </c>
      <c r="G76" s="16">
        <v>476</v>
      </c>
      <c r="H76" s="16">
        <v>1190</v>
      </c>
      <c r="I76" s="16">
        <v>3620</v>
      </c>
      <c r="J76" s="16">
        <v>9050</v>
      </c>
      <c r="K76" s="16">
        <v>2116</v>
      </c>
      <c r="L76" s="16">
        <v>5284</v>
      </c>
      <c r="M76" s="16"/>
      <c r="N76" s="16"/>
      <c r="O76" s="16">
        <v>700</v>
      </c>
      <c r="P76" s="16">
        <v>1750</v>
      </c>
      <c r="Q76" s="16">
        <v>8</v>
      </c>
      <c r="R76" s="16">
        <v>18</v>
      </c>
      <c r="S76" s="16">
        <v>14</v>
      </c>
      <c r="T76" s="16">
        <v>31</v>
      </c>
      <c r="U76" s="16">
        <v>110</v>
      </c>
      <c r="V76" s="16">
        <v>275</v>
      </c>
      <c r="W76" s="16">
        <v>72</v>
      </c>
      <c r="X76" s="16">
        <v>180</v>
      </c>
      <c r="Y76" s="16">
        <v>62</v>
      </c>
      <c r="Z76" s="16">
        <v>152</v>
      </c>
      <c r="AA76" s="16">
        <v>40</v>
      </c>
      <c r="AB76" s="16">
        <v>100</v>
      </c>
      <c r="AC76" s="16">
        <v>88</v>
      </c>
      <c r="AD76" s="16">
        <v>220</v>
      </c>
      <c r="AE76" s="16">
        <v>480</v>
      </c>
      <c r="AF76" s="16">
        <v>1200</v>
      </c>
      <c r="AG76" s="16">
        <v>40</v>
      </c>
      <c r="AH76" s="16">
        <v>100</v>
      </c>
      <c r="AI76" s="16">
        <v>640</v>
      </c>
      <c r="AJ76" s="16">
        <v>1600</v>
      </c>
      <c r="AK76" s="16">
        <v>56</v>
      </c>
      <c r="AL76" s="16">
        <v>140</v>
      </c>
      <c r="AM76" s="16">
        <v>96</v>
      </c>
      <c r="AN76" s="16">
        <v>240</v>
      </c>
      <c r="AO76" s="15">
        <v>10</v>
      </c>
      <c r="AP76" s="15">
        <v>24</v>
      </c>
      <c r="AQ76" s="15">
        <v>2</v>
      </c>
      <c r="AR76" s="15">
        <v>2</v>
      </c>
      <c r="AS76" s="15">
        <v>16</v>
      </c>
      <c r="AT76" s="15">
        <v>40</v>
      </c>
      <c r="AU76" s="15">
        <v>160</v>
      </c>
      <c r="AV76" s="15">
        <v>400</v>
      </c>
      <c r="AW76" s="15">
        <v>6</v>
      </c>
      <c r="AX76" s="15">
        <v>14</v>
      </c>
      <c r="AY76" s="27">
        <f t="shared" si="7"/>
        <v>8872</v>
      </c>
      <c r="AZ76" s="27">
        <f t="shared" si="8"/>
        <v>22160</v>
      </c>
    </row>
    <row r="77" spans="1:52" x14ac:dyDescent="0.25">
      <c r="A77" s="13">
        <v>84</v>
      </c>
      <c r="B77" s="19" t="s">
        <v>192</v>
      </c>
      <c r="C77" s="26" t="s">
        <v>193</v>
      </c>
      <c r="D77" s="19" t="s">
        <v>42</v>
      </c>
      <c r="E77" s="16">
        <v>164</v>
      </c>
      <c r="F77" s="16">
        <v>410</v>
      </c>
      <c r="G77" s="16">
        <v>1680</v>
      </c>
      <c r="H77" s="16">
        <v>4196</v>
      </c>
      <c r="I77" s="16">
        <v>7600</v>
      </c>
      <c r="J77" s="16">
        <v>18996</v>
      </c>
      <c r="K77" s="16">
        <v>2478</v>
      </c>
      <c r="L77" s="16">
        <v>6192</v>
      </c>
      <c r="M77" s="16">
        <v>1373</v>
      </c>
      <c r="N77" s="16">
        <v>3429</v>
      </c>
      <c r="O77" s="16">
        <v>542</v>
      </c>
      <c r="P77" s="16">
        <v>1351</v>
      </c>
      <c r="Q77" s="16">
        <v>816</v>
      </c>
      <c r="R77" s="16">
        <v>2040</v>
      </c>
      <c r="S77" s="16">
        <v>290</v>
      </c>
      <c r="T77" s="16">
        <v>723</v>
      </c>
      <c r="U77" s="16">
        <v>660</v>
      </c>
      <c r="V77" s="16">
        <v>1650</v>
      </c>
      <c r="W77" s="16">
        <v>216</v>
      </c>
      <c r="X77" s="16">
        <v>540</v>
      </c>
      <c r="Y77" s="16">
        <v>552</v>
      </c>
      <c r="Z77" s="16">
        <v>1380</v>
      </c>
      <c r="AA77" s="16">
        <v>216</v>
      </c>
      <c r="AB77" s="16">
        <v>540</v>
      </c>
      <c r="AC77" s="16">
        <v>929</v>
      </c>
      <c r="AD77" s="16">
        <v>2321</v>
      </c>
      <c r="AE77" s="16">
        <v>5760</v>
      </c>
      <c r="AF77" s="16">
        <v>14400</v>
      </c>
      <c r="AG77" s="16">
        <v>2096</v>
      </c>
      <c r="AH77" s="16">
        <v>5240</v>
      </c>
      <c r="AI77" s="16">
        <v>1032</v>
      </c>
      <c r="AJ77" s="16">
        <v>2580</v>
      </c>
      <c r="AK77" s="16">
        <v>24</v>
      </c>
      <c r="AL77" s="16">
        <v>60</v>
      </c>
      <c r="AM77" s="16">
        <v>576</v>
      </c>
      <c r="AN77" s="16">
        <v>1440</v>
      </c>
      <c r="AO77" s="15">
        <v>456</v>
      </c>
      <c r="AP77" s="15">
        <v>1140</v>
      </c>
      <c r="AQ77" s="15">
        <v>3410</v>
      </c>
      <c r="AR77" s="15">
        <v>8522</v>
      </c>
      <c r="AS77" s="15">
        <v>112</v>
      </c>
      <c r="AT77" s="15">
        <v>280</v>
      </c>
      <c r="AU77" s="15">
        <v>1732</v>
      </c>
      <c r="AV77" s="15">
        <v>4330</v>
      </c>
      <c r="AW77" s="15"/>
      <c r="AX77" s="15"/>
      <c r="AY77" s="27">
        <f t="shared" si="7"/>
        <v>32714</v>
      </c>
      <c r="AZ77" s="27">
        <f t="shared" si="8"/>
        <v>81760</v>
      </c>
    </row>
    <row r="78" spans="1:52" x14ac:dyDescent="0.25">
      <c r="A78" s="13">
        <v>85</v>
      </c>
      <c r="B78" s="19" t="s">
        <v>194</v>
      </c>
      <c r="C78" s="26" t="s">
        <v>195</v>
      </c>
      <c r="D78" s="19" t="s">
        <v>42</v>
      </c>
      <c r="E78" s="16"/>
      <c r="F78" s="16"/>
      <c r="G78" s="16">
        <v>28</v>
      </c>
      <c r="H78" s="16">
        <v>70</v>
      </c>
      <c r="I78" s="16"/>
      <c r="J78" s="16"/>
      <c r="K78" s="16">
        <v>10</v>
      </c>
      <c r="L78" s="16">
        <v>24</v>
      </c>
      <c r="M78" s="16">
        <v>2816</v>
      </c>
      <c r="N78" s="16">
        <v>7038</v>
      </c>
      <c r="O78" s="16">
        <v>471</v>
      </c>
      <c r="P78" s="16">
        <v>1176</v>
      </c>
      <c r="Q78" s="16">
        <v>8</v>
      </c>
      <c r="R78" s="16">
        <v>18</v>
      </c>
      <c r="S78" s="16"/>
      <c r="T78" s="16"/>
      <c r="U78" s="16">
        <v>62</v>
      </c>
      <c r="V78" s="16">
        <v>154</v>
      </c>
      <c r="W78" s="16">
        <v>32</v>
      </c>
      <c r="X78" s="16">
        <v>80</v>
      </c>
      <c r="Y78" s="16">
        <v>32</v>
      </c>
      <c r="Z78" s="16">
        <v>76</v>
      </c>
      <c r="AA78" s="16"/>
      <c r="AB78" s="16"/>
      <c r="AC78" s="16"/>
      <c r="AD78" s="16"/>
      <c r="AE78" s="16"/>
      <c r="AF78" s="16"/>
      <c r="AG78" s="16">
        <v>84</v>
      </c>
      <c r="AH78" s="16">
        <v>210</v>
      </c>
      <c r="AI78" s="16">
        <v>96</v>
      </c>
      <c r="AJ78" s="16">
        <v>240</v>
      </c>
      <c r="AK78" s="16"/>
      <c r="AL78" s="16"/>
      <c r="AM78" s="16">
        <v>10</v>
      </c>
      <c r="AN78" s="16">
        <v>24</v>
      </c>
      <c r="AO78" s="15">
        <v>174</v>
      </c>
      <c r="AP78" s="15">
        <v>435</v>
      </c>
      <c r="AQ78" s="15"/>
      <c r="AR78" s="15"/>
      <c r="AS78" s="15"/>
      <c r="AT78" s="15"/>
      <c r="AU78" s="15"/>
      <c r="AV78" s="15"/>
      <c r="AW78" s="15"/>
      <c r="AX78" s="15"/>
      <c r="AY78" s="27">
        <f t="shared" si="7"/>
        <v>3823</v>
      </c>
      <c r="AZ78" s="27">
        <f t="shared" si="8"/>
        <v>9545</v>
      </c>
    </row>
    <row r="79" spans="1:52" x14ac:dyDescent="0.25">
      <c r="A79" s="13">
        <v>86</v>
      </c>
      <c r="B79" s="19" t="s">
        <v>196</v>
      </c>
      <c r="C79" s="26" t="s">
        <v>197</v>
      </c>
      <c r="D79" s="19" t="s">
        <v>42</v>
      </c>
      <c r="E79" s="16">
        <v>100</v>
      </c>
      <c r="F79" s="16">
        <v>250</v>
      </c>
      <c r="G79" s="16">
        <v>800</v>
      </c>
      <c r="H79" s="16">
        <v>2000</v>
      </c>
      <c r="I79" s="16">
        <v>4</v>
      </c>
      <c r="J79" s="16">
        <v>10</v>
      </c>
      <c r="K79" s="16">
        <v>1800</v>
      </c>
      <c r="L79" s="16">
        <v>4500</v>
      </c>
      <c r="M79" s="16">
        <v>442</v>
      </c>
      <c r="N79" s="16">
        <v>1102</v>
      </c>
      <c r="O79" s="16">
        <v>29</v>
      </c>
      <c r="P79" s="16">
        <v>70</v>
      </c>
      <c r="Q79" s="16">
        <v>814</v>
      </c>
      <c r="R79" s="16">
        <v>2032</v>
      </c>
      <c r="S79" s="16">
        <v>12</v>
      </c>
      <c r="T79" s="16">
        <v>28</v>
      </c>
      <c r="U79" s="16">
        <v>59</v>
      </c>
      <c r="V79" s="16">
        <v>145</v>
      </c>
      <c r="W79" s="16">
        <v>8</v>
      </c>
      <c r="X79" s="16">
        <v>18</v>
      </c>
      <c r="Y79" s="16">
        <v>228</v>
      </c>
      <c r="Z79" s="16">
        <v>566</v>
      </c>
      <c r="AA79" s="16">
        <v>32</v>
      </c>
      <c r="AB79" s="16">
        <v>80</v>
      </c>
      <c r="AC79" s="16">
        <v>92</v>
      </c>
      <c r="AD79" s="16">
        <v>229</v>
      </c>
      <c r="AE79" s="16">
        <v>48</v>
      </c>
      <c r="AF79" s="16">
        <v>120</v>
      </c>
      <c r="AG79" s="16">
        <v>208</v>
      </c>
      <c r="AH79" s="16">
        <v>520</v>
      </c>
      <c r="AI79" s="16">
        <v>980</v>
      </c>
      <c r="AJ79" s="16">
        <v>2450</v>
      </c>
      <c r="AK79" s="16">
        <v>24</v>
      </c>
      <c r="AL79" s="16">
        <v>60</v>
      </c>
      <c r="AM79" s="16"/>
      <c r="AN79" s="16"/>
      <c r="AO79" s="15">
        <v>80</v>
      </c>
      <c r="AP79" s="15">
        <v>200</v>
      </c>
      <c r="AQ79" s="15">
        <v>108</v>
      </c>
      <c r="AR79" s="15">
        <v>270</v>
      </c>
      <c r="AS79" s="15"/>
      <c r="AT79" s="15"/>
      <c r="AU79" s="15"/>
      <c r="AV79" s="15"/>
      <c r="AW79" s="15"/>
      <c r="AX79" s="15"/>
      <c r="AY79" s="27">
        <f t="shared" si="7"/>
        <v>5868</v>
      </c>
      <c r="AZ79" s="27">
        <f t="shared" si="8"/>
        <v>14650</v>
      </c>
    </row>
    <row r="80" spans="1:52" x14ac:dyDescent="0.25">
      <c r="A80" s="13">
        <v>87</v>
      </c>
      <c r="B80" s="19" t="s">
        <v>198</v>
      </c>
      <c r="C80" s="26" t="s">
        <v>199</v>
      </c>
      <c r="D80" s="19" t="s">
        <v>42</v>
      </c>
      <c r="E80" s="16">
        <v>36</v>
      </c>
      <c r="F80" s="16">
        <v>90</v>
      </c>
      <c r="G80" s="16">
        <v>12</v>
      </c>
      <c r="H80" s="16">
        <v>28</v>
      </c>
      <c r="I80" s="16"/>
      <c r="J80" s="16"/>
      <c r="K80" s="16">
        <v>584</v>
      </c>
      <c r="L80" s="16">
        <v>1460</v>
      </c>
      <c r="M80" s="16">
        <v>156</v>
      </c>
      <c r="N80" s="16">
        <v>390</v>
      </c>
      <c r="O80" s="16"/>
      <c r="P80" s="16"/>
      <c r="Q80" s="16">
        <v>16</v>
      </c>
      <c r="R80" s="16">
        <v>38</v>
      </c>
      <c r="S80" s="16"/>
      <c r="T80" s="16"/>
      <c r="U80" s="16">
        <v>44</v>
      </c>
      <c r="V80" s="16">
        <v>110</v>
      </c>
      <c r="W80" s="16">
        <v>15</v>
      </c>
      <c r="X80" s="16">
        <v>36</v>
      </c>
      <c r="Y80" s="16"/>
      <c r="Z80" s="16"/>
      <c r="AA80" s="16"/>
      <c r="AB80" s="16"/>
      <c r="AC80" s="16"/>
      <c r="AD80" s="16"/>
      <c r="AE80" s="16">
        <v>36</v>
      </c>
      <c r="AF80" s="16">
        <v>90</v>
      </c>
      <c r="AG80" s="16"/>
      <c r="AH80" s="16"/>
      <c r="AI80" s="16"/>
      <c r="AJ80" s="16"/>
      <c r="AK80" s="16"/>
      <c r="AL80" s="16"/>
      <c r="AM80" s="16">
        <v>48</v>
      </c>
      <c r="AN80" s="16">
        <v>120</v>
      </c>
      <c r="AO80" s="15"/>
      <c r="AP80" s="15"/>
      <c r="AQ80" s="15">
        <v>64</v>
      </c>
      <c r="AR80" s="15">
        <v>160</v>
      </c>
      <c r="AS80" s="15"/>
      <c r="AT80" s="15"/>
      <c r="AU80" s="15">
        <v>1390</v>
      </c>
      <c r="AV80" s="15">
        <v>3474</v>
      </c>
      <c r="AW80" s="15"/>
      <c r="AX80" s="15"/>
      <c r="AY80" s="27">
        <f t="shared" si="7"/>
        <v>2401</v>
      </c>
      <c r="AZ80" s="27">
        <f t="shared" si="8"/>
        <v>5996</v>
      </c>
    </row>
    <row r="81" spans="1:52" x14ac:dyDescent="0.25">
      <c r="A81" s="13">
        <v>90</v>
      </c>
      <c r="B81" s="19" t="s">
        <v>200</v>
      </c>
      <c r="C81" s="26" t="s">
        <v>201</v>
      </c>
      <c r="D81" s="19" t="s">
        <v>42</v>
      </c>
      <c r="E81" s="16"/>
      <c r="F81" s="16"/>
      <c r="G81" s="16">
        <v>8</v>
      </c>
      <c r="H81" s="16">
        <v>20</v>
      </c>
      <c r="I81" s="16"/>
      <c r="J81" s="16"/>
      <c r="K81" s="16">
        <v>202</v>
      </c>
      <c r="L81" s="16">
        <v>504</v>
      </c>
      <c r="M81" s="16">
        <v>1552</v>
      </c>
      <c r="N81" s="16">
        <v>3878</v>
      </c>
      <c r="O81" s="16"/>
      <c r="P81" s="16"/>
      <c r="Q81" s="16">
        <v>7</v>
      </c>
      <c r="R81" s="16">
        <v>15</v>
      </c>
      <c r="S81" s="16"/>
      <c r="T81" s="16"/>
      <c r="U81" s="16">
        <v>128</v>
      </c>
      <c r="V81" s="16">
        <v>320</v>
      </c>
      <c r="W81" s="16"/>
      <c r="X81" s="16"/>
      <c r="Y81" s="16"/>
      <c r="Z81" s="16"/>
      <c r="AA81" s="16">
        <v>20</v>
      </c>
      <c r="AB81" s="16">
        <v>50</v>
      </c>
      <c r="AC81" s="16">
        <v>69</v>
      </c>
      <c r="AD81" s="16">
        <v>170</v>
      </c>
      <c r="AE81" s="16"/>
      <c r="AF81" s="16"/>
      <c r="AG81" s="16"/>
      <c r="AH81" s="16"/>
      <c r="AI81" s="16">
        <v>24</v>
      </c>
      <c r="AJ81" s="16">
        <v>60</v>
      </c>
      <c r="AK81" s="16"/>
      <c r="AL81" s="16"/>
      <c r="AM81" s="16"/>
      <c r="AN81" s="16"/>
      <c r="AO81" s="15">
        <v>6212</v>
      </c>
      <c r="AP81" s="15">
        <v>15527</v>
      </c>
      <c r="AQ81" s="15"/>
      <c r="AR81" s="15"/>
      <c r="AS81" s="15"/>
      <c r="AT81" s="15"/>
      <c r="AU81" s="15"/>
      <c r="AV81" s="15"/>
      <c r="AW81" s="15"/>
      <c r="AX81" s="15"/>
      <c r="AY81" s="27">
        <f t="shared" si="7"/>
        <v>8222</v>
      </c>
      <c r="AZ81" s="27">
        <f t="shared" si="8"/>
        <v>20544</v>
      </c>
    </row>
    <row r="82" spans="1:52" x14ac:dyDescent="0.25">
      <c r="A82" s="13">
        <v>91</v>
      </c>
      <c r="B82" s="19" t="s">
        <v>202</v>
      </c>
      <c r="C82" s="26" t="s">
        <v>203</v>
      </c>
      <c r="D82" s="19" t="s">
        <v>42</v>
      </c>
      <c r="E82" s="16">
        <v>102</v>
      </c>
      <c r="F82" s="16">
        <v>255</v>
      </c>
      <c r="G82" s="16">
        <v>2</v>
      </c>
      <c r="H82" s="16">
        <v>4</v>
      </c>
      <c r="I82" s="16"/>
      <c r="J82" s="16"/>
      <c r="K82" s="16">
        <v>64</v>
      </c>
      <c r="L82" s="16">
        <v>154</v>
      </c>
      <c r="M82" s="16">
        <v>1592</v>
      </c>
      <c r="N82" s="16">
        <v>3980</v>
      </c>
      <c r="O82" s="16"/>
      <c r="P82" s="16"/>
      <c r="Q82" s="16"/>
      <c r="R82" s="16"/>
      <c r="S82" s="16"/>
      <c r="T82" s="16"/>
      <c r="U82" s="16">
        <v>46</v>
      </c>
      <c r="V82" s="16">
        <v>113</v>
      </c>
      <c r="W82" s="16"/>
      <c r="X82" s="16"/>
      <c r="Y82" s="16">
        <v>8</v>
      </c>
      <c r="Z82" s="16">
        <v>18</v>
      </c>
      <c r="AA82" s="16">
        <v>40</v>
      </c>
      <c r="AB82" s="16">
        <v>100</v>
      </c>
      <c r="AC82" s="16">
        <v>25</v>
      </c>
      <c r="AD82" s="16">
        <v>60</v>
      </c>
      <c r="AE82" s="16"/>
      <c r="AF82" s="16"/>
      <c r="AG82" s="16"/>
      <c r="AH82" s="16"/>
      <c r="AI82" s="16"/>
      <c r="AJ82" s="16"/>
      <c r="AK82" s="16">
        <v>8</v>
      </c>
      <c r="AL82" s="16">
        <v>20</v>
      </c>
      <c r="AM82" s="16"/>
      <c r="AN82" s="16"/>
      <c r="AO82" s="15">
        <v>440</v>
      </c>
      <c r="AP82" s="15">
        <v>1100</v>
      </c>
      <c r="AQ82" s="15">
        <v>28</v>
      </c>
      <c r="AR82" s="15">
        <v>70</v>
      </c>
      <c r="AS82" s="15"/>
      <c r="AT82" s="15"/>
      <c r="AU82" s="15"/>
      <c r="AV82" s="15"/>
      <c r="AW82" s="15"/>
      <c r="AX82" s="15"/>
      <c r="AY82" s="27">
        <f t="shared" si="7"/>
        <v>2355</v>
      </c>
      <c r="AZ82" s="27">
        <f t="shared" si="8"/>
        <v>5874</v>
      </c>
    </row>
    <row r="83" spans="1:52" x14ac:dyDescent="0.25">
      <c r="A83" s="13">
        <v>92</v>
      </c>
      <c r="B83" s="19" t="s">
        <v>204</v>
      </c>
      <c r="C83" s="26" t="s">
        <v>205</v>
      </c>
      <c r="D83" s="19" t="s">
        <v>42</v>
      </c>
      <c r="E83" s="16">
        <v>80</v>
      </c>
      <c r="F83" s="16">
        <v>200</v>
      </c>
      <c r="G83" s="16">
        <v>40</v>
      </c>
      <c r="H83" s="16">
        <v>100</v>
      </c>
      <c r="I83" s="16">
        <v>4800</v>
      </c>
      <c r="J83" s="16">
        <v>12000</v>
      </c>
      <c r="K83" s="16">
        <v>44</v>
      </c>
      <c r="L83" s="16">
        <v>110</v>
      </c>
      <c r="M83" s="16">
        <v>300</v>
      </c>
      <c r="N83" s="16">
        <v>748</v>
      </c>
      <c r="O83" s="16">
        <v>29</v>
      </c>
      <c r="P83" s="16">
        <v>70</v>
      </c>
      <c r="Q83" s="16">
        <v>210</v>
      </c>
      <c r="R83" s="16">
        <v>524</v>
      </c>
      <c r="S83" s="16">
        <v>9</v>
      </c>
      <c r="T83" s="16">
        <v>20</v>
      </c>
      <c r="U83" s="16">
        <v>264</v>
      </c>
      <c r="V83" s="16">
        <v>660</v>
      </c>
      <c r="W83" s="16">
        <v>151</v>
      </c>
      <c r="X83" s="16">
        <v>376</v>
      </c>
      <c r="Y83" s="16"/>
      <c r="Z83" s="16"/>
      <c r="AA83" s="16"/>
      <c r="AB83" s="16"/>
      <c r="AC83" s="16">
        <v>4</v>
      </c>
      <c r="AD83" s="16">
        <v>9</v>
      </c>
      <c r="AE83" s="16">
        <v>240</v>
      </c>
      <c r="AF83" s="16">
        <v>600</v>
      </c>
      <c r="AG83" s="16"/>
      <c r="AH83" s="16"/>
      <c r="AI83" s="16">
        <v>64</v>
      </c>
      <c r="AJ83" s="16">
        <v>160</v>
      </c>
      <c r="AK83" s="16">
        <v>32</v>
      </c>
      <c r="AL83" s="16">
        <v>80</v>
      </c>
      <c r="AM83" s="16">
        <v>768</v>
      </c>
      <c r="AN83" s="16">
        <v>1920</v>
      </c>
      <c r="AO83" s="15">
        <v>140</v>
      </c>
      <c r="AP83" s="15">
        <v>350</v>
      </c>
      <c r="AQ83" s="15">
        <v>30</v>
      </c>
      <c r="AR83" s="15">
        <v>72</v>
      </c>
      <c r="AS83" s="15"/>
      <c r="AT83" s="15"/>
      <c r="AU83" s="15"/>
      <c r="AV83" s="15"/>
      <c r="AW83" s="15"/>
      <c r="AX83" s="15"/>
      <c r="AY83" s="27">
        <f t="shared" si="7"/>
        <v>7205</v>
      </c>
      <c r="AZ83" s="27">
        <f t="shared" si="8"/>
        <v>17999</v>
      </c>
    </row>
    <row r="84" spans="1:52" x14ac:dyDescent="0.25">
      <c r="A84" s="13">
        <v>93</v>
      </c>
      <c r="B84" s="19" t="s">
        <v>206</v>
      </c>
      <c r="C84" s="26" t="s">
        <v>207</v>
      </c>
      <c r="D84" s="19" t="s">
        <v>42</v>
      </c>
      <c r="E84" s="16">
        <v>108</v>
      </c>
      <c r="F84" s="16">
        <v>270</v>
      </c>
      <c r="G84" s="16"/>
      <c r="H84" s="16"/>
      <c r="I84" s="16"/>
      <c r="J84" s="16"/>
      <c r="K84" s="16"/>
      <c r="L84" s="16"/>
      <c r="M84" s="16">
        <v>192</v>
      </c>
      <c r="N84" s="16">
        <v>480</v>
      </c>
      <c r="O84" s="16"/>
      <c r="P84" s="16"/>
      <c r="Q84" s="16"/>
      <c r="R84" s="16"/>
      <c r="S84" s="16"/>
      <c r="T84" s="16"/>
      <c r="U84" s="16"/>
      <c r="V84" s="16"/>
      <c r="W84" s="16"/>
      <c r="X84" s="16"/>
      <c r="Y84" s="16"/>
      <c r="Z84" s="16"/>
      <c r="AA84" s="16">
        <v>20</v>
      </c>
      <c r="AB84" s="16">
        <v>48</v>
      </c>
      <c r="AC84" s="16">
        <v>176</v>
      </c>
      <c r="AD84" s="16">
        <v>440</v>
      </c>
      <c r="AE84" s="16"/>
      <c r="AF84" s="16"/>
      <c r="AG84" s="16"/>
      <c r="AH84" s="16"/>
      <c r="AI84" s="16"/>
      <c r="AJ84" s="16"/>
      <c r="AK84" s="16">
        <v>16</v>
      </c>
      <c r="AL84" s="16">
        <v>40</v>
      </c>
      <c r="AM84" s="16"/>
      <c r="AN84" s="16"/>
      <c r="AO84" s="15">
        <v>128</v>
      </c>
      <c r="AP84" s="15">
        <v>320</v>
      </c>
      <c r="AQ84" s="15">
        <v>24</v>
      </c>
      <c r="AR84" s="15">
        <v>60</v>
      </c>
      <c r="AS84" s="15"/>
      <c r="AT84" s="15"/>
      <c r="AU84" s="15"/>
      <c r="AV84" s="15"/>
      <c r="AW84" s="15"/>
      <c r="AX84" s="15"/>
      <c r="AY84" s="27">
        <f t="shared" si="7"/>
        <v>664</v>
      </c>
      <c r="AZ84" s="27">
        <f t="shared" si="8"/>
        <v>1658</v>
      </c>
    </row>
    <row r="85" spans="1:52" x14ac:dyDescent="0.25">
      <c r="A85" s="13">
        <v>94</v>
      </c>
      <c r="B85" s="19" t="s">
        <v>208</v>
      </c>
      <c r="C85" s="26" t="s">
        <v>209</v>
      </c>
      <c r="D85" s="19" t="s">
        <v>42</v>
      </c>
      <c r="E85" s="16"/>
      <c r="F85" s="16"/>
      <c r="G85" s="16">
        <v>28</v>
      </c>
      <c r="H85" s="16">
        <v>66</v>
      </c>
      <c r="I85" s="16"/>
      <c r="J85" s="16"/>
      <c r="K85" s="16">
        <v>340</v>
      </c>
      <c r="L85" s="16">
        <v>850</v>
      </c>
      <c r="M85" s="16"/>
      <c r="N85" s="16"/>
      <c r="O85" s="16"/>
      <c r="P85" s="16"/>
      <c r="Q85" s="16"/>
      <c r="R85" s="16"/>
      <c r="S85" s="16"/>
      <c r="T85" s="16"/>
      <c r="U85" s="16"/>
      <c r="V85" s="16"/>
      <c r="W85" s="16">
        <v>32</v>
      </c>
      <c r="X85" s="16">
        <v>80</v>
      </c>
      <c r="Y85" s="16"/>
      <c r="Z85" s="16"/>
      <c r="AA85" s="16">
        <v>2</v>
      </c>
      <c r="AB85" s="16">
        <v>4</v>
      </c>
      <c r="AC85" s="16"/>
      <c r="AD85" s="16"/>
      <c r="AE85" s="16">
        <v>96</v>
      </c>
      <c r="AF85" s="16">
        <v>240</v>
      </c>
      <c r="AG85" s="16"/>
      <c r="AH85" s="16"/>
      <c r="AI85" s="16">
        <v>202</v>
      </c>
      <c r="AJ85" s="16">
        <v>502</v>
      </c>
      <c r="AK85" s="16"/>
      <c r="AL85" s="16"/>
      <c r="AM85" s="16"/>
      <c r="AN85" s="16"/>
      <c r="AO85" s="15">
        <v>30</v>
      </c>
      <c r="AP85" s="15">
        <v>72</v>
      </c>
      <c r="AQ85" s="15"/>
      <c r="AR85" s="15"/>
      <c r="AS85" s="15"/>
      <c r="AT85" s="15"/>
      <c r="AU85" s="15"/>
      <c r="AV85" s="15"/>
      <c r="AW85" s="15"/>
      <c r="AX85" s="15"/>
      <c r="AY85" s="27">
        <f t="shared" si="7"/>
        <v>730</v>
      </c>
      <c r="AZ85" s="27">
        <f t="shared" si="8"/>
        <v>1814</v>
      </c>
    </row>
    <row r="86" spans="1:52" x14ac:dyDescent="0.25">
      <c r="A86" s="13">
        <v>95</v>
      </c>
      <c r="B86" s="19" t="s">
        <v>210</v>
      </c>
      <c r="C86" s="26" t="s">
        <v>211</v>
      </c>
      <c r="D86" s="19" t="s">
        <v>42</v>
      </c>
      <c r="E86" s="16">
        <v>6</v>
      </c>
      <c r="F86" s="16">
        <v>12</v>
      </c>
      <c r="G86" s="16">
        <v>604</v>
      </c>
      <c r="H86" s="16">
        <v>1508</v>
      </c>
      <c r="I86" s="16"/>
      <c r="J86" s="16"/>
      <c r="K86" s="16"/>
      <c r="L86" s="16"/>
      <c r="M86" s="16">
        <v>880</v>
      </c>
      <c r="N86" s="16">
        <v>2200</v>
      </c>
      <c r="O86" s="16">
        <v>280</v>
      </c>
      <c r="P86" s="16">
        <v>700</v>
      </c>
      <c r="Q86" s="16">
        <v>64</v>
      </c>
      <c r="R86" s="16">
        <v>160</v>
      </c>
      <c r="S86" s="16">
        <v>6</v>
      </c>
      <c r="T86" s="16">
        <v>11</v>
      </c>
      <c r="U86" s="16">
        <v>88</v>
      </c>
      <c r="V86" s="16">
        <v>220</v>
      </c>
      <c r="W86" s="16"/>
      <c r="X86" s="16"/>
      <c r="Y86" s="16"/>
      <c r="Z86" s="16"/>
      <c r="AA86" s="16">
        <v>32</v>
      </c>
      <c r="AB86" s="16">
        <v>80</v>
      </c>
      <c r="AC86" s="16">
        <v>36</v>
      </c>
      <c r="AD86" s="16">
        <v>88</v>
      </c>
      <c r="AE86" s="16"/>
      <c r="AF86" s="16"/>
      <c r="AG86" s="16"/>
      <c r="AH86" s="16"/>
      <c r="AI86" s="16">
        <v>64</v>
      </c>
      <c r="AJ86" s="16">
        <v>160</v>
      </c>
      <c r="AK86" s="16">
        <v>58</v>
      </c>
      <c r="AL86" s="16">
        <v>144</v>
      </c>
      <c r="AM86" s="16"/>
      <c r="AN86" s="16"/>
      <c r="AO86" s="15"/>
      <c r="AP86" s="15"/>
      <c r="AQ86" s="15">
        <v>720</v>
      </c>
      <c r="AR86" s="15">
        <v>1800</v>
      </c>
      <c r="AS86" s="15"/>
      <c r="AT86" s="15"/>
      <c r="AU86" s="15"/>
      <c r="AV86" s="15"/>
      <c r="AW86" s="15"/>
      <c r="AX86" s="15"/>
      <c r="AY86" s="27">
        <f t="shared" si="7"/>
        <v>2838</v>
      </c>
      <c r="AZ86" s="27">
        <f t="shared" si="8"/>
        <v>7083</v>
      </c>
    </row>
    <row r="87" spans="1:52" x14ac:dyDescent="0.25">
      <c r="A87" s="13">
        <v>97</v>
      </c>
      <c r="B87" s="19" t="s">
        <v>212</v>
      </c>
      <c r="C87" s="26" t="s">
        <v>213</v>
      </c>
      <c r="D87" s="19" t="s">
        <v>42</v>
      </c>
      <c r="E87" s="16"/>
      <c r="F87" s="16"/>
      <c r="G87" s="16">
        <v>2020</v>
      </c>
      <c r="H87" s="16">
        <v>5050</v>
      </c>
      <c r="I87" s="16"/>
      <c r="J87" s="16"/>
      <c r="K87" s="16"/>
      <c r="L87" s="16"/>
      <c r="M87" s="16"/>
      <c r="N87" s="16"/>
      <c r="O87" s="16">
        <v>140</v>
      </c>
      <c r="P87" s="16">
        <v>350</v>
      </c>
      <c r="Q87" s="16"/>
      <c r="R87" s="16"/>
      <c r="S87" s="16"/>
      <c r="T87" s="16"/>
      <c r="U87" s="16">
        <v>44</v>
      </c>
      <c r="V87" s="16">
        <v>110</v>
      </c>
      <c r="W87" s="16"/>
      <c r="X87" s="16"/>
      <c r="Y87" s="16"/>
      <c r="Z87" s="16"/>
      <c r="AA87" s="16">
        <v>10</v>
      </c>
      <c r="AB87" s="16">
        <v>24</v>
      </c>
      <c r="AC87" s="16"/>
      <c r="AD87" s="16"/>
      <c r="AE87" s="16"/>
      <c r="AF87" s="16"/>
      <c r="AG87" s="16"/>
      <c r="AH87" s="16"/>
      <c r="AI87" s="16">
        <v>48</v>
      </c>
      <c r="AJ87" s="16">
        <v>120</v>
      </c>
      <c r="AK87" s="16"/>
      <c r="AL87" s="16"/>
      <c r="AM87" s="16"/>
      <c r="AN87" s="16"/>
      <c r="AO87" s="15"/>
      <c r="AP87" s="15"/>
      <c r="AQ87" s="15">
        <v>80</v>
      </c>
      <c r="AR87" s="15">
        <v>200</v>
      </c>
      <c r="AS87" s="15"/>
      <c r="AT87" s="15"/>
      <c r="AU87" s="15"/>
      <c r="AV87" s="15"/>
      <c r="AW87" s="15"/>
      <c r="AX87" s="15"/>
      <c r="AY87" s="27">
        <f t="shared" si="7"/>
        <v>2342</v>
      </c>
      <c r="AZ87" s="27">
        <f t="shared" si="8"/>
        <v>5854</v>
      </c>
    </row>
    <row r="88" spans="1:52" x14ac:dyDescent="0.25">
      <c r="A88" s="13">
        <v>98</v>
      </c>
      <c r="B88" s="19" t="s">
        <v>214</v>
      </c>
      <c r="C88" s="26" t="s">
        <v>215</v>
      </c>
      <c r="D88" s="19" t="s">
        <v>42</v>
      </c>
      <c r="E88" s="16"/>
      <c r="F88" s="16"/>
      <c r="G88" s="16">
        <v>800</v>
      </c>
      <c r="H88" s="16">
        <v>2000</v>
      </c>
      <c r="I88" s="16">
        <v>123</v>
      </c>
      <c r="J88" s="16">
        <v>307</v>
      </c>
      <c r="K88" s="16">
        <v>122</v>
      </c>
      <c r="L88" s="16">
        <v>302</v>
      </c>
      <c r="M88" s="16"/>
      <c r="N88" s="16"/>
      <c r="O88" s="16">
        <v>337</v>
      </c>
      <c r="P88" s="16">
        <v>840</v>
      </c>
      <c r="Q88" s="16">
        <v>162</v>
      </c>
      <c r="R88" s="16">
        <v>404</v>
      </c>
      <c r="S88" s="16">
        <v>1</v>
      </c>
      <c r="T88" s="16">
        <v>1</v>
      </c>
      <c r="U88" s="16"/>
      <c r="V88" s="16"/>
      <c r="W88" s="16"/>
      <c r="X88" s="16"/>
      <c r="Y88" s="16"/>
      <c r="Z88" s="16"/>
      <c r="AA88" s="16">
        <v>24</v>
      </c>
      <c r="AB88" s="16">
        <v>60</v>
      </c>
      <c r="AC88" s="16">
        <v>7</v>
      </c>
      <c r="AD88" s="16">
        <v>15</v>
      </c>
      <c r="AE88" s="16"/>
      <c r="AF88" s="16"/>
      <c r="AG88" s="16"/>
      <c r="AH88" s="16"/>
      <c r="AI88" s="16"/>
      <c r="AJ88" s="16"/>
      <c r="AK88" s="16"/>
      <c r="AL88" s="16"/>
      <c r="AM88" s="16"/>
      <c r="AN88" s="16"/>
      <c r="AO88" s="15"/>
      <c r="AP88" s="15"/>
      <c r="AQ88" s="15">
        <v>456</v>
      </c>
      <c r="AR88" s="15">
        <v>1140</v>
      </c>
      <c r="AS88" s="15"/>
      <c r="AT88" s="15"/>
      <c r="AU88" s="15"/>
      <c r="AV88" s="15"/>
      <c r="AW88" s="15">
        <v>2</v>
      </c>
      <c r="AX88" s="15">
        <v>2</v>
      </c>
      <c r="AY88" s="27">
        <f t="shared" si="7"/>
        <v>2034</v>
      </c>
      <c r="AZ88" s="27">
        <f t="shared" si="8"/>
        <v>5071</v>
      </c>
    </row>
    <row r="89" spans="1:52" x14ac:dyDescent="0.25">
      <c r="A89" s="13">
        <v>99</v>
      </c>
      <c r="B89" s="19" t="s">
        <v>216</v>
      </c>
      <c r="C89" s="26" t="s">
        <v>217</v>
      </c>
      <c r="D89" s="19" t="s">
        <v>42</v>
      </c>
      <c r="E89" s="16"/>
      <c r="F89" s="16"/>
      <c r="G89" s="16">
        <v>348</v>
      </c>
      <c r="H89" s="16">
        <v>870</v>
      </c>
      <c r="I89" s="16"/>
      <c r="J89" s="16"/>
      <c r="K89" s="16"/>
      <c r="L89" s="16"/>
      <c r="M89" s="16"/>
      <c r="N89" s="16"/>
      <c r="O89" s="16">
        <v>20</v>
      </c>
      <c r="P89" s="16">
        <v>50</v>
      </c>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5"/>
      <c r="AP89" s="15"/>
      <c r="AQ89" s="15"/>
      <c r="AR89" s="15"/>
      <c r="AS89" s="15"/>
      <c r="AT89" s="15"/>
      <c r="AU89" s="15"/>
      <c r="AV89" s="15"/>
      <c r="AW89" s="15"/>
      <c r="AX89" s="15"/>
      <c r="AY89" s="27">
        <f t="shared" si="7"/>
        <v>368</v>
      </c>
      <c r="AZ89" s="27">
        <f t="shared" si="8"/>
        <v>920</v>
      </c>
    </row>
    <row r="90" spans="1:52" x14ac:dyDescent="0.25">
      <c r="A90" s="13">
        <v>101</v>
      </c>
      <c r="B90" s="19" t="s">
        <v>218</v>
      </c>
      <c r="C90" s="26" t="s">
        <v>219</v>
      </c>
      <c r="D90" s="19" t="s">
        <v>42</v>
      </c>
      <c r="E90" s="16"/>
      <c r="F90" s="16"/>
      <c r="G90" s="16">
        <v>400</v>
      </c>
      <c r="H90" s="16">
        <v>1000</v>
      </c>
      <c r="I90" s="16">
        <v>480</v>
      </c>
      <c r="J90" s="16">
        <v>1200</v>
      </c>
      <c r="K90" s="16">
        <v>896</v>
      </c>
      <c r="L90" s="16">
        <v>2240</v>
      </c>
      <c r="M90" s="16"/>
      <c r="N90" s="16"/>
      <c r="O90" s="16"/>
      <c r="P90" s="16"/>
      <c r="Q90" s="16">
        <v>18</v>
      </c>
      <c r="R90" s="16">
        <v>42</v>
      </c>
      <c r="S90" s="16"/>
      <c r="T90" s="16"/>
      <c r="U90" s="16"/>
      <c r="V90" s="16"/>
      <c r="W90" s="16"/>
      <c r="X90" s="16"/>
      <c r="Y90" s="16"/>
      <c r="Z90" s="16"/>
      <c r="AA90" s="16"/>
      <c r="AB90" s="16"/>
      <c r="AC90" s="16">
        <v>40</v>
      </c>
      <c r="AD90" s="16">
        <v>99</v>
      </c>
      <c r="AE90" s="16"/>
      <c r="AF90" s="16"/>
      <c r="AG90" s="16"/>
      <c r="AH90" s="16"/>
      <c r="AI90" s="16">
        <v>40</v>
      </c>
      <c r="AJ90" s="16">
        <v>100</v>
      </c>
      <c r="AK90" s="16"/>
      <c r="AL90" s="16"/>
      <c r="AM90" s="16"/>
      <c r="AN90" s="16"/>
      <c r="AO90" s="15"/>
      <c r="AP90" s="15"/>
      <c r="AQ90" s="15">
        <v>48</v>
      </c>
      <c r="AR90" s="15">
        <v>120</v>
      </c>
      <c r="AS90" s="15"/>
      <c r="AT90" s="15"/>
      <c r="AU90" s="15"/>
      <c r="AV90" s="15"/>
      <c r="AW90" s="15"/>
      <c r="AX90" s="15"/>
      <c r="AY90" s="27">
        <f t="shared" si="7"/>
        <v>1922</v>
      </c>
      <c r="AZ90" s="27">
        <f t="shared" si="8"/>
        <v>4801</v>
      </c>
    </row>
    <row r="91" spans="1:52" x14ac:dyDescent="0.25">
      <c r="A91" s="13">
        <v>102</v>
      </c>
      <c r="B91" s="19" t="s">
        <v>220</v>
      </c>
      <c r="C91" s="26" t="s">
        <v>221</v>
      </c>
      <c r="D91" s="19" t="s">
        <v>42</v>
      </c>
      <c r="E91" s="16">
        <v>128</v>
      </c>
      <c r="F91" s="16">
        <v>320</v>
      </c>
      <c r="G91" s="16">
        <v>2052</v>
      </c>
      <c r="H91" s="16">
        <v>5126</v>
      </c>
      <c r="I91" s="16">
        <v>132</v>
      </c>
      <c r="J91" s="16">
        <v>328</v>
      </c>
      <c r="K91" s="16">
        <v>2600</v>
      </c>
      <c r="L91" s="16">
        <v>6496</v>
      </c>
      <c r="M91" s="16">
        <v>334</v>
      </c>
      <c r="N91" s="16">
        <v>830</v>
      </c>
      <c r="O91" s="16"/>
      <c r="P91" s="16"/>
      <c r="Q91" s="16">
        <v>428</v>
      </c>
      <c r="R91" s="16">
        <v>1070</v>
      </c>
      <c r="S91" s="16">
        <v>10</v>
      </c>
      <c r="T91" s="16">
        <v>23</v>
      </c>
      <c r="U91" s="16">
        <v>924</v>
      </c>
      <c r="V91" s="16">
        <v>2310</v>
      </c>
      <c r="W91" s="16">
        <v>480</v>
      </c>
      <c r="X91" s="16">
        <v>1200</v>
      </c>
      <c r="Y91" s="16">
        <v>160</v>
      </c>
      <c r="Z91" s="16">
        <v>400</v>
      </c>
      <c r="AA91" s="16">
        <v>40</v>
      </c>
      <c r="AB91" s="16">
        <v>100</v>
      </c>
      <c r="AC91" s="16">
        <v>477</v>
      </c>
      <c r="AD91" s="16">
        <v>1192</v>
      </c>
      <c r="AE91" s="16">
        <v>64</v>
      </c>
      <c r="AF91" s="16">
        <v>155</v>
      </c>
      <c r="AG91" s="16">
        <v>576</v>
      </c>
      <c r="AH91" s="16">
        <v>1440</v>
      </c>
      <c r="AI91" s="16">
        <v>730</v>
      </c>
      <c r="AJ91" s="16">
        <v>1824</v>
      </c>
      <c r="AK91" s="16">
        <v>2992</v>
      </c>
      <c r="AL91" s="16">
        <v>7480</v>
      </c>
      <c r="AM91" s="16">
        <v>78</v>
      </c>
      <c r="AN91" s="16">
        <v>192</v>
      </c>
      <c r="AO91" s="15">
        <v>1080</v>
      </c>
      <c r="AP91" s="15">
        <v>2700</v>
      </c>
      <c r="AQ91" s="15">
        <v>424</v>
      </c>
      <c r="AR91" s="15">
        <v>1060</v>
      </c>
      <c r="AS91" s="15">
        <v>84</v>
      </c>
      <c r="AT91" s="15">
        <v>210</v>
      </c>
      <c r="AU91" s="15">
        <v>160</v>
      </c>
      <c r="AV91" s="15">
        <v>400</v>
      </c>
      <c r="AW91" s="15"/>
      <c r="AX91" s="15"/>
      <c r="AY91" s="27">
        <f t="shared" si="7"/>
        <v>13953</v>
      </c>
      <c r="AZ91" s="27">
        <f t="shared" si="8"/>
        <v>34856</v>
      </c>
    </row>
    <row r="92" spans="1:52" x14ac:dyDescent="0.25">
      <c r="A92" s="13">
        <v>103</v>
      </c>
      <c r="B92" s="19" t="s">
        <v>222</v>
      </c>
      <c r="C92" s="26" t="s">
        <v>223</v>
      </c>
      <c r="D92" s="19" t="s">
        <v>42</v>
      </c>
      <c r="E92" s="16">
        <v>66</v>
      </c>
      <c r="F92" s="16">
        <v>165</v>
      </c>
      <c r="G92" s="16">
        <v>1456</v>
      </c>
      <c r="H92" s="16">
        <v>3632</v>
      </c>
      <c r="I92" s="16">
        <v>3200</v>
      </c>
      <c r="J92" s="16">
        <v>8000</v>
      </c>
      <c r="K92" s="16">
        <v>4270</v>
      </c>
      <c r="L92" s="16">
        <v>10672</v>
      </c>
      <c r="M92" s="16">
        <v>1064</v>
      </c>
      <c r="N92" s="16">
        <v>2658</v>
      </c>
      <c r="O92" s="16">
        <v>43</v>
      </c>
      <c r="P92" s="16">
        <v>105</v>
      </c>
      <c r="Q92" s="16">
        <v>428</v>
      </c>
      <c r="R92" s="16">
        <v>1070</v>
      </c>
      <c r="S92" s="16">
        <v>14</v>
      </c>
      <c r="T92" s="16">
        <v>35</v>
      </c>
      <c r="U92" s="16">
        <v>264</v>
      </c>
      <c r="V92" s="16">
        <v>660</v>
      </c>
      <c r="W92" s="16">
        <v>144</v>
      </c>
      <c r="X92" s="16">
        <v>360</v>
      </c>
      <c r="Y92" s="16">
        <v>200</v>
      </c>
      <c r="Z92" s="16">
        <v>500</v>
      </c>
      <c r="AA92" s="16">
        <v>80</v>
      </c>
      <c r="AB92" s="16">
        <v>200</v>
      </c>
      <c r="AC92" s="16">
        <v>51</v>
      </c>
      <c r="AD92" s="16">
        <v>125</v>
      </c>
      <c r="AE92" s="16">
        <v>50</v>
      </c>
      <c r="AF92" s="16">
        <v>120</v>
      </c>
      <c r="AG92" s="16">
        <v>2168</v>
      </c>
      <c r="AH92" s="16">
        <v>5420</v>
      </c>
      <c r="AI92" s="16">
        <v>1548</v>
      </c>
      <c r="AJ92" s="16">
        <v>3868</v>
      </c>
      <c r="AK92" s="16">
        <v>64</v>
      </c>
      <c r="AL92" s="16">
        <v>160</v>
      </c>
      <c r="AM92" s="16">
        <v>40</v>
      </c>
      <c r="AN92" s="16">
        <v>96</v>
      </c>
      <c r="AO92" s="15">
        <v>152</v>
      </c>
      <c r="AP92" s="15">
        <v>380</v>
      </c>
      <c r="AQ92" s="15">
        <v>40</v>
      </c>
      <c r="AR92" s="15">
        <v>96</v>
      </c>
      <c r="AS92" s="15"/>
      <c r="AT92" s="15"/>
      <c r="AU92" s="15"/>
      <c r="AV92" s="15"/>
      <c r="AW92" s="15"/>
      <c r="AX92" s="15"/>
      <c r="AY92" s="27">
        <f t="shared" si="7"/>
        <v>15342</v>
      </c>
      <c r="AZ92" s="27">
        <f t="shared" si="8"/>
        <v>38322</v>
      </c>
    </row>
    <row r="93" spans="1:52" x14ac:dyDescent="0.25">
      <c r="A93" s="13">
        <v>104</v>
      </c>
      <c r="B93" s="19" t="s">
        <v>224</v>
      </c>
      <c r="C93" s="26" t="s">
        <v>225</v>
      </c>
      <c r="D93" s="19" t="s">
        <v>42</v>
      </c>
      <c r="E93" s="16">
        <v>100</v>
      </c>
      <c r="F93" s="16">
        <v>250</v>
      </c>
      <c r="G93" s="16">
        <v>100</v>
      </c>
      <c r="H93" s="16">
        <v>248</v>
      </c>
      <c r="I93" s="16"/>
      <c r="J93" s="16"/>
      <c r="K93" s="16">
        <v>30</v>
      </c>
      <c r="L93" s="16">
        <v>73</v>
      </c>
      <c r="M93" s="16">
        <v>2796</v>
      </c>
      <c r="N93" s="16">
        <v>6990</v>
      </c>
      <c r="O93" s="16"/>
      <c r="P93" s="16"/>
      <c r="Q93" s="16"/>
      <c r="R93" s="16"/>
      <c r="S93" s="16"/>
      <c r="T93" s="16"/>
      <c r="U93" s="16">
        <v>44</v>
      </c>
      <c r="V93" s="16">
        <v>110</v>
      </c>
      <c r="W93" s="16"/>
      <c r="X93" s="16"/>
      <c r="Y93" s="16">
        <v>20</v>
      </c>
      <c r="Z93" s="16">
        <v>50</v>
      </c>
      <c r="AA93" s="16">
        <v>80</v>
      </c>
      <c r="AB93" s="16">
        <v>200</v>
      </c>
      <c r="AC93" s="16">
        <v>44</v>
      </c>
      <c r="AD93" s="16">
        <v>110</v>
      </c>
      <c r="AE93" s="16"/>
      <c r="AF93" s="16"/>
      <c r="AG93" s="16"/>
      <c r="AH93" s="16"/>
      <c r="AI93" s="16">
        <v>288</v>
      </c>
      <c r="AJ93" s="16">
        <v>720</v>
      </c>
      <c r="AK93" s="16"/>
      <c r="AL93" s="16"/>
      <c r="AM93" s="16"/>
      <c r="AN93" s="16"/>
      <c r="AO93" s="15">
        <v>208</v>
      </c>
      <c r="AP93" s="15">
        <v>520</v>
      </c>
      <c r="AQ93" s="15">
        <v>308</v>
      </c>
      <c r="AR93" s="15">
        <v>770</v>
      </c>
      <c r="AS93" s="15"/>
      <c r="AT93" s="15"/>
      <c r="AU93" s="15"/>
      <c r="AV93" s="15"/>
      <c r="AW93" s="15"/>
      <c r="AX93" s="15"/>
      <c r="AY93" s="27">
        <f t="shared" si="7"/>
        <v>4018</v>
      </c>
      <c r="AZ93" s="27">
        <f t="shared" si="8"/>
        <v>10041</v>
      </c>
    </row>
    <row r="94" spans="1:52" x14ac:dyDescent="0.25">
      <c r="A94" s="13">
        <v>105</v>
      </c>
      <c r="B94" s="19" t="s">
        <v>226</v>
      </c>
      <c r="C94" s="26" t="s">
        <v>227</v>
      </c>
      <c r="D94" s="19" t="s">
        <v>42</v>
      </c>
      <c r="E94" s="16"/>
      <c r="F94" s="16"/>
      <c r="G94" s="16">
        <v>128</v>
      </c>
      <c r="H94" s="16">
        <v>316</v>
      </c>
      <c r="I94" s="16">
        <v>640</v>
      </c>
      <c r="J94" s="16">
        <v>1596</v>
      </c>
      <c r="K94" s="16">
        <v>812</v>
      </c>
      <c r="L94" s="16">
        <v>2030</v>
      </c>
      <c r="M94" s="16"/>
      <c r="N94" s="16"/>
      <c r="O94" s="16">
        <v>77</v>
      </c>
      <c r="P94" s="16">
        <v>189</v>
      </c>
      <c r="Q94" s="16">
        <v>16</v>
      </c>
      <c r="R94" s="16">
        <v>38</v>
      </c>
      <c r="S94" s="16">
        <v>10</v>
      </c>
      <c r="T94" s="16">
        <v>23</v>
      </c>
      <c r="U94" s="16">
        <v>176</v>
      </c>
      <c r="V94" s="16">
        <v>440</v>
      </c>
      <c r="W94" s="16">
        <v>1760</v>
      </c>
      <c r="X94" s="16">
        <v>4400</v>
      </c>
      <c r="Y94" s="16">
        <v>238</v>
      </c>
      <c r="Z94" s="16">
        <v>592</v>
      </c>
      <c r="AA94" s="16"/>
      <c r="AB94" s="16"/>
      <c r="AC94" s="16"/>
      <c r="AD94" s="16"/>
      <c r="AE94" s="16">
        <v>480</v>
      </c>
      <c r="AF94" s="16">
        <v>1200</v>
      </c>
      <c r="AG94" s="16">
        <v>60</v>
      </c>
      <c r="AH94" s="16">
        <v>150</v>
      </c>
      <c r="AI94" s="16">
        <v>560</v>
      </c>
      <c r="AJ94" s="16">
        <v>1400</v>
      </c>
      <c r="AK94" s="16">
        <v>1932</v>
      </c>
      <c r="AL94" s="16">
        <v>4830</v>
      </c>
      <c r="AM94" s="16"/>
      <c r="AN94" s="16"/>
      <c r="AO94" s="15">
        <v>18</v>
      </c>
      <c r="AP94" s="15">
        <v>42</v>
      </c>
      <c r="AQ94" s="15"/>
      <c r="AR94" s="15"/>
      <c r="AS94" s="15"/>
      <c r="AT94" s="15"/>
      <c r="AU94" s="15"/>
      <c r="AV94" s="15"/>
      <c r="AW94" s="15"/>
      <c r="AX94" s="15"/>
      <c r="AY94" s="27">
        <f t="shared" si="7"/>
        <v>6907</v>
      </c>
      <c r="AZ94" s="27">
        <f t="shared" si="8"/>
        <v>17246</v>
      </c>
    </row>
    <row r="95" spans="1:52" x14ac:dyDescent="0.25">
      <c r="A95" s="13">
        <v>106</v>
      </c>
      <c r="B95" s="19" t="s">
        <v>228</v>
      </c>
      <c r="C95" s="26" t="s">
        <v>229</v>
      </c>
      <c r="D95" s="19" t="s">
        <v>42</v>
      </c>
      <c r="E95" s="16">
        <v>48</v>
      </c>
      <c r="F95" s="16">
        <v>120</v>
      </c>
      <c r="G95" s="16">
        <v>948</v>
      </c>
      <c r="H95" s="16">
        <v>2370</v>
      </c>
      <c r="I95" s="16"/>
      <c r="J95" s="16"/>
      <c r="K95" s="16">
        <v>1240</v>
      </c>
      <c r="L95" s="16">
        <v>3100</v>
      </c>
      <c r="M95" s="16"/>
      <c r="N95" s="16"/>
      <c r="O95" s="16"/>
      <c r="P95" s="16"/>
      <c r="Q95" s="16">
        <v>8</v>
      </c>
      <c r="R95" s="16">
        <v>20</v>
      </c>
      <c r="S95" s="16">
        <v>17</v>
      </c>
      <c r="T95" s="16">
        <v>40</v>
      </c>
      <c r="U95" s="16"/>
      <c r="V95" s="16"/>
      <c r="W95" s="16">
        <v>360</v>
      </c>
      <c r="X95" s="16">
        <v>900</v>
      </c>
      <c r="Y95" s="16">
        <v>2494</v>
      </c>
      <c r="Z95" s="16">
        <v>6232</v>
      </c>
      <c r="AA95" s="16">
        <v>200</v>
      </c>
      <c r="AB95" s="16">
        <v>500</v>
      </c>
      <c r="AC95" s="16"/>
      <c r="AD95" s="16"/>
      <c r="AE95" s="16"/>
      <c r="AF95" s="16"/>
      <c r="AG95" s="16">
        <v>420</v>
      </c>
      <c r="AH95" s="16">
        <v>1048</v>
      </c>
      <c r="AI95" s="16">
        <v>272</v>
      </c>
      <c r="AJ95" s="16">
        <v>676</v>
      </c>
      <c r="AK95" s="16"/>
      <c r="AL95" s="16"/>
      <c r="AM95" s="16">
        <v>2228</v>
      </c>
      <c r="AN95" s="16">
        <v>5568</v>
      </c>
      <c r="AO95" s="15">
        <v>614</v>
      </c>
      <c r="AP95" s="15">
        <v>1534</v>
      </c>
      <c r="AQ95" s="15">
        <v>12</v>
      </c>
      <c r="AR95" s="15">
        <v>30</v>
      </c>
      <c r="AS95" s="15"/>
      <c r="AT95" s="15"/>
      <c r="AU95" s="15"/>
      <c r="AV95" s="15"/>
      <c r="AW95" s="15"/>
      <c r="AX95" s="15"/>
      <c r="AY95" s="27">
        <f t="shared" si="7"/>
        <v>8861</v>
      </c>
      <c r="AZ95" s="27">
        <f t="shared" si="8"/>
        <v>22138</v>
      </c>
    </row>
    <row r="96" spans="1:52" x14ac:dyDescent="0.25">
      <c r="A96" s="13">
        <v>108</v>
      </c>
      <c r="B96" s="19" t="s">
        <v>230</v>
      </c>
      <c r="C96" s="26" t="s">
        <v>231</v>
      </c>
      <c r="D96" s="19" t="s">
        <v>42</v>
      </c>
      <c r="E96" s="16"/>
      <c r="F96" s="16"/>
      <c r="G96" s="16">
        <v>2</v>
      </c>
      <c r="H96" s="16">
        <v>2</v>
      </c>
      <c r="I96" s="16"/>
      <c r="J96" s="16"/>
      <c r="K96" s="16"/>
      <c r="L96" s="16"/>
      <c r="M96" s="16"/>
      <c r="N96" s="16"/>
      <c r="O96" s="16">
        <v>192</v>
      </c>
      <c r="P96" s="16">
        <v>480</v>
      </c>
      <c r="Q96" s="16"/>
      <c r="R96" s="16"/>
      <c r="S96" s="16"/>
      <c r="T96" s="16"/>
      <c r="U96" s="16">
        <v>88</v>
      </c>
      <c r="V96" s="16">
        <v>220</v>
      </c>
      <c r="W96" s="16"/>
      <c r="X96" s="16"/>
      <c r="Y96" s="16"/>
      <c r="Z96" s="16"/>
      <c r="AA96" s="16"/>
      <c r="AB96" s="16"/>
      <c r="AC96" s="16"/>
      <c r="AD96" s="16"/>
      <c r="AE96" s="16"/>
      <c r="AF96" s="16"/>
      <c r="AG96" s="16"/>
      <c r="AH96" s="16"/>
      <c r="AI96" s="16"/>
      <c r="AJ96" s="16"/>
      <c r="AK96" s="16">
        <v>4</v>
      </c>
      <c r="AL96" s="16">
        <v>10</v>
      </c>
      <c r="AM96" s="16"/>
      <c r="AN96" s="16"/>
      <c r="AO96" s="15"/>
      <c r="AP96" s="15"/>
      <c r="AQ96" s="15"/>
      <c r="AR96" s="15"/>
      <c r="AS96" s="15"/>
      <c r="AT96" s="15"/>
      <c r="AU96" s="15"/>
      <c r="AV96" s="15"/>
      <c r="AW96" s="15"/>
      <c r="AX96" s="15"/>
      <c r="AY96" s="27">
        <f t="shared" si="7"/>
        <v>286</v>
      </c>
      <c r="AZ96" s="27">
        <f t="shared" si="8"/>
        <v>712</v>
      </c>
    </row>
    <row r="97" spans="1:52" x14ac:dyDescent="0.25">
      <c r="A97" s="13">
        <v>109</v>
      </c>
      <c r="B97" s="19" t="s">
        <v>232</v>
      </c>
      <c r="C97" s="26" t="s">
        <v>233</v>
      </c>
      <c r="D97" s="19" t="s">
        <v>42</v>
      </c>
      <c r="E97" s="16"/>
      <c r="F97" s="16"/>
      <c r="G97" s="16">
        <v>82</v>
      </c>
      <c r="H97" s="16">
        <v>202</v>
      </c>
      <c r="I97" s="16"/>
      <c r="J97" s="16"/>
      <c r="K97" s="16">
        <v>160</v>
      </c>
      <c r="L97" s="16">
        <v>400</v>
      </c>
      <c r="M97" s="16">
        <v>185</v>
      </c>
      <c r="N97" s="16">
        <v>460</v>
      </c>
      <c r="O97" s="16"/>
      <c r="P97" s="16"/>
      <c r="Q97" s="16">
        <v>122</v>
      </c>
      <c r="R97" s="16">
        <v>300</v>
      </c>
      <c r="S97" s="16"/>
      <c r="T97" s="16"/>
      <c r="U97" s="16"/>
      <c r="V97" s="16"/>
      <c r="W97" s="16"/>
      <c r="X97" s="16"/>
      <c r="Y97" s="16"/>
      <c r="Z97" s="16"/>
      <c r="AA97" s="16"/>
      <c r="AB97" s="16"/>
      <c r="AC97" s="16"/>
      <c r="AD97" s="16"/>
      <c r="AE97" s="16"/>
      <c r="AF97" s="16"/>
      <c r="AG97" s="16"/>
      <c r="AH97" s="16"/>
      <c r="AI97" s="16"/>
      <c r="AJ97" s="16"/>
      <c r="AK97" s="16"/>
      <c r="AL97" s="16"/>
      <c r="AM97" s="16"/>
      <c r="AN97" s="16"/>
      <c r="AO97" s="15">
        <v>946</v>
      </c>
      <c r="AP97" s="15">
        <v>2364</v>
      </c>
      <c r="AQ97" s="15"/>
      <c r="AR97" s="15"/>
      <c r="AS97" s="15"/>
      <c r="AT97" s="15"/>
      <c r="AU97" s="15"/>
      <c r="AV97" s="15"/>
      <c r="AW97" s="15"/>
      <c r="AX97" s="15"/>
      <c r="AY97" s="27">
        <f t="shared" si="7"/>
        <v>1495</v>
      </c>
      <c r="AZ97" s="27">
        <f t="shared" si="8"/>
        <v>3726</v>
      </c>
    </row>
    <row r="98" spans="1:52" x14ac:dyDescent="0.25">
      <c r="A98" s="13">
        <v>110</v>
      </c>
      <c r="B98" s="19" t="s">
        <v>234</v>
      </c>
      <c r="C98" s="26" t="s">
        <v>235</v>
      </c>
      <c r="D98" s="19" t="s">
        <v>42</v>
      </c>
      <c r="E98" s="16">
        <v>1600</v>
      </c>
      <c r="F98" s="16">
        <v>4000</v>
      </c>
      <c r="G98" s="16"/>
      <c r="H98" s="16"/>
      <c r="I98" s="16">
        <v>2400</v>
      </c>
      <c r="J98" s="16">
        <v>6000</v>
      </c>
      <c r="K98" s="16">
        <v>3680</v>
      </c>
      <c r="L98" s="16">
        <v>9196</v>
      </c>
      <c r="M98" s="16">
        <v>252</v>
      </c>
      <c r="N98" s="16">
        <v>630</v>
      </c>
      <c r="O98" s="16">
        <v>674</v>
      </c>
      <c r="P98" s="16">
        <v>1680</v>
      </c>
      <c r="Q98" s="16"/>
      <c r="R98" s="16"/>
      <c r="S98" s="16"/>
      <c r="T98" s="16"/>
      <c r="U98" s="16">
        <v>88</v>
      </c>
      <c r="V98" s="16">
        <v>220</v>
      </c>
      <c r="W98" s="16"/>
      <c r="X98" s="16"/>
      <c r="Y98" s="16"/>
      <c r="Z98" s="16"/>
      <c r="AA98" s="16"/>
      <c r="AB98" s="16"/>
      <c r="AC98" s="16">
        <v>1430</v>
      </c>
      <c r="AD98" s="16">
        <v>3575</v>
      </c>
      <c r="AE98" s="16"/>
      <c r="AF98" s="16"/>
      <c r="AG98" s="16"/>
      <c r="AH98" s="16"/>
      <c r="AI98" s="16">
        <v>800</v>
      </c>
      <c r="AJ98" s="16">
        <v>2000</v>
      </c>
      <c r="AK98" s="16">
        <v>240</v>
      </c>
      <c r="AL98" s="16">
        <v>600</v>
      </c>
      <c r="AM98" s="16"/>
      <c r="AN98" s="16"/>
      <c r="AO98" s="15">
        <v>140</v>
      </c>
      <c r="AP98" s="15">
        <v>350</v>
      </c>
      <c r="AQ98" s="15">
        <v>924</v>
      </c>
      <c r="AR98" s="15">
        <v>2310</v>
      </c>
      <c r="AS98" s="15"/>
      <c r="AT98" s="15"/>
      <c r="AU98" s="15"/>
      <c r="AV98" s="15"/>
      <c r="AW98" s="15"/>
      <c r="AX98" s="15"/>
      <c r="AY98" s="27">
        <f t="shared" si="7"/>
        <v>12228</v>
      </c>
      <c r="AZ98" s="27">
        <f t="shared" si="8"/>
        <v>30561</v>
      </c>
    </row>
    <row r="99" spans="1:52" x14ac:dyDescent="0.25">
      <c r="A99" s="13">
        <v>111</v>
      </c>
      <c r="B99" s="19" t="s">
        <v>236</v>
      </c>
      <c r="C99" s="26" t="s">
        <v>237</v>
      </c>
      <c r="D99" s="19" t="s">
        <v>42</v>
      </c>
      <c r="E99" s="16">
        <v>240</v>
      </c>
      <c r="F99" s="16">
        <v>600</v>
      </c>
      <c r="G99" s="16">
        <v>40</v>
      </c>
      <c r="H99" s="16">
        <v>100</v>
      </c>
      <c r="I99" s="16">
        <v>800</v>
      </c>
      <c r="J99" s="16">
        <v>2000</v>
      </c>
      <c r="K99" s="16">
        <v>2</v>
      </c>
      <c r="L99" s="16">
        <v>4</v>
      </c>
      <c r="M99" s="16"/>
      <c r="N99" s="16"/>
      <c r="O99" s="16"/>
      <c r="P99" s="16"/>
      <c r="Q99" s="16">
        <v>204</v>
      </c>
      <c r="R99" s="16">
        <v>508</v>
      </c>
      <c r="S99" s="16">
        <v>2</v>
      </c>
      <c r="T99" s="16">
        <v>2</v>
      </c>
      <c r="U99" s="16">
        <v>352</v>
      </c>
      <c r="V99" s="16">
        <v>880</v>
      </c>
      <c r="W99" s="16"/>
      <c r="X99" s="16"/>
      <c r="Y99" s="16">
        <v>16</v>
      </c>
      <c r="Z99" s="16">
        <v>36</v>
      </c>
      <c r="AA99" s="16">
        <v>64</v>
      </c>
      <c r="AB99" s="16">
        <v>160</v>
      </c>
      <c r="AC99" s="16">
        <v>187</v>
      </c>
      <c r="AD99" s="16">
        <v>465</v>
      </c>
      <c r="AE99" s="16"/>
      <c r="AF99" s="16"/>
      <c r="AG99" s="16"/>
      <c r="AH99" s="16"/>
      <c r="AI99" s="16">
        <v>96</v>
      </c>
      <c r="AJ99" s="16">
        <v>240</v>
      </c>
      <c r="AK99" s="16"/>
      <c r="AL99" s="16"/>
      <c r="AM99" s="16"/>
      <c r="AN99" s="16"/>
      <c r="AO99" s="15">
        <v>108</v>
      </c>
      <c r="AP99" s="15">
        <v>270</v>
      </c>
      <c r="AQ99" s="15"/>
      <c r="AR99" s="15"/>
      <c r="AS99" s="15"/>
      <c r="AT99" s="15"/>
      <c r="AU99" s="15">
        <v>28</v>
      </c>
      <c r="AV99" s="15">
        <v>70</v>
      </c>
      <c r="AW99" s="15"/>
      <c r="AX99" s="15"/>
      <c r="AY99" s="27">
        <f t="shared" si="7"/>
        <v>2139</v>
      </c>
      <c r="AZ99" s="27">
        <f t="shared" si="8"/>
        <v>5335</v>
      </c>
    </row>
    <row r="100" spans="1:52" x14ac:dyDescent="0.25">
      <c r="A100" s="13">
        <v>113</v>
      </c>
      <c r="B100" s="19" t="s">
        <v>238</v>
      </c>
      <c r="C100" s="26" t="s">
        <v>239</v>
      </c>
      <c r="D100" s="19" t="s">
        <v>42</v>
      </c>
      <c r="E100" s="16">
        <v>172</v>
      </c>
      <c r="F100" s="16">
        <v>430</v>
      </c>
      <c r="G100" s="16">
        <v>60</v>
      </c>
      <c r="H100" s="16">
        <v>150</v>
      </c>
      <c r="I100" s="16">
        <v>3654</v>
      </c>
      <c r="J100" s="16">
        <v>9133</v>
      </c>
      <c r="K100" s="16">
        <v>256</v>
      </c>
      <c r="L100" s="16">
        <v>640</v>
      </c>
      <c r="M100" s="16">
        <v>96</v>
      </c>
      <c r="N100" s="16">
        <v>240</v>
      </c>
      <c r="O100" s="16">
        <v>461</v>
      </c>
      <c r="P100" s="16">
        <v>1150</v>
      </c>
      <c r="Q100" s="16"/>
      <c r="R100" s="16"/>
      <c r="S100" s="16">
        <v>48</v>
      </c>
      <c r="T100" s="16">
        <v>120</v>
      </c>
      <c r="U100" s="16">
        <v>739</v>
      </c>
      <c r="V100" s="16">
        <v>1847</v>
      </c>
      <c r="W100" s="16">
        <v>2160</v>
      </c>
      <c r="X100" s="16">
        <v>5400</v>
      </c>
      <c r="Y100" s="16">
        <v>414</v>
      </c>
      <c r="Z100" s="16">
        <v>1032</v>
      </c>
      <c r="AA100" s="16">
        <v>41</v>
      </c>
      <c r="AB100" s="16">
        <v>100</v>
      </c>
      <c r="AC100" s="16">
        <v>1828</v>
      </c>
      <c r="AD100" s="16">
        <v>4564</v>
      </c>
      <c r="AE100" s="16">
        <v>2496</v>
      </c>
      <c r="AF100" s="16">
        <v>6240</v>
      </c>
      <c r="AG100" s="16"/>
      <c r="AH100" s="16"/>
      <c r="AI100" s="16">
        <v>2949</v>
      </c>
      <c r="AJ100" s="16">
        <v>7367</v>
      </c>
      <c r="AK100" s="16">
        <v>1248</v>
      </c>
      <c r="AL100" s="16">
        <v>3120</v>
      </c>
      <c r="AM100" s="16">
        <v>88</v>
      </c>
      <c r="AN100" s="16">
        <v>216</v>
      </c>
      <c r="AO100" s="15">
        <v>704</v>
      </c>
      <c r="AP100" s="15">
        <v>1760</v>
      </c>
      <c r="AQ100" s="15"/>
      <c r="AR100" s="15"/>
      <c r="AS100" s="15"/>
      <c r="AT100" s="15"/>
      <c r="AU100" s="15">
        <v>144</v>
      </c>
      <c r="AV100" s="15">
        <v>360</v>
      </c>
      <c r="AW100" s="15"/>
      <c r="AX100" s="15"/>
      <c r="AY100" s="27">
        <f t="shared" si="7"/>
        <v>17558</v>
      </c>
      <c r="AZ100" s="27">
        <f t="shared" si="8"/>
        <v>43869</v>
      </c>
    </row>
    <row r="101" spans="1:52" x14ac:dyDescent="0.25">
      <c r="A101" s="13">
        <v>114</v>
      </c>
      <c r="B101" s="19" t="s">
        <v>240</v>
      </c>
      <c r="C101" s="26" t="s">
        <v>241</v>
      </c>
      <c r="D101" s="19" t="s">
        <v>42</v>
      </c>
      <c r="E101" s="16"/>
      <c r="F101" s="16"/>
      <c r="G101" s="16"/>
      <c r="H101" s="16"/>
      <c r="I101" s="16"/>
      <c r="J101" s="16"/>
      <c r="K101" s="16"/>
      <c r="L101" s="16"/>
      <c r="M101" s="16"/>
      <c r="N101" s="16"/>
      <c r="O101" s="16">
        <v>68</v>
      </c>
      <c r="P101" s="16">
        <v>168</v>
      </c>
      <c r="Q101" s="16"/>
      <c r="R101" s="16"/>
      <c r="S101" s="16"/>
      <c r="T101" s="16"/>
      <c r="U101" s="16">
        <v>18</v>
      </c>
      <c r="V101" s="16">
        <v>44</v>
      </c>
      <c r="W101" s="16"/>
      <c r="X101" s="16"/>
      <c r="Y101" s="16">
        <v>24</v>
      </c>
      <c r="Z101" s="16">
        <v>60</v>
      </c>
      <c r="AA101" s="16"/>
      <c r="AB101" s="16"/>
      <c r="AC101" s="16">
        <v>40</v>
      </c>
      <c r="AD101" s="16">
        <v>100</v>
      </c>
      <c r="AE101" s="16">
        <v>30</v>
      </c>
      <c r="AF101" s="16">
        <v>72</v>
      </c>
      <c r="AG101" s="16"/>
      <c r="AH101" s="16"/>
      <c r="AI101" s="16">
        <v>192</v>
      </c>
      <c r="AJ101" s="16">
        <v>480</v>
      </c>
      <c r="AK101" s="16"/>
      <c r="AL101" s="16"/>
      <c r="AM101" s="16"/>
      <c r="AN101" s="16"/>
      <c r="AO101" s="15"/>
      <c r="AP101" s="15"/>
      <c r="AQ101" s="15"/>
      <c r="AR101" s="15"/>
      <c r="AS101" s="15"/>
      <c r="AT101" s="15"/>
      <c r="AU101" s="15"/>
      <c r="AV101" s="15"/>
      <c r="AW101" s="15"/>
      <c r="AX101" s="15"/>
      <c r="AY101" s="27">
        <f t="shared" si="7"/>
        <v>372</v>
      </c>
      <c r="AZ101" s="27">
        <f t="shared" si="8"/>
        <v>924</v>
      </c>
    </row>
    <row r="102" spans="1:52" x14ac:dyDescent="0.25">
      <c r="A102" s="13">
        <v>116</v>
      </c>
      <c r="B102" s="19" t="s">
        <v>242</v>
      </c>
      <c r="C102" s="26" t="s">
        <v>243</v>
      </c>
      <c r="D102" s="19" t="s">
        <v>43</v>
      </c>
      <c r="E102" s="16">
        <v>872</v>
      </c>
      <c r="F102" s="16">
        <v>2180</v>
      </c>
      <c r="G102" s="16">
        <v>4</v>
      </c>
      <c r="H102" s="16">
        <v>6</v>
      </c>
      <c r="I102" s="16">
        <v>1119</v>
      </c>
      <c r="J102" s="16">
        <v>2795</v>
      </c>
      <c r="K102" s="16">
        <v>1578</v>
      </c>
      <c r="L102" s="16">
        <v>3944</v>
      </c>
      <c r="M102" s="16">
        <v>84</v>
      </c>
      <c r="N102" s="16">
        <v>204</v>
      </c>
      <c r="O102" s="16">
        <v>1188</v>
      </c>
      <c r="P102" s="16">
        <v>2960</v>
      </c>
      <c r="Q102" s="16"/>
      <c r="R102" s="16"/>
      <c r="S102" s="16"/>
      <c r="T102" s="16"/>
      <c r="U102" s="16">
        <v>66</v>
      </c>
      <c r="V102" s="16">
        <v>165</v>
      </c>
      <c r="W102" s="16">
        <v>576</v>
      </c>
      <c r="X102" s="16">
        <v>1440</v>
      </c>
      <c r="Y102" s="16">
        <v>348</v>
      </c>
      <c r="Z102" s="16">
        <v>864</v>
      </c>
      <c r="AA102" s="16"/>
      <c r="AB102" s="16"/>
      <c r="AC102" s="16">
        <v>8</v>
      </c>
      <c r="AD102" s="16">
        <v>20</v>
      </c>
      <c r="AE102" s="16">
        <v>118</v>
      </c>
      <c r="AF102" s="16">
        <v>288</v>
      </c>
      <c r="AG102" s="16">
        <v>1608</v>
      </c>
      <c r="AH102" s="16">
        <v>4020</v>
      </c>
      <c r="AI102" s="16">
        <v>11288</v>
      </c>
      <c r="AJ102" s="16">
        <v>28220</v>
      </c>
      <c r="AK102" s="16">
        <v>1600</v>
      </c>
      <c r="AL102" s="16">
        <v>4000</v>
      </c>
      <c r="AM102" s="16">
        <v>664</v>
      </c>
      <c r="AN102" s="16">
        <v>1656</v>
      </c>
      <c r="AO102" s="15">
        <v>2575</v>
      </c>
      <c r="AP102" s="15">
        <v>6437</v>
      </c>
      <c r="AQ102" s="15"/>
      <c r="AR102" s="15"/>
      <c r="AS102" s="15"/>
      <c r="AT102" s="15"/>
      <c r="AU102" s="15">
        <v>1144</v>
      </c>
      <c r="AV102" s="15">
        <v>2860</v>
      </c>
      <c r="AW102" s="15"/>
      <c r="AX102" s="15"/>
      <c r="AY102" s="27">
        <f t="shared" si="7"/>
        <v>24840</v>
      </c>
      <c r="AZ102" s="27">
        <f t="shared" si="8"/>
        <v>62059</v>
      </c>
    </row>
    <row r="103" spans="1:52" x14ac:dyDescent="0.25">
      <c r="A103" s="13">
        <v>117</v>
      </c>
      <c r="B103" s="19" t="s">
        <v>244</v>
      </c>
      <c r="C103" s="26" t="s">
        <v>245</v>
      </c>
      <c r="D103" s="19" t="s">
        <v>43</v>
      </c>
      <c r="E103" s="16">
        <v>304</v>
      </c>
      <c r="F103" s="16">
        <v>760</v>
      </c>
      <c r="G103" s="16">
        <v>36</v>
      </c>
      <c r="H103" s="16">
        <v>90</v>
      </c>
      <c r="I103" s="16">
        <v>1068</v>
      </c>
      <c r="J103" s="16">
        <v>2666</v>
      </c>
      <c r="K103" s="16">
        <v>400</v>
      </c>
      <c r="L103" s="16">
        <v>1000</v>
      </c>
      <c r="M103" s="16">
        <v>7480</v>
      </c>
      <c r="N103" s="16">
        <v>18700</v>
      </c>
      <c r="O103" s="16">
        <v>1537</v>
      </c>
      <c r="P103" s="16">
        <v>3841</v>
      </c>
      <c r="Q103" s="16"/>
      <c r="R103" s="16"/>
      <c r="S103" s="16"/>
      <c r="T103" s="16"/>
      <c r="U103" s="16">
        <v>176</v>
      </c>
      <c r="V103" s="16">
        <v>440</v>
      </c>
      <c r="W103" s="16">
        <v>576</v>
      </c>
      <c r="X103" s="16">
        <v>1440</v>
      </c>
      <c r="Y103" s="16">
        <v>952</v>
      </c>
      <c r="Z103" s="16">
        <v>2376</v>
      </c>
      <c r="AA103" s="16">
        <v>16</v>
      </c>
      <c r="AB103" s="16">
        <v>40</v>
      </c>
      <c r="AC103" s="16">
        <v>3599</v>
      </c>
      <c r="AD103" s="16">
        <v>8993</v>
      </c>
      <c r="AE103" s="16">
        <v>384</v>
      </c>
      <c r="AF103" s="16">
        <v>960</v>
      </c>
      <c r="AG103" s="16">
        <v>480</v>
      </c>
      <c r="AH103" s="16">
        <v>1200</v>
      </c>
      <c r="AI103" s="16">
        <v>688</v>
      </c>
      <c r="AJ103" s="16">
        <v>1720</v>
      </c>
      <c r="AK103" s="16">
        <v>40</v>
      </c>
      <c r="AL103" s="16">
        <v>100</v>
      </c>
      <c r="AM103" s="16"/>
      <c r="AN103" s="16"/>
      <c r="AO103" s="15">
        <v>2880</v>
      </c>
      <c r="AP103" s="15">
        <v>7200</v>
      </c>
      <c r="AQ103" s="15">
        <v>20</v>
      </c>
      <c r="AR103" s="15">
        <v>48</v>
      </c>
      <c r="AS103" s="15"/>
      <c r="AT103" s="15"/>
      <c r="AU103" s="15">
        <v>650</v>
      </c>
      <c r="AV103" s="15">
        <v>1624</v>
      </c>
      <c r="AW103" s="15"/>
      <c r="AX103" s="15"/>
      <c r="AY103" s="27">
        <f t="shared" si="7"/>
        <v>21286</v>
      </c>
      <c r="AZ103" s="27">
        <f t="shared" si="8"/>
        <v>53198</v>
      </c>
    </row>
    <row r="104" spans="1:52" x14ac:dyDescent="0.25">
      <c r="A104" s="13">
        <v>118</v>
      </c>
      <c r="B104" s="19" t="s">
        <v>246</v>
      </c>
      <c r="C104" s="26" t="s">
        <v>247</v>
      </c>
      <c r="D104" s="19" t="s">
        <v>43</v>
      </c>
      <c r="E104" s="16">
        <v>748</v>
      </c>
      <c r="F104" s="16">
        <v>1870</v>
      </c>
      <c r="G104" s="16">
        <v>21</v>
      </c>
      <c r="H104" s="16">
        <v>50</v>
      </c>
      <c r="I104" s="16">
        <v>512</v>
      </c>
      <c r="J104" s="16">
        <v>1280</v>
      </c>
      <c r="K104" s="16">
        <v>6</v>
      </c>
      <c r="L104" s="16">
        <v>12</v>
      </c>
      <c r="M104" s="16">
        <v>160</v>
      </c>
      <c r="N104" s="16">
        <v>400</v>
      </c>
      <c r="O104" s="16">
        <v>220</v>
      </c>
      <c r="P104" s="16">
        <v>548</v>
      </c>
      <c r="Q104" s="16"/>
      <c r="R104" s="16"/>
      <c r="S104" s="16">
        <v>80</v>
      </c>
      <c r="T104" s="16">
        <v>200</v>
      </c>
      <c r="U104" s="16">
        <v>642</v>
      </c>
      <c r="V104" s="16">
        <v>1604</v>
      </c>
      <c r="W104" s="16">
        <v>860</v>
      </c>
      <c r="X104" s="16">
        <v>2150</v>
      </c>
      <c r="Y104" s="16">
        <v>2802</v>
      </c>
      <c r="Z104" s="16">
        <v>7004</v>
      </c>
      <c r="AA104" s="16">
        <v>4</v>
      </c>
      <c r="AB104" s="16">
        <v>8</v>
      </c>
      <c r="AC104" s="16">
        <v>220</v>
      </c>
      <c r="AD104" s="16">
        <v>550</v>
      </c>
      <c r="AE104" s="16">
        <v>7200</v>
      </c>
      <c r="AF104" s="16">
        <v>18000</v>
      </c>
      <c r="AG104" s="16"/>
      <c r="AH104" s="16"/>
      <c r="AI104" s="16">
        <v>553</v>
      </c>
      <c r="AJ104" s="16">
        <v>1375</v>
      </c>
      <c r="AK104" s="16">
        <v>64</v>
      </c>
      <c r="AL104" s="16">
        <v>160</v>
      </c>
      <c r="AM104" s="16"/>
      <c r="AN104" s="16"/>
      <c r="AO104" s="15"/>
      <c r="AP104" s="15"/>
      <c r="AQ104" s="15"/>
      <c r="AR104" s="15"/>
      <c r="AS104" s="15"/>
      <c r="AT104" s="15"/>
      <c r="AU104" s="15"/>
      <c r="AV104" s="15"/>
      <c r="AW104" s="15"/>
      <c r="AX104" s="15"/>
      <c r="AY104" s="27">
        <f t="shared" si="7"/>
        <v>14092</v>
      </c>
      <c r="AZ104" s="27">
        <f t="shared" si="8"/>
        <v>35211</v>
      </c>
    </row>
    <row r="105" spans="1:52" x14ac:dyDescent="0.25">
      <c r="A105" s="13">
        <v>119</v>
      </c>
      <c r="B105" s="19" t="s">
        <v>248</v>
      </c>
      <c r="C105" s="26" t="s">
        <v>249</v>
      </c>
      <c r="D105" s="19" t="s">
        <v>43</v>
      </c>
      <c r="E105" s="16">
        <v>876</v>
      </c>
      <c r="F105" s="16">
        <v>2190</v>
      </c>
      <c r="G105" s="16">
        <v>181</v>
      </c>
      <c r="H105" s="16">
        <v>450</v>
      </c>
      <c r="I105" s="16">
        <v>3581</v>
      </c>
      <c r="J105" s="16">
        <v>8950</v>
      </c>
      <c r="K105" s="16">
        <v>2</v>
      </c>
      <c r="L105" s="16">
        <v>4</v>
      </c>
      <c r="M105" s="16">
        <v>1004</v>
      </c>
      <c r="N105" s="16">
        <v>2506</v>
      </c>
      <c r="O105" s="16">
        <v>2994</v>
      </c>
      <c r="P105" s="16">
        <v>7477</v>
      </c>
      <c r="Q105" s="16"/>
      <c r="R105" s="16"/>
      <c r="S105" s="16">
        <v>280</v>
      </c>
      <c r="T105" s="16">
        <v>700</v>
      </c>
      <c r="U105" s="16">
        <v>1092</v>
      </c>
      <c r="V105" s="16">
        <v>2724</v>
      </c>
      <c r="W105" s="16">
        <v>1440</v>
      </c>
      <c r="X105" s="16">
        <v>3600</v>
      </c>
      <c r="Y105" s="16">
        <v>256</v>
      </c>
      <c r="Z105" s="16">
        <v>640</v>
      </c>
      <c r="AA105" s="16">
        <v>80</v>
      </c>
      <c r="AB105" s="16">
        <v>200</v>
      </c>
      <c r="AC105" s="16">
        <v>1655</v>
      </c>
      <c r="AD105" s="16">
        <v>4134</v>
      </c>
      <c r="AE105" s="16">
        <v>4400</v>
      </c>
      <c r="AF105" s="16">
        <v>11000</v>
      </c>
      <c r="AG105" s="16"/>
      <c r="AH105" s="16"/>
      <c r="AI105" s="16">
        <v>720</v>
      </c>
      <c r="AJ105" s="16">
        <v>1796</v>
      </c>
      <c r="AK105" s="16">
        <v>296</v>
      </c>
      <c r="AL105" s="16">
        <v>740</v>
      </c>
      <c r="AM105" s="16"/>
      <c r="AN105" s="16"/>
      <c r="AO105" s="15">
        <v>544</v>
      </c>
      <c r="AP105" s="15">
        <v>1360</v>
      </c>
      <c r="AQ105" s="15"/>
      <c r="AR105" s="15"/>
      <c r="AS105" s="15"/>
      <c r="AT105" s="15"/>
      <c r="AU105" s="15"/>
      <c r="AV105" s="15"/>
      <c r="AW105" s="15"/>
      <c r="AX105" s="15"/>
      <c r="AY105" s="27">
        <f t="shared" si="7"/>
        <v>19401</v>
      </c>
      <c r="AZ105" s="27">
        <f t="shared" si="8"/>
        <v>48471</v>
      </c>
    </row>
    <row r="106" spans="1:52" x14ac:dyDescent="0.25">
      <c r="A106" s="13">
        <v>120</v>
      </c>
      <c r="B106" s="19" t="s">
        <v>250</v>
      </c>
      <c r="C106" s="26" t="s">
        <v>251</v>
      </c>
      <c r="D106" s="19" t="s">
        <v>43</v>
      </c>
      <c r="E106" s="16">
        <v>100</v>
      </c>
      <c r="F106" s="16">
        <v>250</v>
      </c>
      <c r="G106" s="16">
        <v>60</v>
      </c>
      <c r="H106" s="16">
        <v>150</v>
      </c>
      <c r="I106" s="16"/>
      <c r="J106" s="16"/>
      <c r="K106" s="16">
        <v>56</v>
      </c>
      <c r="L106" s="16">
        <v>140</v>
      </c>
      <c r="M106" s="16"/>
      <c r="N106" s="16"/>
      <c r="O106" s="16">
        <v>29</v>
      </c>
      <c r="P106" s="16">
        <v>70</v>
      </c>
      <c r="Q106" s="16"/>
      <c r="R106" s="16"/>
      <c r="S106" s="16">
        <v>12</v>
      </c>
      <c r="T106" s="16">
        <v>30</v>
      </c>
      <c r="U106" s="16">
        <v>80</v>
      </c>
      <c r="V106" s="16">
        <v>200</v>
      </c>
      <c r="W106" s="16"/>
      <c r="X106" s="16"/>
      <c r="Y106" s="16">
        <v>46</v>
      </c>
      <c r="Z106" s="16">
        <v>108</v>
      </c>
      <c r="AA106" s="16">
        <v>20</v>
      </c>
      <c r="AB106" s="16">
        <v>48</v>
      </c>
      <c r="AC106" s="16">
        <v>462</v>
      </c>
      <c r="AD106" s="16">
        <v>1152</v>
      </c>
      <c r="AE106" s="16">
        <v>1120</v>
      </c>
      <c r="AF106" s="16">
        <v>2800</v>
      </c>
      <c r="AG106" s="16"/>
      <c r="AH106" s="16"/>
      <c r="AI106" s="16">
        <v>72</v>
      </c>
      <c r="AJ106" s="16">
        <v>178</v>
      </c>
      <c r="AK106" s="16">
        <v>116</v>
      </c>
      <c r="AL106" s="16">
        <v>288</v>
      </c>
      <c r="AM106" s="16"/>
      <c r="AN106" s="16"/>
      <c r="AO106" s="15"/>
      <c r="AP106" s="15"/>
      <c r="AQ106" s="15"/>
      <c r="AR106" s="15"/>
      <c r="AS106" s="15"/>
      <c r="AT106" s="15"/>
      <c r="AU106" s="15"/>
      <c r="AV106" s="15"/>
      <c r="AW106" s="15"/>
      <c r="AX106" s="15"/>
      <c r="AY106" s="27">
        <f t="shared" si="7"/>
        <v>2173</v>
      </c>
      <c r="AZ106" s="27">
        <f t="shared" si="8"/>
        <v>5414</v>
      </c>
    </row>
    <row r="107" spans="1:52" x14ac:dyDescent="0.25">
      <c r="A107" s="13">
        <v>121</v>
      </c>
      <c r="B107" s="19" t="s">
        <v>252</v>
      </c>
      <c r="C107" s="26" t="s">
        <v>253</v>
      </c>
      <c r="D107" s="19" t="s">
        <v>42</v>
      </c>
      <c r="E107" s="16">
        <v>140</v>
      </c>
      <c r="F107" s="16">
        <v>350</v>
      </c>
      <c r="G107" s="16">
        <v>100</v>
      </c>
      <c r="H107" s="16">
        <v>250</v>
      </c>
      <c r="I107" s="16">
        <v>1251</v>
      </c>
      <c r="J107" s="16">
        <v>3125</v>
      </c>
      <c r="K107" s="16"/>
      <c r="L107" s="16"/>
      <c r="M107" s="16">
        <v>208</v>
      </c>
      <c r="N107" s="16">
        <v>520</v>
      </c>
      <c r="O107" s="16">
        <v>4526</v>
      </c>
      <c r="P107" s="16">
        <v>11312</v>
      </c>
      <c r="Q107" s="16"/>
      <c r="R107" s="16"/>
      <c r="S107" s="16">
        <v>60</v>
      </c>
      <c r="T107" s="16">
        <v>150</v>
      </c>
      <c r="U107" s="16">
        <v>667</v>
      </c>
      <c r="V107" s="16">
        <v>1665</v>
      </c>
      <c r="W107" s="16">
        <v>180</v>
      </c>
      <c r="X107" s="16">
        <v>450</v>
      </c>
      <c r="Y107" s="16">
        <v>288</v>
      </c>
      <c r="Z107" s="16">
        <v>720</v>
      </c>
      <c r="AA107" s="16">
        <v>80</v>
      </c>
      <c r="AB107" s="16">
        <v>200</v>
      </c>
      <c r="AC107" s="16">
        <v>609</v>
      </c>
      <c r="AD107" s="16">
        <v>1520</v>
      </c>
      <c r="AE107" s="16">
        <v>1949</v>
      </c>
      <c r="AF107" s="16">
        <v>4868</v>
      </c>
      <c r="AG107" s="16"/>
      <c r="AH107" s="16"/>
      <c r="AI107" s="16">
        <v>446</v>
      </c>
      <c r="AJ107" s="16">
        <v>1110</v>
      </c>
      <c r="AK107" s="16">
        <v>320</v>
      </c>
      <c r="AL107" s="16">
        <v>800</v>
      </c>
      <c r="AM107" s="16"/>
      <c r="AN107" s="16"/>
      <c r="AO107" s="15">
        <v>212</v>
      </c>
      <c r="AP107" s="15">
        <v>528</v>
      </c>
      <c r="AQ107" s="15"/>
      <c r="AR107" s="15"/>
      <c r="AS107" s="15"/>
      <c r="AT107" s="15"/>
      <c r="AU107" s="15"/>
      <c r="AV107" s="15"/>
      <c r="AW107" s="15"/>
      <c r="AX107" s="15"/>
      <c r="AY107" s="27">
        <f t="shared" si="7"/>
        <v>11036</v>
      </c>
      <c r="AZ107" s="27">
        <f t="shared" si="8"/>
        <v>27568</v>
      </c>
    </row>
    <row r="108" spans="1:52" x14ac:dyDescent="0.25">
      <c r="A108" s="13">
        <v>122</v>
      </c>
      <c r="B108" s="19" t="s">
        <v>254</v>
      </c>
      <c r="C108" s="26" t="s">
        <v>255</v>
      </c>
      <c r="D108" s="19" t="s">
        <v>42</v>
      </c>
      <c r="E108" s="16"/>
      <c r="F108" s="16"/>
      <c r="G108" s="16"/>
      <c r="H108" s="16"/>
      <c r="I108" s="16"/>
      <c r="J108" s="16"/>
      <c r="K108" s="16">
        <v>60</v>
      </c>
      <c r="L108" s="16">
        <v>148</v>
      </c>
      <c r="M108" s="16"/>
      <c r="N108" s="16"/>
      <c r="O108" s="16"/>
      <c r="P108" s="16"/>
      <c r="Q108" s="16"/>
      <c r="R108" s="16"/>
      <c r="S108" s="16"/>
      <c r="T108" s="16"/>
      <c r="U108" s="16">
        <v>58</v>
      </c>
      <c r="V108" s="16">
        <v>144</v>
      </c>
      <c r="W108" s="16"/>
      <c r="X108" s="16"/>
      <c r="Y108" s="16"/>
      <c r="Z108" s="16"/>
      <c r="AA108" s="16"/>
      <c r="AB108" s="16"/>
      <c r="AC108" s="16"/>
      <c r="AD108" s="16"/>
      <c r="AE108" s="16"/>
      <c r="AF108" s="16"/>
      <c r="AG108" s="16"/>
      <c r="AH108" s="16"/>
      <c r="AI108" s="16"/>
      <c r="AJ108" s="16"/>
      <c r="AK108" s="16"/>
      <c r="AL108" s="16"/>
      <c r="AM108" s="16"/>
      <c r="AN108" s="16"/>
      <c r="AO108" s="15"/>
      <c r="AP108" s="15"/>
      <c r="AQ108" s="15"/>
      <c r="AR108" s="15"/>
      <c r="AS108" s="15"/>
      <c r="AT108" s="15"/>
      <c r="AU108" s="15"/>
      <c r="AV108" s="15"/>
      <c r="AW108" s="15"/>
      <c r="AX108" s="15"/>
      <c r="AY108" s="27">
        <f t="shared" si="7"/>
        <v>118</v>
      </c>
      <c r="AZ108" s="27">
        <f t="shared" si="8"/>
        <v>292</v>
      </c>
    </row>
    <row r="109" spans="1:52" x14ac:dyDescent="0.25">
      <c r="A109" s="13">
        <v>123</v>
      </c>
      <c r="B109" s="19" t="s">
        <v>256</v>
      </c>
      <c r="C109" s="26" t="s">
        <v>257</v>
      </c>
      <c r="D109" s="19" t="s">
        <v>43</v>
      </c>
      <c r="E109" s="16">
        <v>3000</v>
      </c>
      <c r="F109" s="16">
        <v>7500</v>
      </c>
      <c r="G109" s="16">
        <v>40</v>
      </c>
      <c r="H109" s="16">
        <v>100</v>
      </c>
      <c r="I109" s="16">
        <v>2592</v>
      </c>
      <c r="J109" s="16">
        <v>6480</v>
      </c>
      <c r="K109" s="16"/>
      <c r="L109" s="16"/>
      <c r="M109" s="16">
        <v>7644</v>
      </c>
      <c r="N109" s="16">
        <v>19110</v>
      </c>
      <c r="O109" s="16">
        <v>2286</v>
      </c>
      <c r="P109" s="16">
        <v>5710</v>
      </c>
      <c r="Q109" s="16"/>
      <c r="R109" s="16"/>
      <c r="S109" s="16">
        <v>14</v>
      </c>
      <c r="T109" s="16">
        <v>33</v>
      </c>
      <c r="U109" s="16">
        <v>800</v>
      </c>
      <c r="V109" s="16">
        <v>1998</v>
      </c>
      <c r="W109" s="16">
        <v>4416</v>
      </c>
      <c r="X109" s="16">
        <v>11040</v>
      </c>
      <c r="Y109" s="16">
        <v>1264</v>
      </c>
      <c r="Z109" s="16">
        <v>3160</v>
      </c>
      <c r="AA109" s="16">
        <v>64</v>
      </c>
      <c r="AB109" s="16">
        <v>160</v>
      </c>
      <c r="AC109" s="16">
        <v>2315</v>
      </c>
      <c r="AD109" s="16">
        <v>5782</v>
      </c>
      <c r="AE109" s="16">
        <v>1440</v>
      </c>
      <c r="AF109" s="16">
        <v>3600</v>
      </c>
      <c r="AG109" s="16"/>
      <c r="AH109" s="16"/>
      <c r="AI109" s="16">
        <v>696</v>
      </c>
      <c r="AJ109" s="16">
        <v>1735</v>
      </c>
      <c r="AK109" s="16">
        <v>124</v>
      </c>
      <c r="AL109" s="16">
        <v>308</v>
      </c>
      <c r="AM109" s="16">
        <v>30</v>
      </c>
      <c r="AN109" s="16">
        <v>72</v>
      </c>
      <c r="AO109" s="15">
        <v>2432</v>
      </c>
      <c r="AP109" s="15">
        <v>6080</v>
      </c>
      <c r="AQ109" s="15"/>
      <c r="AR109" s="15"/>
      <c r="AS109" s="15"/>
      <c r="AT109" s="15"/>
      <c r="AU109" s="15"/>
      <c r="AV109" s="15"/>
      <c r="AW109" s="15"/>
      <c r="AX109" s="15"/>
      <c r="AY109" s="27">
        <f t="shared" si="7"/>
        <v>29157</v>
      </c>
      <c r="AZ109" s="27">
        <f t="shared" si="8"/>
        <v>72868</v>
      </c>
    </row>
    <row r="110" spans="1:52" x14ac:dyDescent="0.25">
      <c r="A110" s="13">
        <v>124</v>
      </c>
      <c r="B110" s="19" t="s">
        <v>258</v>
      </c>
      <c r="C110" s="26" t="s">
        <v>259</v>
      </c>
      <c r="D110" s="19" t="s">
        <v>43</v>
      </c>
      <c r="E110" s="16"/>
      <c r="F110" s="16"/>
      <c r="G110" s="16"/>
      <c r="H110" s="16"/>
      <c r="I110" s="16"/>
      <c r="J110" s="16"/>
      <c r="K110" s="16"/>
      <c r="L110" s="16"/>
      <c r="M110" s="16"/>
      <c r="N110" s="16"/>
      <c r="O110" s="16"/>
      <c r="P110" s="16"/>
      <c r="Q110" s="16"/>
      <c r="R110" s="16"/>
      <c r="S110" s="16"/>
      <c r="T110" s="16"/>
      <c r="U110" s="16">
        <v>228</v>
      </c>
      <c r="V110" s="16">
        <v>570</v>
      </c>
      <c r="W110" s="16"/>
      <c r="X110" s="16"/>
      <c r="Y110" s="16"/>
      <c r="Z110" s="16"/>
      <c r="AA110" s="16"/>
      <c r="AB110" s="16"/>
      <c r="AC110" s="16"/>
      <c r="AD110" s="16"/>
      <c r="AE110" s="16"/>
      <c r="AF110" s="16"/>
      <c r="AG110" s="16"/>
      <c r="AH110" s="16"/>
      <c r="AI110" s="16"/>
      <c r="AJ110" s="16"/>
      <c r="AK110" s="16"/>
      <c r="AL110" s="16"/>
      <c r="AM110" s="16"/>
      <c r="AN110" s="16"/>
      <c r="AO110" s="15"/>
      <c r="AP110" s="15"/>
      <c r="AQ110" s="15"/>
      <c r="AR110" s="15"/>
      <c r="AS110" s="15"/>
      <c r="AT110" s="15"/>
      <c r="AU110" s="15"/>
      <c r="AV110" s="15"/>
      <c r="AW110" s="15"/>
      <c r="AX110" s="15"/>
      <c r="AY110" s="27">
        <f t="shared" si="7"/>
        <v>228</v>
      </c>
      <c r="AZ110" s="27">
        <f t="shared" si="8"/>
        <v>570</v>
      </c>
    </row>
    <row r="111" spans="1:52" x14ac:dyDescent="0.25">
      <c r="A111" s="13">
        <v>127</v>
      </c>
      <c r="B111" s="19" t="s">
        <v>260</v>
      </c>
      <c r="C111" s="26" t="s">
        <v>261</v>
      </c>
      <c r="D111" s="19" t="s">
        <v>43</v>
      </c>
      <c r="E111" s="16"/>
      <c r="F111" s="16"/>
      <c r="G111" s="16"/>
      <c r="H111" s="16"/>
      <c r="I111" s="16">
        <v>238</v>
      </c>
      <c r="J111" s="16">
        <v>593</v>
      </c>
      <c r="K111" s="16">
        <v>2</v>
      </c>
      <c r="L111" s="16">
        <v>4</v>
      </c>
      <c r="M111" s="16">
        <v>256</v>
      </c>
      <c r="N111" s="16">
        <v>640</v>
      </c>
      <c r="O111" s="16">
        <v>204</v>
      </c>
      <c r="P111" s="16">
        <v>504</v>
      </c>
      <c r="Q111" s="16"/>
      <c r="R111" s="16"/>
      <c r="S111" s="16"/>
      <c r="T111" s="16"/>
      <c r="U111" s="16">
        <v>2</v>
      </c>
      <c r="V111" s="16">
        <v>4</v>
      </c>
      <c r="W111" s="16">
        <v>263</v>
      </c>
      <c r="X111" s="16">
        <v>657</v>
      </c>
      <c r="Y111" s="16">
        <v>244</v>
      </c>
      <c r="Z111" s="16">
        <v>610</v>
      </c>
      <c r="AA111" s="16">
        <v>4</v>
      </c>
      <c r="AB111" s="16">
        <v>10</v>
      </c>
      <c r="AC111" s="16">
        <v>84</v>
      </c>
      <c r="AD111" s="16">
        <v>208</v>
      </c>
      <c r="AE111" s="16">
        <v>278</v>
      </c>
      <c r="AF111" s="16">
        <v>695</v>
      </c>
      <c r="AG111" s="16"/>
      <c r="AH111" s="16"/>
      <c r="AI111" s="16">
        <v>32</v>
      </c>
      <c r="AJ111" s="16">
        <v>77</v>
      </c>
      <c r="AK111" s="16">
        <v>80</v>
      </c>
      <c r="AL111" s="16">
        <v>200</v>
      </c>
      <c r="AM111" s="16"/>
      <c r="AN111" s="16"/>
      <c r="AO111" s="15">
        <v>224</v>
      </c>
      <c r="AP111" s="15">
        <v>559</v>
      </c>
      <c r="AQ111" s="15"/>
      <c r="AR111" s="15"/>
      <c r="AS111" s="15"/>
      <c r="AT111" s="15"/>
      <c r="AU111" s="15"/>
      <c r="AV111" s="15"/>
      <c r="AW111" s="15"/>
      <c r="AX111" s="15"/>
      <c r="AY111" s="27">
        <f t="shared" si="7"/>
        <v>1911</v>
      </c>
      <c r="AZ111" s="27">
        <f t="shared" si="8"/>
        <v>4761</v>
      </c>
    </row>
    <row r="112" spans="1:52" x14ac:dyDescent="0.25">
      <c r="A112" s="13">
        <v>128</v>
      </c>
      <c r="B112" s="19" t="s">
        <v>262</v>
      </c>
      <c r="C112" s="26" t="s">
        <v>263</v>
      </c>
      <c r="D112" s="19" t="s">
        <v>43</v>
      </c>
      <c r="E112" s="16"/>
      <c r="F112" s="16"/>
      <c r="G112" s="16"/>
      <c r="H112" s="16"/>
      <c r="I112" s="16"/>
      <c r="J112" s="16"/>
      <c r="K112" s="16"/>
      <c r="L112" s="16"/>
      <c r="M112" s="16"/>
      <c r="N112" s="16"/>
      <c r="O112" s="16"/>
      <c r="P112" s="16"/>
      <c r="Q112" s="16"/>
      <c r="R112" s="16"/>
      <c r="S112" s="16"/>
      <c r="T112" s="16"/>
      <c r="U112" s="16">
        <v>124</v>
      </c>
      <c r="V112" s="16">
        <v>308</v>
      </c>
      <c r="W112" s="16"/>
      <c r="X112" s="16"/>
      <c r="Y112" s="16"/>
      <c r="Z112" s="16"/>
      <c r="AA112" s="16"/>
      <c r="AB112" s="16"/>
      <c r="AC112" s="16"/>
      <c r="AD112" s="16"/>
      <c r="AE112" s="16"/>
      <c r="AF112" s="16"/>
      <c r="AG112" s="16"/>
      <c r="AH112" s="16"/>
      <c r="AI112" s="16"/>
      <c r="AJ112" s="16"/>
      <c r="AK112" s="16"/>
      <c r="AL112" s="16"/>
      <c r="AM112" s="16"/>
      <c r="AN112" s="16"/>
      <c r="AO112" s="15"/>
      <c r="AP112" s="15"/>
      <c r="AQ112" s="15"/>
      <c r="AR112" s="15"/>
      <c r="AS112" s="15"/>
      <c r="AT112" s="15"/>
      <c r="AU112" s="15"/>
      <c r="AV112" s="15"/>
      <c r="AW112" s="15"/>
      <c r="AX112" s="15"/>
      <c r="AY112" s="27">
        <f t="shared" si="7"/>
        <v>124</v>
      </c>
      <c r="AZ112" s="27">
        <f t="shared" si="8"/>
        <v>308</v>
      </c>
    </row>
    <row r="113" spans="1:52" x14ac:dyDescent="0.25">
      <c r="A113" s="13">
        <v>130</v>
      </c>
      <c r="B113" s="19" t="s">
        <v>264</v>
      </c>
      <c r="C113" s="26" t="s">
        <v>265</v>
      </c>
      <c r="D113" s="19" t="s">
        <v>42</v>
      </c>
      <c r="E113" s="16"/>
      <c r="F113" s="16"/>
      <c r="G113" s="16">
        <v>20</v>
      </c>
      <c r="H113" s="16">
        <v>50</v>
      </c>
      <c r="I113" s="16"/>
      <c r="J113" s="16"/>
      <c r="K113" s="16"/>
      <c r="L113" s="16"/>
      <c r="M113" s="16"/>
      <c r="N113" s="16"/>
      <c r="O113" s="16"/>
      <c r="P113" s="16"/>
      <c r="Q113" s="16"/>
      <c r="R113" s="16"/>
      <c r="S113" s="16">
        <v>1</v>
      </c>
      <c r="T113" s="16">
        <v>1</v>
      </c>
      <c r="U113" s="16">
        <v>967</v>
      </c>
      <c r="V113" s="16">
        <v>2412</v>
      </c>
      <c r="W113" s="16"/>
      <c r="X113" s="16"/>
      <c r="Y113" s="16">
        <v>152</v>
      </c>
      <c r="Z113" s="16">
        <v>376</v>
      </c>
      <c r="AA113" s="16"/>
      <c r="AB113" s="16"/>
      <c r="AC113" s="16"/>
      <c r="AD113" s="16"/>
      <c r="AE113" s="16"/>
      <c r="AF113" s="16"/>
      <c r="AG113" s="16"/>
      <c r="AH113" s="16"/>
      <c r="AI113" s="16"/>
      <c r="AJ113" s="16"/>
      <c r="AK113" s="16"/>
      <c r="AL113" s="16"/>
      <c r="AM113" s="16"/>
      <c r="AN113" s="16"/>
      <c r="AO113" s="15"/>
      <c r="AP113" s="15"/>
      <c r="AQ113" s="15"/>
      <c r="AR113" s="15"/>
      <c r="AS113" s="15"/>
      <c r="AT113" s="15"/>
      <c r="AU113" s="15"/>
      <c r="AV113" s="15"/>
      <c r="AW113" s="15"/>
      <c r="AX113" s="15"/>
      <c r="AY113" s="27">
        <f t="shared" si="7"/>
        <v>1140</v>
      </c>
      <c r="AZ113" s="27">
        <f t="shared" si="8"/>
        <v>2839</v>
      </c>
    </row>
    <row r="114" spans="1:52" x14ac:dyDescent="0.25">
      <c r="A114" s="13">
        <v>131</v>
      </c>
      <c r="B114" s="19" t="s">
        <v>266</v>
      </c>
      <c r="C114" s="26" t="s">
        <v>267</v>
      </c>
      <c r="D114" s="19" t="s">
        <v>42</v>
      </c>
      <c r="E114" s="16"/>
      <c r="F114" s="16"/>
      <c r="G114" s="16">
        <v>31</v>
      </c>
      <c r="H114" s="16">
        <v>75</v>
      </c>
      <c r="I114" s="16"/>
      <c r="J114" s="16"/>
      <c r="K114" s="16"/>
      <c r="L114" s="16"/>
      <c r="M114" s="16"/>
      <c r="N114" s="16"/>
      <c r="O114" s="16"/>
      <c r="P114" s="16"/>
      <c r="Q114" s="16"/>
      <c r="R114" s="16"/>
      <c r="S114" s="16">
        <v>32</v>
      </c>
      <c r="T114" s="16">
        <v>80</v>
      </c>
      <c r="U114" s="16">
        <v>697</v>
      </c>
      <c r="V114" s="16">
        <v>1736</v>
      </c>
      <c r="W114" s="16">
        <v>4</v>
      </c>
      <c r="X114" s="16">
        <v>9</v>
      </c>
      <c r="Y114" s="16">
        <v>122</v>
      </c>
      <c r="Z114" s="16">
        <v>304</v>
      </c>
      <c r="AA114" s="16"/>
      <c r="AB114" s="16"/>
      <c r="AC114" s="16">
        <v>400</v>
      </c>
      <c r="AD114" s="16">
        <v>1000</v>
      </c>
      <c r="AE114" s="16"/>
      <c r="AF114" s="16"/>
      <c r="AG114" s="16"/>
      <c r="AH114" s="16"/>
      <c r="AI114" s="16"/>
      <c r="AJ114" s="16"/>
      <c r="AK114" s="16"/>
      <c r="AL114" s="16"/>
      <c r="AM114" s="16"/>
      <c r="AN114" s="16"/>
      <c r="AO114" s="15"/>
      <c r="AP114" s="15"/>
      <c r="AQ114" s="15"/>
      <c r="AR114" s="15"/>
      <c r="AS114" s="15"/>
      <c r="AT114" s="15"/>
      <c r="AU114" s="15"/>
      <c r="AV114" s="15"/>
      <c r="AW114" s="15"/>
      <c r="AX114" s="15"/>
      <c r="AY114" s="27">
        <f t="shared" si="7"/>
        <v>1286</v>
      </c>
      <c r="AZ114" s="27">
        <f t="shared" si="8"/>
        <v>3204</v>
      </c>
    </row>
    <row r="115" spans="1:52" x14ac:dyDescent="0.25">
      <c r="A115" s="13">
        <v>132</v>
      </c>
      <c r="B115" s="19" t="s">
        <v>268</v>
      </c>
      <c r="C115" s="26" t="s">
        <v>269</v>
      </c>
      <c r="D115" s="19" t="s">
        <v>42</v>
      </c>
      <c r="E115" s="16">
        <v>2416</v>
      </c>
      <c r="F115" s="16">
        <v>6040</v>
      </c>
      <c r="G115" s="16"/>
      <c r="H115" s="16"/>
      <c r="I115" s="16">
        <v>7700</v>
      </c>
      <c r="J115" s="16">
        <v>19248</v>
      </c>
      <c r="K115" s="16">
        <v>4</v>
      </c>
      <c r="L115" s="16">
        <v>10</v>
      </c>
      <c r="M115" s="16">
        <v>3930</v>
      </c>
      <c r="N115" s="16">
        <v>9822</v>
      </c>
      <c r="O115" s="16">
        <v>2475</v>
      </c>
      <c r="P115" s="16">
        <v>6182</v>
      </c>
      <c r="Q115" s="16"/>
      <c r="R115" s="16"/>
      <c r="S115" s="16"/>
      <c r="T115" s="16"/>
      <c r="U115" s="16">
        <v>946</v>
      </c>
      <c r="V115" s="16">
        <v>2364</v>
      </c>
      <c r="W115" s="16">
        <v>1440</v>
      </c>
      <c r="X115" s="16">
        <v>3600</v>
      </c>
      <c r="Y115" s="16">
        <v>2074</v>
      </c>
      <c r="Z115" s="16">
        <v>5184</v>
      </c>
      <c r="AA115" s="16">
        <v>57</v>
      </c>
      <c r="AB115" s="16">
        <v>140</v>
      </c>
      <c r="AC115" s="16">
        <v>3969</v>
      </c>
      <c r="AD115" s="16">
        <v>9920</v>
      </c>
      <c r="AE115" s="16">
        <v>3708</v>
      </c>
      <c r="AF115" s="16">
        <v>9268</v>
      </c>
      <c r="AG115" s="16"/>
      <c r="AH115" s="16"/>
      <c r="AI115" s="16">
        <v>2225</v>
      </c>
      <c r="AJ115" s="16">
        <v>5557</v>
      </c>
      <c r="AK115" s="16">
        <v>108</v>
      </c>
      <c r="AL115" s="16">
        <v>270</v>
      </c>
      <c r="AM115" s="16"/>
      <c r="AN115" s="16"/>
      <c r="AO115" s="15">
        <v>2983</v>
      </c>
      <c r="AP115" s="15">
        <v>7456</v>
      </c>
      <c r="AQ115" s="15"/>
      <c r="AR115" s="15"/>
      <c r="AS115" s="15"/>
      <c r="AT115" s="15"/>
      <c r="AU115" s="15"/>
      <c r="AV115" s="15"/>
      <c r="AW115" s="15"/>
      <c r="AX115" s="15"/>
      <c r="AY115" s="27">
        <f t="shared" si="7"/>
        <v>34035</v>
      </c>
      <c r="AZ115" s="27">
        <f t="shared" si="8"/>
        <v>85061</v>
      </c>
    </row>
    <row r="116" spans="1:52" x14ac:dyDescent="0.25">
      <c r="A116" s="13">
        <v>133</v>
      </c>
      <c r="B116" s="19" t="s">
        <v>270</v>
      </c>
      <c r="C116" s="26" t="s">
        <v>271</v>
      </c>
      <c r="D116" s="19" t="s">
        <v>42</v>
      </c>
      <c r="E116" s="16">
        <v>2827</v>
      </c>
      <c r="F116" s="16">
        <v>7065</v>
      </c>
      <c r="G116" s="16">
        <v>16</v>
      </c>
      <c r="H116" s="16">
        <v>36</v>
      </c>
      <c r="I116" s="16">
        <v>5591</v>
      </c>
      <c r="J116" s="16">
        <v>13975</v>
      </c>
      <c r="K116" s="16"/>
      <c r="L116" s="16"/>
      <c r="M116" s="16">
        <v>12560</v>
      </c>
      <c r="N116" s="16">
        <v>31400</v>
      </c>
      <c r="O116" s="16">
        <v>1936</v>
      </c>
      <c r="P116" s="16">
        <v>4839</v>
      </c>
      <c r="Q116" s="16"/>
      <c r="R116" s="16"/>
      <c r="S116" s="16"/>
      <c r="T116" s="16"/>
      <c r="U116" s="16">
        <v>198</v>
      </c>
      <c r="V116" s="16">
        <v>494</v>
      </c>
      <c r="W116" s="16">
        <v>432</v>
      </c>
      <c r="X116" s="16">
        <v>1080</v>
      </c>
      <c r="Y116" s="16">
        <v>1428</v>
      </c>
      <c r="Z116" s="16">
        <v>3568</v>
      </c>
      <c r="AA116" s="16">
        <v>24</v>
      </c>
      <c r="AB116" s="16">
        <v>60</v>
      </c>
      <c r="AC116" s="16">
        <v>1672</v>
      </c>
      <c r="AD116" s="16">
        <v>4177</v>
      </c>
      <c r="AE116" s="16">
        <v>594</v>
      </c>
      <c r="AF116" s="16">
        <v>1483</v>
      </c>
      <c r="AG116" s="16"/>
      <c r="AH116" s="16"/>
      <c r="AI116" s="16">
        <v>577</v>
      </c>
      <c r="AJ116" s="16">
        <v>1441</v>
      </c>
      <c r="AK116" s="16">
        <v>80</v>
      </c>
      <c r="AL116" s="16">
        <v>200</v>
      </c>
      <c r="AM116" s="16"/>
      <c r="AN116" s="16"/>
      <c r="AO116" s="15">
        <v>3360</v>
      </c>
      <c r="AP116" s="15">
        <v>8400</v>
      </c>
      <c r="AQ116" s="15">
        <v>36</v>
      </c>
      <c r="AR116" s="15">
        <v>90</v>
      </c>
      <c r="AS116" s="15"/>
      <c r="AT116" s="15"/>
      <c r="AU116" s="15"/>
      <c r="AV116" s="15"/>
      <c r="AW116" s="15"/>
      <c r="AX116" s="15"/>
      <c r="AY116" s="27">
        <f t="shared" si="7"/>
        <v>31331</v>
      </c>
      <c r="AZ116" s="27">
        <f t="shared" si="8"/>
        <v>78308</v>
      </c>
    </row>
    <row r="117" spans="1:52" x14ac:dyDescent="0.25">
      <c r="A117" s="13">
        <v>134</v>
      </c>
      <c r="B117" s="19" t="s">
        <v>272</v>
      </c>
      <c r="C117" s="26" t="s">
        <v>273</v>
      </c>
      <c r="D117" s="19" t="s">
        <v>42</v>
      </c>
      <c r="E117" s="16">
        <v>76</v>
      </c>
      <c r="F117" s="16">
        <v>190</v>
      </c>
      <c r="G117" s="16">
        <v>1848</v>
      </c>
      <c r="H117" s="16">
        <v>4612</v>
      </c>
      <c r="I117" s="16">
        <v>1808</v>
      </c>
      <c r="J117" s="16">
        <v>4518</v>
      </c>
      <c r="K117" s="16">
        <v>1118</v>
      </c>
      <c r="L117" s="16">
        <v>2794</v>
      </c>
      <c r="M117" s="16">
        <v>6544</v>
      </c>
      <c r="N117" s="16">
        <v>16360</v>
      </c>
      <c r="O117" s="16">
        <v>1503</v>
      </c>
      <c r="P117" s="16">
        <v>3748</v>
      </c>
      <c r="Q117" s="16">
        <v>130</v>
      </c>
      <c r="R117" s="16">
        <v>320</v>
      </c>
      <c r="S117" s="16">
        <v>34</v>
      </c>
      <c r="T117" s="16">
        <v>84</v>
      </c>
      <c r="U117" s="16">
        <v>573</v>
      </c>
      <c r="V117" s="16">
        <v>1425</v>
      </c>
      <c r="W117" s="16">
        <v>360</v>
      </c>
      <c r="X117" s="16">
        <v>900</v>
      </c>
      <c r="Y117" s="16">
        <v>552</v>
      </c>
      <c r="Z117" s="16">
        <v>1376</v>
      </c>
      <c r="AA117" s="16">
        <v>140</v>
      </c>
      <c r="AB117" s="16">
        <v>344</v>
      </c>
      <c r="AC117" s="16">
        <v>990</v>
      </c>
      <c r="AD117" s="16">
        <v>2475</v>
      </c>
      <c r="AE117" s="16">
        <v>1066</v>
      </c>
      <c r="AF117" s="16">
        <v>2661</v>
      </c>
      <c r="AG117" s="16">
        <v>892</v>
      </c>
      <c r="AH117" s="16">
        <v>2228</v>
      </c>
      <c r="AI117" s="16">
        <v>580</v>
      </c>
      <c r="AJ117" s="16">
        <v>1450</v>
      </c>
      <c r="AK117" s="16">
        <v>1584</v>
      </c>
      <c r="AL117" s="16">
        <v>3960</v>
      </c>
      <c r="AM117" s="16">
        <v>40</v>
      </c>
      <c r="AN117" s="16">
        <v>96</v>
      </c>
      <c r="AO117" s="15">
        <v>496</v>
      </c>
      <c r="AP117" s="15">
        <v>1240</v>
      </c>
      <c r="AQ117" s="15">
        <v>16</v>
      </c>
      <c r="AR117" s="15">
        <v>40</v>
      </c>
      <c r="AS117" s="15">
        <v>6</v>
      </c>
      <c r="AT117" s="15">
        <v>15</v>
      </c>
      <c r="AU117" s="15">
        <v>404</v>
      </c>
      <c r="AV117" s="15">
        <v>1010</v>
      </c>
      <c r="AW117" s="15">
        <v>14</v>
      </c>
      <c r="AX117" s="15">
        <v>34</v>
      </c>
      <c r="AY117" s="27">
        <f t="shared" si="7"/>
        <v>20774</v>
      </c>
      <c r="AZ117" s="27">
        <f t="shared" si="8"/>
        <v>51880</v>
      </c>
    </row>
    <row r="118" spans="1:52" x14ac:dyDescent="0.25">
      <c r="A118" s="13">
        <v>135</v>
      </c>
      <c r="B118" s="19" t="s">
        <v>274</v>
      </c>
      <c r="C118" s="26" t="s">
        <v>275</v>
      </c>
      <c r="D118" s="19" t="s">
        <v>42</v>
      </c>
      <c r="E118" s="16">
        <v>20</v>
      </c>
      <c r="F118" s="16">
        <v>50</v>
      </c>
      <c r="G118" s="16">
        <v>1442</v>
      </c>
      <c r="H118" s="16">
        <v>3604</v>
      </c>
      <c r="I118" s="16">
        <v>46</v>
      </c>
      <c r="J118" s="16">
        <v>112</v>
      </c>
      <c r="K118" s="16"/>
      <c r="L118" s="16"/>
      <c r="M118" s="16">
        <v>1358</v>
      </c>
      <c r="N118" s="16">
        <v>3394</v>
      </c>
      <c r="O118" s="16">
        <v>13</v>
      </c>
      <c r="P118" s="16">
        <v>28</v>
      </c>
      <c r="Q118" s="16">
        <v>220</v>
      </c>
      <c r="R118" s="16">
        <v>546</v>
      </c>
      <c r="S118" s="16">
        <v>14</v>
      </c>
      <c r="T118" s="16">
        <v>34</v>
      </c>
      <c r="U118" s="16">
        <v>1012</v>
      </c>
      <c r="V118" s="16">
        <v>2526</v>
      </c>
      <c r="W118" s="16">
        <v>144</v>
      </c>
      <c r="X118" s="16">
        <v>360</v>
      </c>
      <c r="Y118" s="16">
        <v>2</v>
      </c>
      <c r="Z118" s="16">
        <v>2</v>
      </c>
      <c r="AA118" s="16">
        <v>112</v>
      </c>
      <c r="AB118" s="16">
        <v>280</v>
      </c>
      <c r="AC118" s="16">
        <v>238</v>
      </c>
      <c r="AD118" s="16">
        <v>595</v>
      </c>
      <c r="AE118" s="16">
        <v>192</v>
      </c>
      <c r="AF118" s="16">
        <v>480</v>
      </c>
      <c r="AG118" s="16"/>
      <c r="AH118" s="16"/>
      <c r="AI118" s="16">
        <v>576</v>
      </c>
      <c r="AJ118" s="16">
        <v>1440</v>
      </c>
      <c r="AK118" s="16">
        <v>8</v>
      </c>
      <c r="AL118" s="16">
        <v>20</v>
      </c>
      <c r="AM118" s="16">
        <v>78</v>
      </c>
      <c r="AN118" s="16">
        <v>192</v>
      </c>
      <c r="AO118" s="15">
        <v>224</v>
      </c>
      <c r="AP118" s="15">
        <v>560</v>
      </c>
      <c r="AQ118" s="15">
        <v>76</v>
      </c>
      <c r="AR118" s="15">
        <v>190</v>
      </c>
      <c r="AS118" s="15">
        <v>36</v>
      </c>
      <c r="AT118" s="15">
        <v>90</v>
      </c>
      <c r="AU118" s="15">
        <v>42</v>
      </c>
      <c r="AV118" s="15">
        <v>102</v>
      </c>
      <c r="AW118" s="15">
        <v>2</v>
      </c>
      <c r="AX118" s="15">
        <v>4</v>
      </c>
      <c r="AY118" s="27">
        <f t="shared" si="7"/>
        <v>5855</v>
      </c>
      <c r="AZ118" s="27">
        <f t="shared" si="8"/>
        <v>14609</v>
      </c>
    </row>
    <row r="119" spans="1:52" x14ac:dyDescent="0.25">
      <c r="A119" s="13">
        <v>136</v>
      </c>
      <c r="B119" s="19" t="s">
        <v>276</v>
      </c>
      <c r="C119" s="26" t="s">
        <v>277</v>
      </c>
      <c r="D119" s="19" t="s">
        <v>42</v>
      </c>
      <c r="E119" s="16">
        <v>8</v>
      </c>
      <c r="F119" s="16">
        <v>20</v>
      </c>
      <c r="G119" s="16">
        <v>108</v>
      </c>
      <c r="H119" s="16">
        <v>270</v>
      </c>
      <c r="I119" s="16">
        <v>212</v>
      </c>
      <c r="J119" s="16">
        <v>528</v>
      </c>
      <c r="K119" s="16">
        <v>178</v>
      </c>
      <c r="L119" s="16">
        <v>444</v>
      </c>
      <c r="M119" s="16">
        <v>4241</v>
      </c>
      <c r="N119" s="16">
        <v>10601</v>
      </c>
      <c r="O119" s="16">
        <v>162</v>
      </c>
      <c r="P119" s="16">
        <v>403</v>
      </c>
      <c r="Q119" s="16"/>
      <c r="R119" s="16"/>
      <c r="S119" s="16">
        <v>16</v>
      </c>
      <c r="T119" s="16">
        <v>40</v>
      </c>
      <c r="U119" s="16">
        <v>44</v>
      </c>
      <c r="V119" s="16">
        <v>110</v>
      </c>
      <c r="W119" s="16"/>
      <c r="X119" s="16"/>
      <c r="Y119" s="16">
        <v>32</v>
      </c>
      <c r="Z119" s="16">
        <v>76</v>
      </c>
      <c r="AA119" s="16"/>
      <c r="AB119" s="16"/>
      <c r="AC119" s="16">
        <v>13</v>
      </c>
      <c r="AD119" s="16">
        <v>29</v>
      </c>
      <c r="AE119" s="16"/>
      <c r="AF119" s="16"/>
      <c r="AG119" s="16"/>
      <c r="AH119" s="16"/>
      <c r="AI119" s="16">
        <v>440</v>
      </c>
      <c r="AJ119" s="16">
        <v>1100</v>
      </c>
      <c r="AK119" s="16"/>
      <c r="AL119" s="16"/>
      <c r="AM119" s="16">
        <v>2304</v>
      </c>
      <c r="AN119" s="16">
        <v>5760</v>
      </c>
      <c r="AO119" s="15">
        <v>3200</v>
      </c>
      <c r="AP119" s="15">
        <v>8000</v>
      </c>
      <c r="AQ119" s="15">
        <v>40</v>
      </c>
      <c r="AR119" s="15">
        <v>100</v>
      </c>
      <c r="AS119" s="15"/>
      <c r="AT119" s="15"/>
      <c r="AU119" s="15"/>
      <c r="AV119" s="15"/>
      <c r="AW119" s="15"/>
      <c r="AX119" s="15"/>
      <c r="AY119" s="27">
        <f t="shared" si="7"/>
        <v>10998</v>
      </c>
      <c r="AZ119" s="27">
        <f t="shared" si="8"/>
        <v>27481</v>
      </c>
    </row>
    <row r="120" spans="1:52" x14ac:dyDescent="0.25">
      <c r="A120" s="13">
        <v>138</v>
      </c>
      <c r="B120" s="19" t="s">
        <v>278</v>
      </c>
      <c r="C120" s="26" t="s">
        <v>279</v>
      </c>
      <c r="D120" s="19" t="s">
        <v>42</v>
      </c>
      <c r="E120" s="16">
        <v>40</v>
      </c>
      <c r="F120" s="16">
        <v>99</v>
      </c>
      <c r="G120" s="16">
        <v>662</v>
      </c>
      <c r="H120" s="16">
        <v>1654</v>
      </c>
      <c r="I120" s="16">
        <v>3448</v>
      </c>
      <c r="J120" s="16">
        <v>8620</v>
      </c>
      <c r="K120" s="16">
        <v>2876</v>
      </c>
      <c r="L120" s="16">
        <v>7187</v>
      </c>
      <c r="M120" s="16"/>
      <c r="N120" s="16"/>
      <c r="O120" s="16">
        <v>15</v>
      </c>
      <c r="P120" s="16">
        <v>35</v>
      </c>
      <c r="Q120" s="16">
        <v>16</v>
      </c>
      <c r="R120" s="16">
        <v>38</v>
      </c>
      <c r="S120" s="16">
        <v>15</v>
      </c>
      <c r="T120" s="16">
        <v>36</v>
      </c>
      <c r="U120" s="16">
        <v>352</v>
      </c>
      <c r="V120" s="16">
        <v>880</v>
      </c>
      <c r="W120" s="16">
        <v>52</v>
      </c>
      <c r="X120" s="16">
        <v>130</v>
      </c>
      <c r="Y120" s="16">
        <v>72</v>
      </c>
      <c r="Z120" s="16">
        <v>178</v>
      </c>
      <c r="AA120" s="16">
        <v>160</v>
      </c>
      <c r="AB120" s="16">
        <v>400</v>
      </c>
      <c r="AC120" s="16">
        <v>106</v>
      </c>
      <c r="AD120" s="16">
        <v>265</v>
      </c>
      <c r="AE120" s="16">
        <v>384</v>
      </c>
      <c r="AF120" s="16">
        <v>960</v>
      </c>
      <c r="AG120" s="16">
        <v>400</v>
      </c>
      <c r="AH120" s="16">
        <v>1000</v>
      </c>
      <c r="AI120" s="16"/>
      <c r="AJ120" s="16"/>
      <c r="AK120" s="16">
        <v>84</v>
      </c>
      <c r="AL120" s="16">
        <v>210</v>
      </c>
      <c r="AM120" s="16"/>
      <c r="AN120" s="16"/>
      <c r="AO120" s="15">
        <v>766</v>
      </c>
      <c r="AP120" s="15">
        <v>1913</v>
      </c>
      <c r="AQ120" s="15">
        <v>52</v>
      </c>
      <c r="AR120" s="15">
        <v>130</v>
      </c>
      <c r="AS120" s="15"/>
      <c r="AT120" s="15"/>
      <c r="AU120" s="15">
        <v>400</v>
      </c>
      <c r="AV120" s="15">
        <v>1000</v>
      </c>
      <c r="AW120" s="15">
        <v>22</v>
      </c>
      <c r="AX120" s="15">
        <v>54</v>
      </c>
      <c r="AY120" s="27">
        <f t="shared" ref="AY120:AY150" si="9">SUM(E120+G120+I120+K120+M120+O120+Q120+S120+U120+W120+Y120+AA120+AC120+AE120+AG120+AI120+AK120+AM120+AO120+AQ120+AS120+AU120+AW120)</f>
        <v>9922</v>
      </c>
      <c r="AZ120" s="27">
        <f t="shared" ref="AZ120:AZ150" si="10">SUM(F120+H120+J120+L120+N120+P120+R120+T120+V120+X120+Z120+AB120+AD120+AF120+AH120+AJ120+AL120+AN120+AP120+AR120+AT120+AV120+AX120)</f>
        <v>24789</v>
      </c>
    </row>
    <row r="121" spans="1:52" x14ac:dyDescent="0.25">
      <c r="A121" s="13">
        <v>139</v>
      </c>
      <c r="B121" s="19" t="s">
        <v>280</v>
      </c>
      <c r="C121" s="26" t="s">
        <v>281</v>
      </c>
      <c r="D121" s="19" t="s">
        <v>42</v>
      </c>
      <c r="E121" s="16">
        <v>48</v>
      </c>
      <c r="F121" s="16">
        <v>120</v>
      </c>
      <c r="G121" s="16">
        <v>6</v>
      </c>
      <c r="H121" s="16">
        <v>12</v>
      </c>
      <c r="I121" s="16">
        <v>1960</v>
      </c>
      <c r="J121" s="16">
        <v>4900</v>
      </c>
      <c r="K121" s="16">
        <v>476</v>
      </c>
      <c r="L121" s="16">
        <v>1188</v>
      </c>
      <c r="M121" s="16"/>
      <c r="N121" s="16"/>
      <c r="O121" s="16"/>
      <c r="P121" s="16"/>
      <c r="Q121" s="16">
        <v>16</v>
      </c>
      <c r="R121" s="16">
        <v>38</v>
      </c>
      <c r="S121" s="16"/>
      <c r="T121" s="16"/>
      <c r="U121" s="16">
        <v>99</v>
      </c>
      <c r="V121" s="16">
        <v>247</v>
      </c>
      <c r="W121" s="16"/>
      <c r="X121" s="16"/>
      <c r="Y121" s="16"/>
      <c r="Z121" s="16"/>
      <c r="AA121" s="16"/>
      <c r="AB121" s="16"/>
      <c r="AC121" s="16">
        <v>4</v>
      </c>
      <c r="AD121" s="16">
        <v>6</v>
      </c>
      <c r="AE121" s="16"/>
      <c r="AF121" s="16"/>
      <c r="AG121" s="16">
        <v>248</v>
      </c>
      <c r="AH121" s="16">
        <v>620</v>
      </c>
      <c r="AI121" s="16"/>
      <c r="AJ121" s="16"/>
      <c r="AK121" s="16"/>
      <c r="AL121" s="16"/>
      <c r="AM121" s="16"/>
      <c r="AN121" s="16"/>
      <c r="AO121" s="15">
        <v>1322</v>
      </c>
      <c r="AP121" s="15">
        <v>3303</v>
      </c>
      <c r="AQ121" s="15">
        <v>90</v>
      </c>
      <c r="AR121" s="15">
        <v>224</v>
      </c>
      <c r="AS121" s="15"/>
      <c r="AT121" s="15"/>
      <c r="AU121" s="15"/>
      <c r="AV121" s="15"/>
      <c r="AW121" s="15"/>
      <c r="AX121" s="15"/>
      <c r="AY121" s="27">
        <f t="shared" si="9"/>
        <v>4269</v>
      </c>
      <c r="AZ121" s="27">
        <f t="shared" si="10"/>
        <v>10658</v>
      </c>
    </row>
    <row r="122" spans="1:52" x14ac:dyDescent="0.25">
      <c r="A122" s="13">
        <v>141</v>
      </c>
      <c r="B122" s="19" t="s">
        <v>282</v>
      </c>
      <c r="C122" s="26" t="s">
        <v>283</v>
      </c>
      <c r="D122" s="19" t="s">
        <v>42</v>
      </c>
      <c r="E122" s="16">
        <v>960</v>
      </c>
      <c r="F122" s="16">
        <v>2400</v>
      </c>
      <c r="G122" s="16">
        <v>16000</v>
      </c>
      <c r="H122" s="16">
        <v>40000</v>
      </c>
      <c r="I122" s="16">
        <v>14988</v>
      </c>
      <c r="J122" s="16">
        <v>37466</v>
      </c>
      <c r="K122" s="16">
        <v>12290</v>
      </c>
      <c r="L122" s="16">
        <v>30722</v>
      </c>
      <c r="M122" s="16">
        <v>29464</v>
      </c>
      <c r="N122" s="16">
        <v>73657</v>
      </c>
      <c r="O122" s="16">
        <v>173</v>
      </c>
      <c r="P122" s="16">
        <v>430</v>
      </c>
      <c r="Q122" s="16">
        <v>1652</v>
      </c>
      <c r="R122" s="16">
        <v>4128</v>
      </c>
      <c r="S122" s="16">
        <v>400</v>
      </c>
      <c r="T122" s="16">
        <v>1000</v>
      </c>
      <c r="U122" s="16">
        <v>88</v>
      </c>
      <c r="V122" s="16">
        <v>220</v>
      </c>
      <c r="W122" s="16">
        <v>3629</v>
      </c>
      <c r="X122" s="16">
        <v>9072</v>
      </c>
      <c r="Y122" s="16">
        <v>1262</v>
      </c>
      <c r="Z122" s="16">
        <v>3152</v>
      </c>
      <c r="AA122" s="16">
        <v>256</v>
      </c>
      <c r="AB122" s="16">
        <v>640</v>
      </c>
      <c r="AC122" s="16">
        <v>3432</v>
      </c>
      <c r="AD122" s="16">
        <v>8580</v>
      </c>
      <c r="AE122" s="16">
        <v>5760</v>
      </c>
      <c r="AF122" s="16">
        <v>14400</v>
      </c>
      <c r="AG122" s="16"/>
      <c r="AH122" s="16"/>
      <c r="AI122" s="16">
        <v>960</v>
      </c>
      <c r="AJ122" s="16">
        <v>2400</v>
      </c>
      <c r="AK122" s="16">
        <v>2040</v>
      </c>
      <c r="AL122" s="16">
        <v>5100</v>
      </c>
      <c r="AM122" s="16">
        <v>3072</v>
      </c>
      <c r="AN122" s="16">
        <v>7680</v>
      </c>
      <c r="AO122" s="15">
        <v>3360</v>
      </c>
      <c r="AP122" s="15">
        <v>8400</v>
      </c>
      <c r="AQ122" s="15">
        <v>4323</v>
      </c>
      <c r="AR122" s="15">
        <v>10805</v>
      </c>
      <c r="AS122" s="15"/>
      <c r="AT122" s="15"/>
      <c r="AU122" s="15">
        <v>120</v>
      </c>
      <c r="AV122" s="15">
        <v>300</v>
      </c>
      <c r="AW122" s="15"/>
      <c r="AX122" s="15"/>
      <c r="AY122" s="27">
        <f t="shared" si="9"/>
        <v>104229</v>
      </c>
      <c r="AZ122" s="27">
        <f t="shared" si="10"/>
        <v>260552</v>
      </c>
    </row>
    <row r="123" spans="1:52" x14ac:dyDescent="0.25">
      <c r="A123" s="13">
        <v>142</v>
      </c>
      <c r="B123" s="19" t="s">
        <v>284</v>
      </c>
      <c r="C123" s="26" t="s">
        <v>285</v>
      </c>
      <c r="D123" s="19" t="s">
        <v>42</v>
      </c>
      <c r="E123" s="16">
        <v>8</v>
      </c>
      <c r="F123" s="16">
        <v>20</v>
      </c>
      <c r="G123" s="16">
        <v>240</v>
      </c>
      <c r="H123" s="16">
        <v>600</v>
      </c>
      <c r="I123" s="16">
        <v>896</v>
      </c>
      <c r="J123" s="16">
        <v>2236</v>
      </c>
      <c r="K123" s="16">
        <v>244</v>
      </c>
      <c r="L123" s="16">
        <v>610</v>
      </c>
      <c r="M123" s="16">
        <v>488</v>
      </c>
      <c r="N123" s="16">
        <v>1220</v>
      </c>
      <c r="O123" s="16">
        <v>662</v>
      </c>
      <c r="P123" s="16">
        <v>1652</v>
      </c>
      <c r="Q123" s="16"/>
      <c r="R123" s="16"/>
      <c r="S123" s="16">
        <v>64</v>
      </c>
      <c r="T123" s="16">
        <v>160</v>
      </c>
      <c r="U123" s="16"/>
      <c r="V123" s="16"/>
      <c r="W123" s="16"/>
      <c r="X123" s="16"/>
      <c r="Y123" s="16"/>
      <c r="Z123" s="16"/>
      <c r="AA123" s="16"/>
      <c r="AB123" s="16"/>
      <c r="AC123" s="16"/>
      <c r="AD123" s="16"/>
      <c r="AE123" s="16"/>
      <c r="AF123" s="16"/>
      <c r="AG123" s="16">
        <v>1680</v>
      </c>
      <c r="AH123" s="16">
        <v>4200</v>
      </c>
      <c r="AI123" s="16">
        <v>16</v>
      </c>
      <c r="AJ123" s="16">
        <v>40</v>
      </c>
      <c r="AK123" s="16">
        <v>3240</v>
      </c>
      <c r="AL123" s="16">
        <v>8100</v>
      </c>
      <c r="AM123" s="16"/>
      <c r="AN123" s="16"/>
      <c r="AO123" s="15">
        <v>160</v>
      </c>
      <c r="AP123" s="15">
        <v>400</v>
      </c>
      <c r="AQ123" s="15">
        <v>972</v>
      </c>
      <c r="AR123" s="15">
        <v>2430</v>
      </c>
      <c r="AS123" s="15"/>
      <c r="AT123" s="15"/>
      <c r="AU123" s="15">
        <v>40</v>
      </c>
      <c r="AV123" s="15">
        <v>100</v>
      </c>
      <c r="AW123" s="15"/>
      <c r="AX123" s="15"/>
      <c r="AY123" s="27">
        <f t="shared" si="9"/>
        <v>8710</v>
      </c>
      <c r="AZ123" s="27">
        <f t="shared" si="10"/>
        <v>21768</v>
      </c>
    </row>
    <row r="124" spans="1:52" x14ac:dyDescent="0.25">
      <c r="A124" s="13">
        <v>143</v>
      </c>
      <c r="B124" s="19" t="s">
        <v>286</v>
      </c>
      <c r="C124" s="26" t="s">
        <v>287</v>
      </c>
      <c r="D124" s="19" t="s">
        <v>42</v>
      </c>
      <c r="E124" s="16">
        <v>6140</v>
      </c>
      <c r="F124" s="16">
        <v>15350</v>
      </c>
      <c r="G124" s="16">
        <v>5384</v>
      </c>
      <c r="H124" s="16">
        <v>13460</v>
      </c>
      <c r="I124" s="16">
        <v>6808</v>
      </c>
      <c r="J124" s="16">
        <v>17020</v>
      </c>
      <c r="K124" s="16">
        <v>5166</v>
      </c>
      <c r="L124" s="16">
        <v>12914</v>
      </c>
      <c r="M124" s="16">
        <v>6958</v>
      </c>
      <c r="N124" s="16">
        <v>17390</v>
      </c>
      <c r="O124" s="16">
        <v>70</v>
      </c>
      <c r="P124" s="16">
        <v>175</v>
      </c>
      <c r="Q124" s="16">
        <v>1688</v>
      </c>
      <c r="R124" s="16">
        <v>4216</v>
      </c>
      <c r="S124" s="16">
        <v>1600</v>
      </c>
      <c r="T124" s="16">
        <v>4000</v>
      </c>
      <c r="U124" s="16">
        <v>1048</v>
      </c>
      <c r="V124" s="16">
        <v>2617</v>
      </c>
      <c r="W124" s="16">
        <v>424</v>
      </c>
      <c r="X124" s="16">
        <v>1060</v>
      </c>
      <c r="Y124" s="16">
        <v>1482</v>
      </c>
      <c r="Z124" s="16">
        <v>3704</v>
      </c>
      <c r="AA124" s="16">
        <v>169</v>
      </c>
      <c r="AB124" s="16">
        <v>420</v>
      </c>
      <c r="AC124" s="16">
        <v>4576</v>
      </c>
      <c r="AD124" s="16">
        <v>11440</v>
      </c>
      <c r="AE124" s="16"/>
      <c r="AF124" s="16"/>
      <c r="AG124" s="16"/>
      <c r="AH124" s="16"/>
      <c r="AI124" s="16">
        <v>40</v>
      </c>
      <c r="AJ124" s="16">
        <v>100</v>
      </c>
      <c r="AK124" s="16"/>
      <c r="AL124" s="16"/>
      <c r="AM124" s="16"/>
      <c r="AN124" s="16"/>
      <c r="AO124" s="15">
        <v>1920</v>
      </c>
      <c r="AP124" s="15">
        <v>4800</v>
      </c>
      <c r="AQ124" s="15">
        <v>7</v>
      </c>
      <c r="AR124" s="15">
        <v>15</v>
      </c>
      <c r="AS124" s="15"/>
      <c r="AT124" s="15"/>
      <c r="AU124" s="15">
        <v>88</v>
      </c>
      <c r="AV124" s="15">
        <v>220</v>
      </c>
      <c r="AW124" s="15">
        <v>580</v>
      </c>
      <c r="AX124" s="15">
        <v>1450</v>
      </c>
      <c r="AY124" s="27">
        <f t="shared" si="9"/>
        <v>44148</v>
      </c>
      <c r="AZ124" s="27">
        <f t="shared" si="10"/>
        <v>110351</v>
      </c>
    </row>
    <row r="125" spans="1:52" x14ac:dyDescent="0.25">
      <c r="A125" s="13">
        <v>144</v>
      </c>
      <c r="B125" s="19" t="s">
        <v>288</v>
      </c>
      <c r="C125" s="26" t="s">
        <v>289</v>
      </c>
      <c r="D125" s="19" t="s">
        <v>42</v>
      </c>
      <c r="E125" s="16">
        <v>5600</v>
      </c>
      <c r="F125" s="16">
        <v>14000</v>
      </c>
      <c r="G125" s="16">
        <v>9640</v>
      </c>
      <c r="H125" s="16">
        <v>24100</v>
      </c>
      <c r="I125" s="16">
        <v>59676</v>
      </c>
      <c r="J125" s="16">
        <v>149190</v>
      </c>
      <c r="K125" s="16">
        <v>20552</v>
      </c>
      <c r="L125" s="16">
        <v>51380</v>
      </c>
      <c r="M125" s="16">
        <v>15532</v>
      </c>
      <c r="N125" s="16">
        <v>38826</v>
      </c>
      <c r="O125" s="16">
        <v>2731</v>
      </c>
      <c r="P125" s="16">
        <v>6824</v>
      </c>
      <c r="Q125" s="16">
        <v>9760</v>
      </c>
      <c r="R125" s="16">
        <v>24396</v>
      </c>
      <c r="S125" s="16">
        <v>5796</v>
      </c>
      <c r="T125" s="16">
        <v>14487</v>
      </c>
      <c r="U125" s="16">
        <v>2420</v>
      </c>
      <c r="V125" s="16">
        <v>6046</v>
      </c>
      <c r="W125" s="16">
        <v>6400</v>
      </c>
      <c r="X125" s="16">
        <v>16000</v>
      </c>
      <c r="Y125" s="16">
        <v>5854</v>
      </c>
      <c r="Z125" s="16">
        <v>14632</v>
      </c>
      <c r="AA125" s="16">
        <v>2400</v>
      </c>
      <c r="AB125" s="16">
        <v>6000</v>
      </c>
      <c r="AC125" s="16">
        <v>18912</v>
      </c>
      <c r="AD125" s="16">
        <v>47279</v>
      </c>
      <c r="AE125" s="16">
        <v>13600</v>
      </c>
      <c r="AF125" s="16">
        <v>34000</v>
      </c>
      <c r="AG125" s="16">
        <v>4840</v>
      </c>
      <c r="AH125" s="16">
        <v>12100</v>
      </c>
      <c r="AI125" s="16">
        <v>11488</v>
      </c>
      <c r="AJ125" s="16">
        <v>28720</v>
      </c>
      <c r="AK125" s="16">
        <v>9840</v>
      </c>
      <c r="AL125" s="16">
        <v>24600</v>
      </c>
      <c r="AM125" s="16">
        <v>31680</v>
      </c>
      <c r="AN125" s="16">
        <v>79200</v>
      </c>
      <c r="AO125" s="15">
        <v>20842</v>
      </c>
      <c r="AP125" s="15">
        <v>52104</v>
      </c>
      <c r="AQ125" s="15">
        <v>3188</v>
      </c>
      <c r="AR125" s="15">
        <v>7968</v>
      </c>
      <c r="AS125" s="15">
        <v>8</v>
      </c>
      <c r="AT125" s="15">
        <v>20</v>
      </c>
      <c r="AU125" s="15">
        <v>640</v>
      </c>
      <c r="AV125" s="15">
        <v>1600</v>
      </c>
      <c r="AW125" s="15">
        <v>1202</v>
      </c>
      <c r="AX125" s="15">
        <v>3000</v>
      </c>
      <c r="AY125" s="27">
        <f t="shared" si="9"/>
        <v>262601</v>
      </c>
      <c r="AZ125" s="27">
        <f t="shared" si="10"/>
        <v>656472</v>
      </c>
    </row>
    <row r="126" spans="1:52" x14ac:dyDescent="0.25">
      <c r="A126" s="13">
        <v>145</v>
      </c>
      <c r="B126" s="19" t="s">
        <v>290</v>
      </c>
      <c r="C126" s="26" t="s">
        <v>291</v>
      </c>
      <c r="D126" s="19" t="s">
        <v>42</v>
      </c>
      <c r="E126" s="16"/>
      <c r="F126" s="16"/>
      <c r="G126" s="16">
        <v>22</v>
      </c>
      <c r="H126" s="16">
        <v>54</v>
      </c>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v>2</v>
      </c>
      <c r="AH126" s="16">
        <v>4</v>
      </c>
      <c r="AI126" s="16"/>
      <c r="AJ126" s="16"/>
      <c r="AK126" s="16">
        <v>12</v>
      </c>
      <c r="AL126" s="16">
        <v>30</v>
      </c>
      <c r="AM126" s="16"/>
      <c r="AN126" s="16"/>
      <c r="AO126" s="15"/>
      <c r="AP126" s="15"/>
      <c r="AQ126" s="15"/>
      <c r="AR126" s="15"/>
      <c r="AS126" s="15"/>
      <c r="AT126" s="15"/>
      <c r="AU126" s="15"/>
      <c r="AV126" s="15"/>
      <c r="AW126" s="15"/>
      <c r="AX126" s="15"/>
      <c r="AY126" s="27">
        <f t="shared" si="9"/>
        <v>36</v>
      </c>
      <c r="AZ126" s="27">
        <f t="shared" si="10"/>
        <v>88</v>
      </c>
    </row>
    <row r="127" spans="1:52" x14ac:dyDescent="0.25">
      <c r="A127" s="13">
        <v>146</v>
      </c>
      <c r="B127" s="19" t="s">
        <v>292</v>
      </c>
      <c r="C127" s="26" t="s">
        <v>293</v>
      </c>
      <c r="D127" s="19" t="s">
        <v>42</v>
      </c>
      <c r="E127" s="16">
        <v>72</v>
      </c>
      <c r="F127" s="16">
        <v>180</v>
      </c>
      <c r="G127" s="16">
        <v>552</v>
      </c>
      <c r="H127" s="16">
        <v>1380</v>
      </c>
      <c r="I127" s="16"/>
      <c r="J127" s="16"/>
      <c r="K127" s="16">
        <v>11978</v>
      </c>
      <c r="L127" s="16">
        <v>29944</v>
      </c>
      <c r="M127" s="16">
        <v>2968</v>
      </c>
      <c r="N127" s="16">
        <v>7411</v>
      </c>
      <c r="O127" s="16">
        <v>600</v>
      </c>
      <c r="P127" s="16">
        <v>1500</v>
      </c>
      <c r="Q127" s="16">
        <v>982</v>
      </c>
      <c r="R127" s="16">
        <v>2450</v>
      </c>
      <c r="S127" s="16">
        <v>10</v>
      </c>
      <c r="T127" s="16">
        <v>24</v>
      </c>
      <c r="U127" s="16">
        <v>2332</v>
      </c>
      <c r="V127" s="16">
        <v>5829</v>
      </c>
      <c r="W127" s="16">
        <v>46</v>
      </c>
      <c r="X127" s="16">
        <v>114</v>
      </c>
      <c r="Y127" s="16">
        <v>44</v>
      </c>
      <c r="Z127" s="16">
        <v>108</v>
      </c>
      <c r="AA127" s="16">
        <v>402</v>
      </c>
      <c r="AB127" s="16">
        <v>1002</v>
      </c>
      <c r="AC127" s="16">
        <v>28</v>
      </c>
      <c r="AD127" s="16">
        <v>68</v>
      </c>
      <c r="AE127" s="16">
        <v>739</v>
      </c>
      <c r="AF127" s="16">
        <v>1841</v>
      </c>
      <c r="AG127" s="16">
        <v>190</v>
      </c>
      <c r="AH127" s="16">
        <v>475</v>
      </c>
      <c r="AI127" s="16">
        <v>500</v>
      </c>
      <c r="AJ127" s="16">
        <v>1248</v>
      </c>
      <c r="AK127" s="16">
        <v>400</v>
      </c>
      <c r="AL127" s="16">
        <v>1000</v>
      </c>
      <c r="AM127" s="16">
        <v>60</v>
      </c>
      <c r="AN127" s="16">
        <v>144</v>
      </c>
      <c r="AO127" s="15">
        <v>917</v>
      </c>
      <c r="AP127" s="15">
        <v>2292</v>
      </c>
      <c r="AQ127" s="15">
        <v>596</v>
      </c>
      <c r="AR127" s="15">
        <v>1490</v>
      </c>
      <c r="AS127" s="15"/>
      <c r="AT127" s="15"/>
      <c r="AU127" s="15">
        <v>1986</v>
      </c>
      <c r="AV127" s="15">
        <v>4965</v>
      </c>
      <c r="AW127" s="15">
        <v>28</v>
      </c>
      <c r="AX127" s="15">
        <v>66</v>
      </c>
      <c r="AY127" s="27">
        <f t="shared" si="9"/>
        <v>25430</v>
      </c>
      <c r="AZ127" s="27">
        <f t="shared" si="10"/>
        <v>63531</v>
      </c>
    </row>
    <row r="128" spans="1:52" x14ac:dyDescent="0.25">
      <c r="A128" s="13">
        <v>147</v>
      </c>
      <c r="B128" s="19" t="s">
        <v>294</v>
      </c>
      <c r="C128" s="26" t="s">
        <v>295</v>
      </c>
      <c r="D128" s="19" t="s">
        <v>42</v>
      </c>
      <c r="E128" s="16"/>
      <c r="F128" s="16"/>
      <c r="G128" s="16">
        <v>520</v>
      </c>
      <c r="H128" s="16">
        <v>1300</v>
      </c>
      <c r="I128" s="16"/>
      <c r="J128" s="16"/>
      <c r="K128" s="16">
        <v>2</v>
      </c>
      <c r="L128" s="16">
        <v>4</v>
      </c>
      <c r="M128" s="16"/>
      <c r="N128" s="16"/>
      <c r="O128" s="16"/>
      <c r="P128" s="16"/>
      <c r="Q128" s="16"/>
      <c r="R128" s="16"/>
      <c r="S128" s="16"/>
      <c r="T128" s="16"/>
      <c r="U128" s="16">
        <v>176</v>
      </c>
      <c r="V128" s="16">
        <v>440</v>
      </c>
      <c r="W128" s="16"/>
      <c r="X128" s="16"/>
      <c r="Y128" s="16"/>
      <c r="Z128" s="16"/>
      <c r="AA128" s="16"/>
      <c r="AB128" s="16"/>
      <c r="AC128" s="16">
        <v>13</v>
      </c>
      <c r="AD128" s="16">
        <v>29</v>
      </c>
      <c r="AE128" s="16"/>
      <c r="AF128" s="16"/>
      <c r="AG128" s="16"/>
      <c r="AH128" s="16"/>
      <c r="AI128" s="16">
        <v>110</v>
      </c>
      <c r="AJ128" s="16">
        <v>274</v>
      </c>
      <c r="AK128" s="16">
        <v>16</v>
      </c>
      <c r="AL128" s="16">
        <v>40</v>
      </c>
      <c r="AM128" s="16"/>
      <c r="AN128" s="16"/>
      <c r="AO128" s="15">
        <v>640</v>
      </c>
      <c r="AP128" s="15">
        <v>1600</v>
      </c>
      <c r="AQ128" s="15">
        <v>4</v>
      </c>
      <c r="AR128" s="15">
        <v>10</v>
      </c>
      <c r="AS128" s="15"/>
      <c r="AT128" s="15"/>
      <c r="AU128" s="15"/>
      <c r="AV128" s="15"/>
      <c r="AW128" s="15"/>
      <c r="AX128" s="15"/>
      <c r="AY128" s="27">
        <f t="shared" si="9"/>
        <v>1481</v>
      </c>
      <c r="AZ128" s="27">
        <f t="shared" si="10"/>
        <v>3697</v>
      </c>
    </row>
    <row r="129" spans="1:52" x14ac:dyDescent="0.25">
      <c r="A129" s="13">
        <v>148</v>
      </c>
      <c r="B129" s="19" t="s">
        <v>296</v>
      </c>
      <c r="C129" s="26" t="s">
        <v>297</v>
      </c>
      <c r="D129" s="19" t="s">
        <v>42</v>
      </c>
      <c r="E129" s="16">
        <v>120</v>
      </c>
      <c r="F129" s="16">
        <v>300</v>
      </c>
      <c r="G129" s="16">
        <v>15516</v>
      </c>
      <c r="H129" s="16">
        <v>38790</v>
      </c>
      <c r="I129" s="16">
        <v>2864</v>
      </c>
      <c r="J129" s="16">
        <v>7160</v>
      </c>
      <c r="K129" s="16">
        <v>996</v>
      </c>
      <c r="L129" s="16">
        <v>2488</v>
      </c>
      <c r="M129" s="16">
        <v>920</v>
      </c>
      <c r="N129" s="16">
        <v>2300</v>
      </c>
      <c r="O129" s="16"/>
      <c r="P129" s="16"/>
      <c r="Q129" s="16">
        <v>40</v>
      </c>
      <c r="R129" s="16">
        <v>100</v>
      </c>
      <c r="S129" s="16">
        <v>85</v>
      </c>
      <c r="T129" s="16">
        <v>210</v>
      </c>
      <c r="U129" s="16">
        <v>286</v>
      </c>
      <c r="V129" s="16">
        <v>715</v>
      </c>
      <c r="W129" s="16">
        <v>72</v>
      </c>
      <c r="X129" s="16">
        <v>180</v>
      </c>
      <c r="Y129" s="16">
        <v>244</v>
      </c>
      <c r="Z129" s="16">
        <v>608</v>
      </c>
      <c r="AA129" s="16">
        <v>59</v>
      </c>
      <c r="AB129" s="16">
        <v>145</v>
      </c>
      <c r="AC129" s="16">
        <v>572</v>
      </c>
      <c r="AD129" s="16">
        <v>1430</v>
      </c>
      <c r="AE129" s="16"/>
      <c r="AF129" s="16"/>
      <c r="AG129" s="16"/>
      <c r="AH129" s="16"/>
      <c r="AI129" s="16">
        <v>280</v>
      </c>
      <c r="AJ129" s="16">
        <v>700</v>
      </c>
      <c r="AK129" s="16"/>
      <c r="AL129" s="16"/>
      <c r="AM129" s="16">
        <v>2304</v>
      </c>
      <c r="AN129" s="16">
        <v>5760</v>
      </c>
      <c r="AO129" s="15">
        <v>20</v>
      </c>
      <c r="AP129" s="15">
        <v>46</v>
      </c>
      <c r="AQ129" s="15">
        <v>3508</v>
      </c>
      <c r="AR129" s="15">
        <v>8770</v>
      </c>
      <c r="AS129" s="15"/>
      <c r="AT129" s="15"/>
      <c r="AU129" s="15">
        <v>1340</v>
      </c>
      <c r="AV129" s="15">
        <v>3350</v>
      </c>
      <c r="AW129" s="15">
        <v>444</v>
      </c>
      <c r="AX129" s="15">
        <v>1110</v>
      </c>
      <c r="AY129" s="27">
        <f t="shared" si="9"/>
        <v>29670</v>
      </c>
      <c r="AZ129" s="27">
        <f t="shared" si="10"/>
        <v>74162</v>
      </c>
    </row>
    <row r="130" spans="1:52" x14ac:dyDescent="0.25">
      <c r="A130" s="13">
        <v>149</v>
      </c>
      <c r="B130" s="19" t="s">
        <v>298</v>
      </c>
      <c r="C130" s="26" t="s">
        <v>299</v>
      </c>
      <c r="D130" s="19" t="s">
        <v>42</v>
      </c>
      <c r="E130" s="16"/>
      <c r="F130" s="16"/>
      <c r="G130" s="16"/>
      <c r="H130" s="16"/>
      <c r="I130" s="16">
        <v>48</v>
      </c>
      <c r="J130" s="16">
        <v>120</v>
      </c>
      <c r="K130" s="16">
        <v>4</v>
      </c>
      <c r="L130" s="16">
        <v>10</v>
      </c>
      <c r="M130" s="16">
        <v>104</v>
      </c>
      <c r="N130" s="16">
        <v>258</v>
      </c>
      <c r="O130" s="16"/>
      <c r="P130" s="16"/>
      <c r="Q130" s="16"/>
      <c r="R130" s="16"/>
      <c r="S130" s="16"/>
      <c r="T130" s="16"/>
      <c r="U130" s="16">
        <v>88</v>
      </c>
      <c r="V130" s="16">
        <v>220</v>
      </c>
      <c r="W130" s="16"/>
      <c r="X130" s="16"/>
      <c r="Y130" s="16"/>
      <c r="Z130" s="16"/>
      <c r="AA130" s="16">
        <v>24</v>
      </c>
      <c r="AB130" s="16">
        <v>60</v>
      </c>
      <c r="AC130" s="16">
        <v>396</v>
      </c>
      <c r="AD130" s="16">
        <v>986</v>
      </c>
      <c r="AE130" s="16"/>
      <c r="AF130" s="16"/>
      <c r="AG130" s="16"/>
      <c r="AH130" s="16"/>
      <c r="AI130" s="16"/>
      <c r="AJ130" s="16"/>
      <c r="AK130" s="16"/>
      <c r="AL130" s="16"/>
      <c r="AM130" s="16"/>
      <c r="AN130" s="16"/>
      <c r="AO130" s="15">
        <v>56</v>
      </c>
      <c r="AP130" s="15">
        <v>140</v>
      </c>
      <c r="AQ130" s="15"/>
      <c r="AR130" s="15"/>
      <c r="AS130" s="15"/>
      <c r="AT130" s="15"/>
      <c r="AU130" s="15"/>
      <c r="AV130" s="15"/>
      <c r="AW130" s="15"/>
      <c r="AX130" s="15"/>
      <c r="AY130" s="27">
        <f t="shared" si="9"/>
        <v>720</v>
      </c>
      <c r="AZ130" s="27">
        <f t="shared" si="10"/>
        <v>1794</v>
      </c>
    </row>
    <row r="131" spans="1:52" x14ac:dyDescent="0.25">
      <c r="A131" s="13">
        <v>150</v>
      </c>
      <c r="B131" s="19" t="s">
        <v>300</v>
      </c>
      <c r="C131" s="26" t="s">
        <v>301</v>
      </c>
      <c r="D131" s="19" t="s">
        <v>42</v>
      </c>
      <c r="E131" s="16">
        <v>1000</v>
      </c>
      <c r="F131" s="16">
        <v>2500</v>
      </c>
      <c r="G131" s="16"/>
      <c r="H131" s="16"/>
      <c r="I131" s="16">
        <v>8288</v>
      </c>
      <c r="J131" s="16">
        <v>20720</v>
      </c>
      <c r="K131" s="16">
        <v>1856</v>
      </c>
      <c r="L131" s="16">
        <v>4640</v>
      </c>
      <c r="M131" s="16">
        <v>9511</v>
      </c>
      <c r="N131" s="16">
        <v>23777</v>
      </c>
      <c r="O131" s="16">
        <v>113</v>
      </c>
      <c r="P131" s="16">
        <v>280</v>
      </c>
      <c r="Q131" s="16">
        <v>366</v>
      </c>
      <c r="R131" s="16">
        <v>914</v>
      </c>
      <c r="S131" s="16">
        <v>480</v>
      </c>
      <c r="T131" s="16">
        <v>1200</v>
      </c>
      <c r="U131" s="16">
        <v>440</v>
      </c>
      <c r="V131" s="16">
        <v>1100</v>
      </c>
      <c r="W131" s="16">
        <v>1280</v>
      </c>
      <c r="X131" s="16">
        <v>3200</v>
      </c>
      <c r="Y131" s="16">
        <v>1550</v>
      </c>
      <c r="Z131" s="16">
        <v>3872</v>
      </c>
      <c r="AA131" s="16">
        <v>120</v>
      </c>
      <c r="AB131" s="16">
        <v>300</v>
      </c>
      <c r="AC131" s="16">
        <v>27</v>
      </c>
      <c r="AD131" s="16">
        <v>66</v>
      </c>
      <c r="AE131" s="16">
        <v>2880</v>
      </c>
      <c r="AF131" s="16">
        <v>7200</v>
      </c>
      <c r="AG131" s="16"/>
      <c r="AH131" s="16"/>
      <c r="AI131" s="16">
        <v>2560</v>
      </c>
      <c r="AJ131" s="16">
        <v>6400</v>
      </c>
      <c r="AK131" s="16">
        <v>144</v>
      </c>
      <c r="AL131" s="16">
        <v>360</v>
      </c>
      <c r="AM131" s="16">
        <v>10560</v>
      </c>
      <c r="AN131" s="16">
        <v>26400</v>
      </c>
      <c r="AO131" s="15">
        <v>3186</v>
      </c>
      <c r="AP131" s="15">
        <v>7962</v>
      </c>
      <c r="AQ131" s="15">
        <v>412</v>
      </c>
      <c r="AR131" s="15">
        <v>1030</v>
      </c>
      <c r="AS131" s="15"/>
      <c r="AT131" s="15"/>
      <c r="AU131" s="15">
        <v>840</v>
      </c>
      <c r="AV131" s="15">
        <v>2100</v>
      </c>
      <c r="AW131" s="15">
        <v>128</v>
      </c>
      <c r="AX131" s="15">
        <v>318</v>
      </c>
      <c r="AY131" s="27">
        <f t="shared" si="9"/>
        <v>45741</v>
      </c>
      <c r="AZ131" s="27">
        <f t="shared" si="10"/>
        <v>114339</v>
      </c>
    </row>
    <row r="132" spans="1:52" x14ac:dyDescent="0.25">
      <c r="A132" s="13">
        <v>151</v>
      </c>
      <c r="B132" s="19" t="s">
        <v>302</v>
      </c>
      <c r="C132" s="26" t="s">
        <v>303</v>
      </c>
      <c r="D132" s="19" t="s">
        <v>42</v>
      </c>
      <c r="E132" s="16"/>
      <c r="F132" s="16"/>
      <c r="G132" s="16">
        <v>1208</v>
      </c>
      <c r="H132" s="16">
        <v>3016</v>
      </c>
      <c r="I132" s="16"/>
      <c r="J132" s="16"/>
      <c r="K132" s="16">
        <v>400</v>
      </c>
      <c r="L132" s="16">
        <v>1000</v>
      </c>
      <c r="M132" s="16"/>
      <c r="N132" s="16"/>
      <c r="O132" s="16"/>
      <c r="P132" s="16"/>
      <c r="Q132" s="16"/>
      <c r="R132" s="16"/>
      <c r="S132" s="16">
        <v>40</v>
      </c>
      <c r="T132" s="16">
        <v>100</v>
      </c>
      <c r="U132" s="16"/>
      <c r="V132" s="16"/>
      <c r="W132" s="16"/>
      <c r="X132" s="16"/>
      <c r="Y132" s="16"/>
      <c r="Z132" s="16"/>
      <c r="AA132" s="16"/>
      <c r="AB132" s="16"/>
      <c r="AC132" s="16">
        <v>1017</v>
      </c>
      <c r="AD132" s="16">
        <v>2541</v>
      </c>
      <c r="AE132" s="16"/>
      <c r="AF132" s="16"/>
      <c r="AG132" s="16"/>
      <c r="AH132" s="16"/>
      <c r="AI132" s="16"/>
      <c r="AJ132" s="16"/>
      <c r="AK132" s="16">
        <v>1200</v>
      </c>
      <c r="AL132" s="16">
        <v>3000</v>
      </c>
      <c r="AM132" s="16"/>
      <c r="AN132" s="16"/>
      <c r="AO132" s="15"/>
      <c r="AP132" s="15"/>
      <c r="AQ132" s="15"/>
      <c r="AR132" s="15"/>
      <c r="AS132" s="15"/>
      <c r="AT132" s="15"/>
      <c r="AU132" s="15"/>
      <c r="AV132" s="15"/>
      <c r="AW132" s="15"/>
      <c r="AX132" s="15"/>
      <c r="AY132" s="27">
        <f t="shared" si="9"/>
        <v>3865</v>
      </c>
      <c r="AZ132" s="27">
        <f t="shared" si="10"/>
        <v>9657</v>
      </c>
    </row>
    <row r="133" spans="1:52" x14ac:dyDescent="0.25">
      <c r="A133" s="13">
        <v>152</v>
      </c>
      <c r="B133" s="19" t="s">
        <v>304</v>
      </c>
      <c r="C133" s="26" t="s">
        <v>305</v>
      </c>
      <c r="D133" s="19" t="s">
        <v>42</v>
      </c>
      <c r="E133" s="16">
        <v>720</v>
      </c>
      <c r="F133" s="16">
        <v>1800</v>
      </c>
      <c r="G133" s="16">
        <v>2000</v>
      </c>
      <c r="H133" s="16">
        <v>5000</v>
      </c>
      <c r="I133" s="16">
        <v>976</v>
      </c>
      <c r="J133" s="16">
        <v>2440</v>
      </c>
      <c r="K133" s="16">
        <v>1176</v>
      </c>
      <c r="L133" s="16">
        <v>2940</v>
      </c>
      <c r="M133" s="16">
        <v>11817</v>
      </c>
      <c r="N133" s="16">
        <v>29541</v>
      </c>
      <c r="O133" s="16">
        <v>144</v>
      </c>
      <c r="P133" s="16">
        <v>360</v>
      </c>
      <c r="Q133" s="16">
        <v>728</v>
      </c>
      <c r="R133" s="16">
        <v>1818</v>
      </c>
      <c r="S133" s="16"/>
      <c r="T133" s="16"/>
      <c r="U133" s="16">
        <v>176</v>
      </c>
      <c r="V133" s="16">
        <v>440</v>
      </c>
      <c r="W133" s="16"/>
      <c r="X133" s="16"/>
      <c r="Y133" s="16">
        <v>160</v>
      </c>
      <c r="Z133" s="16">
        <v>398</v>
      </c>
      <c r="AA133" s="16">
        <v>301</v>
      </c>
      <c r="AB133" s="16">
        <v>750</v>
      </c>
      <c r="AC133" s="16">
        <v>401</v>
      </c>
      <c r="AD133" s="16">
        <v>1001</v>
      </c>
      <c r="AE133" s="16"/>
      <c r="AF133" s="16"/>
      <c r="AG133" s="16"/>
      <c r="AH133" s="16"/>
      <c r="AI133" s="16"/>
      <c r="AJ133" s="16"/>
      <c r="AK133" s="16">
        <v>800</v>
      </c>
      <c r="AL133" s="16">
        <v>2000</v>
      </c>
      <c r="AM133" s="16"/>
      <c r="AN133" s="16"/>
      <c r="AO133" s="15">
        <v>7904</v>
      </c>
      <c r="AP133" s="15">
        <v>19758</v>
      </c>
      <c r="AQ133" s="15">
        <v>778</v>
      </c>
      <c r="AR133" s="15">
        <v>1944</v>
      </c>
      <c r="AS133" s="15"/>
      <c r="AT133" s="15"/>
      <c r="AU133" s="15"/>
      <c r="AV133" s="15"/>
      <c r="AW133" s="15"/>
      <c r="AX133" s="15"/>
      <c r="AY133" s="27">
        <f t="shared" si="9"/>
        <v>28081</v>
      </c>
      <c r="AZ133" s="27">
        <f t="shared" si="10"/>
        <v>70190</v>
      </c>
    </row>
    <row r="134" spans="1:52" x14ac:dyDescent="0.25">
      <c r="A134" s="13">
        <v>153</v>
      </c>
      <c r="B134" s="19" t="s">
        <v>306</v>
      </c>
      <c r="C134" s="26" t="s">
        <v>307</v>
      </c>
      <c r="D134" s="19" t="s">
        <v>42</v>
      </c>
      <c r="E134" s="16">
        <v>6400</v>
      </c>
      <c r="F134" s="16">
        <v>16000</v>
      </c>
      <c r="G134" s="16">
        <v>9600</v>
      </c>
      <c r="H134" s="16">
        <v>24000</v>
      </c>
      <c r="I134" s="16">
        <v>55928</v>
      </c>
      <c r="J134" s="16">
        <v>139820</v>
      </c>
      <c r="K134" s="16">
        <v>1349</v>
      </c>
      <c r="L134" s="16">
        <v>3372</v>
      </c>
      <c r="M134" s="16">
        <v>26612</v>
      </c>
      <c r="N134" s="16">
        <v>66528</v>
      </c>
      <c r="O134" s="16">
        <v>2101</v>
      </c>
      <c r="P134" s="16">
        <v>5251</v>
      </c>
      <c r="Q134" s="16">
        <v>5838</v>
      </c>
      <c r="R134" s="16">
        <v>14594</v>
      </c>
      <c r="S134" s="16">
        <v>3400</v>
      </c>
      <c r="T134" s="16">
        <v>8500</v>
      </c>
      <c r="U134" s="16">
        <v>541</v>
      </c>
      <c r="V134" s="16">
        <v>1351</v>
      </c>
      <c r="W134" s="16">
        <v>736</v>
      </c>
      <c r="X134" s="16">
        <v>1840</v>
      </c>
      <c r="Y134" s="16">
        <v>3200</v>
      </c>
      <c r="Z134" s="16">
        <v>8000</v>
      </c>
      <c r="AA134" s="16">
        <v>1368</v>
      </c>
      <c r="AB134" s="16">
        <v>3420</v>
      </c>
      <c r="AC134" s="16">
        <v>2062</v>
      </c>
      <c r="AD134" s="16">
        <v>5153</v>
      </c>
      <c r="AE134" s="16">
        <v>9600</v>
      </c>
      <c r="AF134" s="16">
        <v>24000</v>
      </c>
      <c r="AG134" s="16">
        <v>208</v>
      </c>
      <c r="AH134" s="16">
        <v>520</v>
      </c>
      <c r="AI134" s="16">
        <v>48</v>
      </c>
      <c r="AJ134" s="16">
        <v>120</v>
      </c>
      <c r="AK134" s="16">
        <v>4024</v>
      </c>
      <c r="AL134" s="16">
        <v>10060</v>
      </c>
      <c r="AM134" s="16">
        <v>3840</v>
      </c>
      <c r="AN134" s="16">
        <v>9600</v>
      </c>
      <c r="AO134" s="15">
        <v>11592</v>
      </c>
      <c r="AP134" s="15">
        <v>28978</v>
      </c>
      <c r="AQ134" s="15">
        <v>3964</v>
      </c>
      <c r="AR134" s="15">
        <v>9910</v>
      </c>
      <c r="AS134" s="15"/>
      <c r="AT134" s="15"/>
      <c r="AU134" s="15">
        <v>4040</v>
      </c>
      <c r="AV134" s="15">
        <v>10100</v>
      </c>
      <c r="AW134" s="15">
        <v>324</v>
      </c>
      <c r="AX134" s="15">
        <v>806</v>
      </c>
      <c r="AY134" s="27">
        <f t="shared" si="9"/>
        <v>156775</v>
      </c>
      <c r="AZ134" s="27">
        <f t="shared" si="10"/>
        <v>391923</v>
      </c>
    </row>
    <row r="135" spans="1:52" x14ac:dyDescent="0.25">
      <c r="A135" s="13">
        <v>156</v>
      </c>
      <c r="B135" s="19" t="s">
        <v>308</v>
      </c>
      <c r="C135" s="26" t="s">
        <v>309</v>
      </c>
      <c r="D135" s="19" t="s">
        <v>42</v>
      </c>
      <c r="E135" s="16">
        <v>8</v>
      </c>
      <c r="F135" s="16">
        <v>20</v>
      </c>
      <c r="G135" s="16"/>
      <c r="H135" s="16"/>
      <c r="I135" s="16">
        <v>364</v>
      </c>
      <c r="J135" s="16">
        <v>908</v>
      </c>
      <c r="K135" s="16">
        <v>414</v>
      </c>
      <c r="L135" s="16">
        <v>1034</v>
      </c>
      <c r="M135" s="16">
        <v>696</v>
      </c>
      <c r="N135" s="16">
        <v>1738</v>
      </c>
      <c r="O135" s="16">
        <v>263</v>
      </c>
      <c r="P135" s="16">
        <v>655</v>
      </c>
      <c r="Q135" s="16">
        <v>8</v>
      </c>
      <c r="R135" s="16">
        <v>18</v>
      </c>
      <c r="S135" s="16">
        <v>102</v>
      </c>
      <c r="T135" s="16">
        <v>252</v>
      </c>
      <c r="U135" s="16">
        <v>108</v>
      </c>
      <c r="V135" s="16">
        <v>270</v>
      </c>
      <c r="W135" s="16">
        <v>223</v>
      </c>
      <c r="X135" s="16">
        <v>556</v>
      </c>
      <c r="Y135" s="16">
        <v>64</v>
      </c>
      <c r="Z135" s="16">
        <v>160</v>
      </c>
      <c r="AA135" s="16">
        <v>6</v>
      </c>
      <c r="AB135" s="16">
        <v>14</v>
      </c>
      <c r="AC135" s="16"/>
      <c r="AD135" s="16"/>
      <c r="AE135" s="16">
        <v>1920</v>
      </c>
      <c r="AF135" s="16">
        <v>4800</v>
      </c>
      <c r="AG135" s="16">
        <v>156</v>
      </c>
      <c r="AH135" s="16">
        <v>390</v>
      </c>
      <c r="AI135" s="16">
        <v>400</v>
      </c>
      <c r="AJ135" s="16">
        <v>1000</v>
      </c>
      <c r="AK135" s="16">
        <v>1440</v>
      </c>
      <c r="AL135" s="16">
        <v>3600</v>
      </c>
      <c r="AM135" s="16">
        <v>1152</v>
      </c>
      <c r="AN135" s="16">
        <v>2880</v>
      </c>
      <c r="AO135" s="15"/>
      <c r="AP135" s="15"/>
      <c r="AQ135" s="15">
        <v>34</v>
      </c>
      <c r="AR135" s="15">
        <v>84</v>
      </c>
      <c r="AS135" s="15"/>
      <c r="AT135" s="15"/>
      <c r="AU135" s="15">
        <v>80</v>
      </c>
      <c r="AV135" s="15">
        <v>200</v>
      </c>
      <c r="AW135" s="15"/>
      <c r="AX135" s="15"/>
      <c r="AY135" s="27">
        <f t="shared" si="9"/>
        <v>7438</v>
      </c>
      <c r="AZ135" s="27">
        <f t="shared" si="10"/>
        <v>18579</v>
      </c>
    </row>
    <row r="136" spans="1:52" x14ac:dyDescent="0.25">
      <c r="A136" s="13">
        <v>157</v>
      </c>
      <c r="B136" s="19" t="s">
        <v>310</v>
      </c>
      <c r="C136" s="26" t="s">
        <v>311</v>
      </c>
      <c r="D136" s="19" t="s">
        <v>42</v>
      </c>
      <c r="E136" s="16">
        <v>4</v>
      </c>
      <c r="F136" s="16">
        <v>10</v>
      </c>
      <c r="G136" s="16">
        <v>620</v>
      </c>
      <c r="H136" s="16">
        <v>1550</v>
      </c>
      <c r="I136" s="16">
        <v>5420</v>
      </c>
      <c r="J136" s="16">
        <v>13548</v>
      </c>
      <c r="K136" s="16">
        <v>1127</v>
      </c>
      <c r="L136" s="16">
        <v>2817</v>
      </c>
      <c r="M136" s="16">
        <v>514</v>
      </c>
      <c r="N136" s="16">
        <v>1283</v>
      </c>
      <c r="O136" s="16"/>
      <c r="P136" s="16"/>
      <c r="Q136" s="16"/>
      <c r="R136" s="16"/>
      <c r="S136" s="16">
        <v>61</v>
      </c>
      <c r="T136" s="16">
        <v>152</v>
      </c>
      <c r="U136" s="16">
        <v>836</v>
      </c>
      <c r="V136" s="16">
        <v>2090</v>
      </c>
      <c r="W136" s="16">
        <v>36</v>
      </c>
      <c r="X136" s="16">
        <v>90</v>
      </c>
      <c r="Y136" s="16">
        <v>178</v>
      </c>
      <c r="Z136" s="16">
        <v>442</v>
      </c>
      <c r="AA136" s="16">
        <v>4</v>
      </c>
      <c r="AB136" s="16">
        <v>8</v>
      </c>
      <c r="AC136" s="16">
        <v>14</v>
      </c>
      <c r="AD136" s="16">
        <v>33</v>
      </c>
      <c r="AE136" s="16">
        <v>2880</v>
      </c>
      <c r="AF136" s="16">
        <v>7200</v>
      </c>
      <c r="AG136" s="16">
        <v>20</v>
      </c>
      <c r="AH136" s="16">
        <v>48</v>
      </c>
      <c r="AI136" s="16">
        <v>320</v>
      </c>
      <c r="AJ136" s="16">
        <v>800</v>
      </c>
      <c r="AK136" s="16">
        <v>1040</v>
      </c>
      <c r="AL136" s="16">
        <v>2600</v>
      </c>
      <c r="AM136" s="16"/>
      <c r="AN136" s="16"/>
      <c r="AO136" s="15">
        <v>616</v>
      </c>
      <c r="AP136" s="15">
        <v>1540</v>
      </c>
      <c r="AQ136" s="15">
        <v>90</v>
      </c>
      <c r="AR136" s="15">
        <v>224</v>
      </c>
      <c r="AS136" s="15"/>
      <c r="AT136" s="15"/>
      <c r="AU136" s="15"/>
      <c r="AV136" s="15"/>
      <c r="AW136" s="15"/>
      <c r="AX136" s="15"/>
      <c r="AY136" s="27">
        <f t="shared" si="9"/>
        <v>13780</v>
      </c>
      <c r="AZ136" s="27">
        <f t="shared" si="10"/>
        <v>34435</v>
      </c>
    </row>
    <row r="137" spans="1:52" x14ac:dyDescent="0.25">
      <c r="A137" s="13">
        <v>160</v>
      </c>
      <c r="B137" s="19" t="s">
        <v>312</v>
      </c>
      <c r="C137" s="26" t="s">
        <v>313</v>
      </c>
      <c r="D137" s="19" t="s">
        <v>42</v>
      </c>
      <c r="E137" s="16">
        <v>416</v>
      </c>
      <c r="F137" s="16">
        <v>1039</v>
      </c>
      <c r="G137" s="16">
        <v>492</v>
      </c>
      <c r="H137" s="16">
        <v>1230</v>
      </c>
      <c r="I137" s="16">
        <v>3836</v>
      </c>
      <c r="J137" s="16">
        <v>9588</v>
      </c>
      <c r="K137" s="16">
        <v>1597</v>
      </c>
      <c r="L137" s="16">
        <v>3992</v>
      </c>
      <c r="M137" s="16">
        <v>688</v>
      </c>
      <c r="N137" s="16">
        <v>1716</v>
      </c>
      <c r="O137" s="16">
        <v>883</v>
      </c>
      <c r="P137" s="16">
        <v>2203</v>
      </c>
      <c r="Q137" s="16">
        <v>446</v>
      </c>
      <c r="R137" s="16">
        <v>1110</v>
      </c>
      <c r="S137" s="16">
        <v>88</v>
      </c>
      <c r="T137" s="16">
        <v>220</v>
      </c>
      <c r="U137" s="16">
        <v>2563</v>
      </c>
      <c r="V137" s="16">
        <v>6407</v>
      </c>
      <c r="W137" s="16">
        <v>64</v>
      </c>
      <c r="X137" s="16">
        <v>160</v>
      </c>
      <c r="Y137" s="16">
        <v>364</v>
      </c>
      <c r="Z137" s="16">
        <v>908</v>
      </c>
      <c r="AA137" s="16">
        <v>648</v>
      </c>
      <c r="AB137" s="16">
        <v>1620</v>
      </c>
      <c r="AC137" s="16">
        <v>132</v>
      </c>
      <c r="AD137" s="16">
        <v>330</v>
      </c>
      <c r="AE137" s="16">
        <v>64</v>
      </c>
      <c r="AF137" s="16">
        <v>160</v>
      </c>
      <c r="AG137" s="16">
        <v>1280</v>
      </c>
      <c r="AH137" s="16">
        <v>3200</v>
      </c>
      <c r="AI137" s="16">
        <v>8560</v>
      </c>
      <c r="AJ137" s="16">
        <v>21400</v>
      </c>
      <c r="AK137" s="16">
        <v>264</v>
      </c>
      <c r="AL137" s="16">
        <v>656</v>
      </c>
      <c r="AM137" s="16">
        <v>846</v>
      </c>
      <c r="AN137" s="16">
        <v>2112</v>
      </c>
      <c r="AO137" s="15">
        <v>1463</v>
      </c>
      <c r="AP137" s="15">
        <v>3656</v>
      </c>
      <c r="AQ137" s="15"/>
      <c r="AR137" s="15"/>
      <c r="AS137" s="15">
        <v>276</v>
      </c>
      <c r="AT137" s="15">
        <v>690</v>
      </c>
      <c r="AU137" s="15">
        <v>27</v>
      </c>
      <c r="AV137" s="15">
        <v>66</v>
      </c>
      <c r="AW137" s="15">
        <v>28</v>
      </c>
      <c r="AX137" s="15">
        <v>68</v>
      </c>
      <c r="AY137" s="27">
        <f t="shared" si="9"/>
        <v>25025</v>
      </c>
      <c r="AZ137" s="27">
        <f t="shared" si="10"/>
        <v>62531</v>
      </c>
    </row>
    <row r="138" spans="1:52" x14ac:dyDescent="0.25">
      <c r="A138" s="13">
        <v>162</v>
      </c>
      <c r="B138" s="19" t="s">
        <v>314</v>
      </c>
      <c r="C138" s="26" t="s">
        <v>315</v>
      </c>
      <c r="D138" s="19" t="s">
        <v>42</v>
      </c>
      <c r="E138" s="16">
        <v>140</v>
      </c>
      <c r="F138" s="16">
        <v>350</v>
      </c>
      <c r="G138" s="16">
        <v>76</v>
      </c>
      <c r="H138" s="16">
        <v>190</v>
      </c>
      <c r="I138" s="16">
        <v>2000</v>
      </c>
      <c r="J138" s="16">
        <v>5000</v>
      </c>
      <c r="K138" s="16">
        <v>236</v>
      </c>
      <c r="L138" s="16">
        <v>590</v>
      </c>
      <c r="M138" s="16">
        <v>874</v>
      </c>
      <c r="N138" s="16">
        <v>2184</v>
      </c>
      <c r="O138" s="16"/>
      <c r="P138" s="16"/>
      <c r="Q138" s="16">
        <v>16</v>
      </c>
      <c r="R138" s="16">
        <v>38</v>
      </c>
      <c r="S138" s="16"/>
      <c r="T138" s="16"/>
      <c r="U138" s="16"/>
      <c r="V138" s="16"/>
      <c r="W138" s="16">
        <v>151</v>
      </c>
      <c r="X138" s="16">
        <v>376</v>
      </c>
      <c r="Y138" s="16"/>
      <c r="Z138" s="16"/>
      <c r="AA138" s="16"/>
      <c r="AB138" s="16"/>
      <c r="AC138" s="16"/>
      <c r="AD138" s="16"/>
      <c r="AE138" s="16">
        <v>1440</v>
      </c>
      <c r="AF138" s="16">
        <v>3600</v>
      </c>
      <c r="AG138" s="16">
        <v>2</v>
      </c>
      <c r="AH138" s="16">
        <v>4</v>
      </c>
      <c r="AI138" s="16">
        <v>40</v>
      </c>
      <c r="AJ138" s="16">
        <v>100</v>
      </c>
      <c r="AK138" s="16">
        <v>56</v>
      </c>
      <c r="AL138" s="16">
        <v>140</v>
      </c>
      <c r="AM138" s="16"/>
      <c r="AN138" s="16"/>
      <c r="AO138" s="15">
        <v>76</v>
      </c>
      <c r="AP138" s="15">
        <v>190</v>
      </c>
      <c r="AQ138" s="15"/>
      <c r="AR138" s="15"/>
      <c r="AS138" s="15"/>
      <c r="AT138" s="15"/>
      <c r="AU138" s="15">
        <v>7</v>
      </c>
      <c r="AV138" s="15">
        <v>16</v>
      </c>
      <c r="AW138" s="15"/>
      <c r="AX138" s="15"/>
      <c r="AY138" s="27">
        <f t="shared" si="9"/>
        <v>5114</v>
      </c>
      <c r="AZ138" s="27">
        <f t="shared" si="10"/>
        <v>12778</v>
      </c>
    </row>
    <row r="139" spans="1:52" x14ac:dyDescent="0.25">
      <c r="A139" s="13">
        <v>163</v>
      </c>
      <c r="B139" s="19" t="s">
        <v>316</v>
      </c>
      <c r="C139" s="26" t="s">
        <v>317</v>
      </c>
      <c r="D139" s="19" t="s">
        <v>42</v>
      </c>
      <c r="E139" s="16"/>
      <c r="F139" s="16"/>
      <c r="G139" s="16"/>
      <c r="H139" s="16"/>
      <c r="I139" s="16"/>
      <c r="J139" s="16"/>
      <c r="K139" s="16">
        <v>91</v>
      </c>
      <c r="L139" s="16">
        <v>224</v>
      </c>
      <c r="M139" s="16">
        <v>1204</v>
      </c>
      <c r="N139" s="16">
        <v>3010</v>
      </c>
      <c r="O139" s="16">
        <v>57</v>
      </c>
      <c r="P139" s="16">
        <v>140</v>
      </c>
      <c r="Q139" s="16"/>
      <c r="R139" s="16"/>
      <c r="S139" s="16"/>
      <c r="T139" s="16"/>
      <c r="U139" s="16">
        <v>88</v>
      </c>
      <c r="V139" s="16">
        <v>220</v>
      </c>
      <c r="W139" s="16">
        <v>7</v>
      </c>
      <c r="X139" s="16">
        <v>16</v>
      </c>
      <c r="Y139" s="16">
        <v>34</v>
      </c>
      <c r="Z139" s="16">
        <v>84</v>
      </c>
      <c r="AA139" s="16"/>
      <c r="AB139" s="16"/>
      <c r="AC139" s="16">
        <v>22</v>
      </c>
      <c r="AD139" s="16">
        <v>55</v>
      </c>
      <c r="AE139" s="16">
        <v>288</v>
      </c>
      <c r="AF139" s="16">
        <v>720</v>
      </c>
      <c r="AG139" s="16">
        <v>12</v>
      </c>
      <c r="AH139" s="16">
        <v>30</v>
      </c>
      <c r="AI139" s="16">
        <v>136</v>
      </c>
      <c r="AJ139" s="16">
        <v>340</v>
      </c>
      <c r="AK139" s="16">
        <v>56</v>
      </c>
      <c r="AL139" s="16">
        <v>140</v>
      </c>
      <c r="AM139" s="16"/>
      <c r="AN139" s="16"/>
      <c r="AO139" s="15">
        <v>170</v>
      </c>
      <c r="AP139" s="15">
        <v>424</v>
      </c>
      <c r="AQ139" s="15"/>
      <c r="AR139" s="15"/>
      <c r="AS139" s="15"/>
      <c r="AT139" s="15"/>
      <c r="AU139" s="15"/>
      <c r="AV139" s="15"/>
      <c r="AW139" s="15">
        <v>2</v>
      </c>
      <c r="AX139" s="15">
        <v>4</v>
      </c>
      <c r="AY139" s="27">
        <f t="shared" si="9"/>
        <v>2167</v>
      </c>
      <c r="AZ139" s="27">
        <f t="shared" si="10"/>
        <v>5407</v>
      </c>
    </row>
    <row r="140" spans="1:52" x14ac:dyDescent="0.25">
      <c r="A140" s="13">
        <v>165</v>
      </c>
      <c r="B140" s="19" t="s">
        <v>318</v>
      </c>
      <c r="C140" s="26" t="s">
        <v>319</v>
      </c>
      <c r="D140" s="19" t="s">
        <v>42</v>
      </c>
      <c r="E140" s="16">
        <v>20</v>
      </c>
      <c r="F140" s="16">
        <v>48</v>
      </c>
      <c r="G140" s="16">
        <v>48</v>
      </c>
      <c r="H140" s="16">
        <v>120</v>
      </c>
      <c r="I140" s="16">
        <v>3600</v>
      </c>
      <c r="J140" s="16">
        <v>9000</v>
      </c>
      <c r="K140" s="16">
        <v>240</v>
      </c>
      <c r="L140" s="16">
        <v>600</v>
      </c>
      <c r="M140" s="16">
        <v>6862</v>
      </c>
      <c r="N140" s="16">
        <v>17152</v>
      </c>
      <c r="O140" s="16">
        <v>295</v>
      </c>
      <c r="P140" s="16">
        <v>735</v>
      </c>
      <c r="Q140" s="16">
        <v>70</v>
      </c>
      <c r="R140" s="16">
        <v>174</v>
      </c>
      <c r="S140" s="16"/>
      <c r="T140" s="16"/>
      <c r="U140" s="16">
        <v>52</v>
      </c>
      <c r="V140" s="16">
        <v>130</v>
      </c>
      <c r="W140" s="16"/>
      <c r="X140" s="16"/>
      <c r="Y140" s="16">
        <v>32</v>
      </c>
      <c r="Z140" s="16">
        <v>80</v>
      </c>
      <c r="AA140" s="16"/>
      <c r="AB140" s="16"/>
      <c r="AC140" s="16">
        <v>15</v>
      </c>
      <c r="AD140" s="16">
        <v>35</v>
      </c>
      <c r="AE140" s="16">
        <v>914</v>
      </c>
      <c r="AF140" s="16">
        <v>2281</v>
      </c>
      <c r="AG140" s="16">
        <v>6</v>
      </c>
      <c r="AH140" s="16">
        <v>14</v>
      </c>
      <c r="AI140" s="16">
        <v>1120</v>
      </c>
      <c r="AJ140" s="16">
        <v>2800</v>
      </c>
      <c r="AK140" s="16">
        <v>120</v>
      </c>
      <c r="AL140" s="16">
        <v>300</v>
      </c>
      <c r="AM140" s="16">
        <v>50</v>
      </c>
      <c r="AN140" s="16">
        <v>120</v>
      </c>
      <c r="AO140" s="15">
        <v>534</v>
      </c>
      <c r="AP140" s="15">
        <v>1335</v>
      </c>
      <c r="AQ140" s="15"/>
      <c r="AR140" s="15"/>
      <c r="AS140" s="15"/>
      <c r="AT140" s="15"/>
      <c r="AU140" s="15">
        <v>80</v>
      </c>
      <c r="AV140" s="15">
        <v>200</v>
      </c>
      <c r="AW140" s="15"/>
      <c r="AX140" s="15"/>
      <c r="AY140" s="27">
        <f t="shared" si="9"/>
        <v>14058</v>
      </c>
      <c r="AZ140" s="27">
        <f t="shared" si="10"/>
        <v>35124</v>
      </c>
    </row>
    <row r="141" spans="1:52" x14ac:dyDescent="0.25">
      <c r="A141" s="13">
        <v>166</v>
      </c>
      <c r="B141" s="19" t="s">
        <v>320</v>
      </c>
      <c r="C141" s="26" t="s">
        <v>321</v>
      </c>
      <c r="D141" s="19" t="s">
        <v>42</v>
      </c>
      <c r="E141" s="16">
        <v>88</v>
      </c>
      <c r="F141" s="16">
        <v>220</v>
      </c>
      <c r="G141" s="16"/>
      <c r="H141" s="16"/>
      <c r="I141" s="16">
        <v>2000</v>
      </c>
      <c r="J141" s="16">
        <v>5000</v>
      </c>
      <c r="K141" s="16">
        <v>876</v>
      </c>
      <c r="L141" s="16">
        <v>2186</v>
      </c>
      <c r="M141" s="16">
        <v>166</v>
      </c>
      <c r="N141" s="16">
        <v>413</v>
      </c>
      <c r="O141" s="16"/>
      <c r="P141" s="16"/>
      <c r="Q141" s="16">
        <v>40</v>
      </c>
      <c r="R141" s="16">
        <v>100</v>
      </c>
      <c r="S141" s="16"/>
      <c r="T141" s="16"/>
      <c r="U141" s="16">
        <v>112</v>
      </c>
      <c r="V141" s="16">
        <v>280</v>
      </c>
      <c r="W141" s="16"/>
      <c r="X141" s="16"/>
      <c r="Y141" s="16">
        <v>16</v>
      </c>
      <c r="Z141" s="16">
        <v>38</v>
      </c>
      <c r="AA141" s="16">
        <v>20</v>
      </c>
      <c r="AB141" s="16">
        <v>48</v>
      </c>
      <c r="AC141" s="16">
        <v>4</v>
      </c>
      <c r="AD141" s="16">
        <v>7</v>
      </c>
      <c r="AE141" s="16">
        <v>384</v>
      </c>
      <c r="AF141" s="16">
        <v>960</v>
      </c>
      <c r="AG141" s="16">
        <v>192</v>
      </c>
      <c r="AH141" s="16">
        <v>480</v>
      </c>
      <c r="AI141" s="16"/>
      <c r="AJ141" s="16"/>
      <c r="AK141" s="16">
        <v>32</v>
      </c>
      <c r="AL141" s="16">
        <v>80</v>
      </c>
      <c r="AM141" s="16"/>
      <c r="AN141" s="16"/>
      <c r="AO141" s="15">
        <v>2290</v>
      </c>
      <c r="AP141" s="15">
        <v>5725</v>
      </c>
      <c r="AQ141" s="15">
        <v>12</v>
      </c>
      <c r="AR141" s="15">
        <v>30</v>
      </c>
      <c r="AS141" s="15"/>
      <c r="AT141" s="15"/>
      <c r="AU141" s="15">
        <v>120</v>
      </c>
      <c r="AV141" s="15">
        <v>300</v>
      </c>
      <c r="AW141" s="15"/>
      <c r="AX141" s="15"/>
      <c r="AY141" s="27">
        <f t="shared" si="9"/>
        <v>6352</v>
      </c>
      <c r="AZ141" s="27">
        <f t="shared" si="10"/>
        <v>15867</v>
      </c>
    </row>
    <row r="142" spans="1:52" x14ac:dyDescent="0.25">
      <c r="A142" s="13">
        <v>167</v>
      </c>
      <c r="B142" s="19" t="s">
        <v>322</v>
      </c>
      <c r="C142" s="26" t="s">
        <v>323</v>
      </c>
      <c r="D142" s="19" t="s">
        <v>42</v>
      </c>
      <c r="E142" s="16">
        <v>10</v>
      </c>
      <c r="F142" s="16">
        <v>24</v>
      </c>
      <c r="G142" s="16"/>
      <c r="H142" s="16"/>
      <c r="I142" s="16">
        <v>1808</v>
      </c>
      <c r="J142" s="16">
        <v>4520</v>
      </c>
      <c r="K142" s="16">
        <v>1218</v>
      </c>
      <c r="L142" s="16">
        <v>3042</v>
      </c>
      <c r="M142" s="16"/>
      <c r="N142" s="16"/>
      <c r="O142" s="16"/>
      <c r="P142" s="16"/>
      <c r="Q142" s="16"/>
      <c r="R142" s="16"/>
      <c r="S142" s="16"/>
      <c r="T142" s="16"/>
      <c r="U142" s="16">
        <v>68</v>
      </c>
      <c r="V142" s="16">
        <v>170</v>
      </c>
      <c r="W142" s="16">
        <v>64</v>
      </c>
      <c r="X142" s="16">
        <v>160</v>
      </c>
      <c r="Y142" s="16">
        <v>4</v>
      </c>
      <c r="Z142" s="16">
        <v>8</v>
      </c>
      <c r="AA142" s="16">
        <v>78</v>
      </c>
      <c r="AB142" s="16">
        <v>192</v>
      </c>
      <c r="AC142" s="16">
        <v>4</v>
      </c>
      <c r="AD142" s="16">
        <v>7</v>
      </c>
      <c r="AE142" s="16">
        <v>384</v>
      </c>
      <c r="AF142" s="16">
        <v>960</v>
      </c>
      <c r="AG142" s="16">
        <v>660</v>
      </c>
      <c r="AH142" s="16">
        <v>1650</v>
      </c>
      <c r="AI142" s="16">
        <v>192</v>
      </c>
      <c r="AJ142" s="16">
        <v>480</v>
      </c>
      <c r="AK142" s="16">
        <v>80</v>
      </c>
      <c r="AL142" s="16">
        <v>200</v>
      </c>
      <c r="AM142" s="16">
        <v>30</v>
      </c>
      <c r="AN142" s="16">
        <v>72</v>
      </c>
      <c r="AO142" s="15">
        <v>1615</v>
      </c>
      <c r="AP142" s="15">
        <v>4036</v>
      </c>
      <c r="AQ142" s="15"/>
      <c r="AR142" s="15"/>
      <c r="AS142" s="15"/>
      <c r="AT142" s="15"/>
      <c r="AU142" s="15"/>
      <c r="AV142" s="15"/>
      <c r="AW142" s="15"/>
      <c r="AX142" s="15"/>
      <c r="AY142" s="27">
        <f t="shared" si="9"/>
        <v>6215</v>
      </c>
      <c r="AZ142" s="27">
        <f t="shared" si="10"/>
        <v>15521</v>
      </c>
    </row>
    <row r="143" spans="1:52" x14ac:dyDescent="0.25">
      <c r="A143" s="13">
        <v>168</v>
      </c>
      <c r="B143" s="19" t="s">
        <v>324</v>
      </c>
      <c r="C143" s="26" t="s">
        <v>325</v>
      </c>
      <c r="D143" s="19" t="s">
        <v>42</v>
      </c>
      <c r="E143" s="16">
        <v>100</v>
      </c>
      <c r="F143" s="16">
        <v>250</v>
      </c>
      <c r="G143" s="16">
        <v>324</v>
      </c>
      <c r="H143" s="16">
        <v>810</v>
      </c>
      <c r="I143" s="16"/>
      <c r="J143" s="16"/>
      <c r="K143" s="16">
        <v>2396</v>
      </c>
      <c r="L143" s="16">
        <v>5990</v>
      </c>
      <c r="M143" s="16"/>
      <c r="N143" s="16"/>
      <c r="O143" s="16">
        <v>7</v>
      </c>
      <c r="P143" s="16">
        <v>14</v>
      </c>
      <c r="Q143" s="16">
        <v>8</v>
      </c>
      <c r="R143" s="16">
        <v>18</v>
      </c>
      <c r="S143" s="16">
        <v>2</v>
      </c>
      <c r="T143" s="16">
        <v>3</v>
      </c>
      <c r="U143" s="16">
        <v>968</v>
      </c>
      <c r="V143" s="16">
        <v>2420</v>
      </c>
      <c r="W143" s="16"/>
      <c r="X143" s="16"/>
      <c r="Y143" s="16"/>
      <c r="Z143" s="16"/>
      <c r="AA143" s="16">
        <v>20</v>
      </c>
      <c r="AB143" s="16">
        <v>48</v>
      </c>
      <c r="AC143" s="16"/>
      <c r="AD143" s="16"/>
      <c r="AE143" s="16">
        <v>192</v>
      </c>
      <c r="AF143" s="16">
        <v>480</v>
      </c>
      <c r="AG143" s="16"/>
      <c r="AH143" s="16"/>
      <c r="AI143" s="16">
        <v>90</v>
      </c>
      <c r="AJ143" s="16">
        <v>225</v>
      </c>
      <c r="AK143" s="16">
        <v>80</v>
      </c>
      <c r="AL143" s="16">
        <v>200</v>
      </c>
      <c r="AM143" s="16"/>
      <c r="AN143" s="16"/>
      <c r="AO143" s="15"/>
      <c r="AP143" s="15"/>
      <c r="AQ143" s="15">
        <v>20</v>
      </c>
      <c r="AR143" s="15">
        <v>48</v>
      </c>
      <c r="AS143" s="15"/>
      <c r="AT143" s="15"/>
      <c r="AU143" s="15">
        <v>720</v>
      </c>
      <c r="AV143" s="15">
        <v>1800</v>
      </c>
      <c r="AW143" s="15"/>
      <c r="AX143" s="15"/>
      <c r="AY143" s="27">
        <f t="shared" si="9"/>
        <v>4927</v>
      </c>
      <c r="AZ143" s="27">
        <f t="shared" si="10"/>
        <v>12306</v>
      </c>
    </row>
    <row r="144" spans="1:52" x14ac:dyDescent="0.25">
      <c r="A144" s="13">
        <v>169</v>
      </c>
      <c r="B144" s="19" t="s">
        <v>326</v>
      </c>
      <c r="C144" s="26" t="s">
        <v>327</v>
      </c>
      <c r="D144" s="19" t="s">
        <v>42</v>
      </c>
      <c r="E144" s="16"/>
      <c r="F144" s="16"/>
      <c r="G144" s="16"/>
      <c r="H144" s="16"/>
      <c r="I144" s="16"/>
      <c r="J144" s="16"/>
      <c r="K144" s="16">
        <v>68</v>
      </c>
      <c r="L144" s="16">
        <v>170</v>
      </c>
      <c r="M144" s="16">
        <v>63</v>
      </c>
      <c r="N144" s="16">
        <v>155</v>
      </c>
      <c r="O144" s="16"/>
      <c r="P144" s="16"/>
      <c r="Q144" s="16">
        <v>36</v>
      </c>
      <c r="R144" s="16">
        <v>90</v>
      </c>
      <c r="S144" s="16"/>
      <c r="T144" s="16"/>
      <c r="U144" s="16"/>
      <c r="V144" s="16"/>
      <c r="W144" s="16"/>
      <c r="X144" s="16"/>
      <c r="Y144" s="16">
        <v>16</v>
      </c>
      <c r="Z144" s="16">
        <v>40</v>
      </c>
      <c r="AA144" s="16"/>
      <c r="AB144" s="16"/>
      <c r="AC144" s="16">
        <v>48</v>
      </c>
      <c r="AD144" s="16">
        <v>119</v>
      </c>
      <c r="AE144" s="16"/>
      <c r="AF144" s="16"/>
      <c r="AG144" s="16"/>
      <c r="AH144" s="16"/>
      <c r="AI144" s="16"/>
      <c r="AJ144" s="16"/>
      <c r="AK144" s="16"/>
      <c r="AL144" s="16"/>
      <c r="AM144" s="16"/>
      <c r="AN144" s="16"/>
      <c r="AO144" s="15">
        <v>1246</v>
      </c>
      <c r="AP144" s="15">
        <v>3115</v>
      </c>
      <c r="AQ144" s="15">
        <v>40</v>
      </c>
      <c r="AR144" s="15">
        <v>98</v>
      </c>
      <c r="AS144" s="15"/>
      <c r="AT144" s="15"/>
      <c r="AU144" s="15"/>
      <c r="AV144" s="15"/>
      <c r="AW144" s="15"/>
      <c r="AX144" s="15"/>
      <c r="AY144" s="27">
        <f t="shared" si="9"/>
        <v>1517</v>
      </c>
      <c r="AZ144" s="27">
        <f t="shared" si="10"/>
        <v>3787</v>
      </c>
    </row>
    <row r="145" spans="1:52" x14ac:dyDescent="0.25">
      <c r="A145" s="13">
        <v>170</v>
      </c>
      <c r="B145" s="19" t="s">
        <v>328</v>
      </c>
      <c r="C145" s="26" t="s">
        <v>329</v>
      </c>
      <c r="D145" s="19" t="s">
        <v>42</v>
      </c>
      <c r="E145" s="16">
        <v>284</v>
      </c>
      <c r="F145" s="16">
        <v>710</v>
      </c>
      <c r="G145" s="16"/>
      <c r="H145" s="16"/>
      <c r="I145" s="16">
        <v>5300</v>
      </c>
      <c r="J145" s="16">
        <v>13248</v>
      </c>
      <c r="K145" s="16">
        <v>841</v>
      </c>
      <c r="L145" s="16">
        <v>2099</v>
      </c>
      <c r="M145" s="16">
        <v>2982</v>
      </c>
      <c r="N145" s="16">
        <v>7454</v>
      </c>
      <c r="O145" s="16"/>
      <c r="P145" s="16"/>
      <c r="Q145" s="16">
        <v>52</v>
      </c>
      <c r="R145" s="16">
        <v>130</v>
      </c>
      <c r="S145" s="16">
        <v>8</v>
      </c>
      <c r="T145" s="16">
        <v>20</v>
      </c>
      <c r="U145" s="16">
        <v>1056</v>
      </c>
      <c r="V145" s="16">
        <v>2640</v>
      </c>
      <c r="W145" s="16"/>
      <c r="X145" s="16"/>
      <c r="Y145" s="16">
        <v>46</v>
      </c>
      <c r="Z145" s="16">
        <v>114</v>
      </c>
      <c r="AA145" s="16">
        <v>64</v>
      </c>
      <c r="AB145" s="16">
        <v>160</v>
      </c>
      <c r="AC145" s="16">
        <v>391</v>
      </c>
      <c r="AD145" s="16">
        <v>975</v>
      </c>
      <c r="AE145" s="16">
        <v>386</v>
      </c>
      <c r="AF145" s="16">
        <v>961</v>
      </c>
      <c r="AG145" s="16"/>
      <c r="AH145" s="16"/>
      <c r="AI145" s="16">
        <v>24</v>
      </c>
      <c r="AJ145" s="16">
        <v>60</v>
      </c>
      <c r="AK145" s="16">
        <v>168</v>
      </c>
      <c r="AL145" s="16">
        <v>420</v>
      </c>
      <c r="AM145" s="16"/>
      <c r="AN145" s="16"/>
      <c r="AO145" s="15">
        <v>652</v>
      </c>
      <c r="AP145" s="15">
        <v>1628</v>
      </c>
      <c r="AQ145" s="15">
        <v>240</v>
      </c>
      <c r="AR145" s="15">
        <v>600</v>
      </c>
      <c r="AS145" s="15"/>
      <c r="AT145" s="15"/>
      <c r="AU145" s="15"/>
      <c r="AV145" s="15"/>
      <c r="AW145" s="15"/>
      <c r="AX145" s="15"/>
      <c r="AY145" s="27">
        <f t="shared" si="9"/>
        <v>12494</v>
      </c>
      <c r="AZ145" s="27">
        <f t="shared" si="10"/>
        <v>31219</v>
      </c>
    </row>
    <row r="146" spans="1:52" x14ac:dyDescent="0.25">
      <c r="A146" s="13">
        <v>171</v>
      </c>
      <c r="B146" s="19" t="s">
        <v>330</v>
      </c>
      <c r="C146" s="26" t="s">
        <v>331</v>
      </c>
      <c r="D146" s="19" t="s">
        <v>42</v>
      </c>
      <c r="E146" s="16">
        <v>272</v>
      </c>
      <c r="F146" s="16">
        <v>680</v>
      </c>
      <c r="G146" s="16">
        <v>2472</v>
      </c>
      <c r="H146" s="16">
        <v>6180</v>
      </c>
      <c r="I146" s="16">
        <v>2492</v>
      </c>
      <c r="J146" s="16">
        <v>6226</v>
      </c>
      <c r="K146" s="16">
        <v>1494</v>
      </c>
      <c r="L146" s="16">
        <v>3734</v>
      </c>
      <c r="M146" s="16">
        <v>5222</v>
      </c>
      <c r="N146" s="16">
        <v>13053</v>
      </c>
      <c r="O146" s="16">
        <v>72</v>
      </c>
      <c r="P146" s="16">
        <v>175</v>
      </c>
      <c r="Q146" s="16">
        <v>40</v>
      </c>
      <c r="R146" s="16">
        <v>100</v>
      </c>
      <c r="S146" s="16">
        <v>1</v>
      </c>
      <c r="T146" s="16">
        <v>2</v>
      </c>
      <c r="U146" s="16">
        <v>1144</v>
      </c>
      <c r="V146" s="16">
        <v>2860</v>
      </c>
      <c r="W146" s="16">
        <v>216</v>
      </c>
      <c r="X146" s="16">
        <v>540</v>
      </c>
      <c r="Y146" s="16">
        <v>2</v>
      </c>
      <c r="Z146" s="16">
        <v>2</v>
      </c>
      <c r="AA146" s="16">
        <v>68</v>
      </c>
      <c r="AB146" s="16">
        <v>166</v>
      </c>
      <c r="AC146" s="16">
        <v>13</v>
      </c>
      <c r="AD146" s="16">
        <v>29</v>
      </c>
      <c r="AE146" s="16">
        <v>384</v>
      </c>
      <c r="AF146" s="16">
        <v>960</v>
      </c>
      <c r="AG146" s="16">
        <v>200</v>
      </c>
      <c r="AH146" s="16">
        <v>500</v>
      </c>
      <c r="AI146" s="16">
        <v>384</v>
      </c>
      <c r="AJ146" s="16">
        <v>960</v>
      </c>
      <c r="AK146" s="16">
        <v>176</v>
      </c>
      <c r="AL146" s="16">
        <v>440</v>
      </c>
      <c r="AM146" s="16">
        <v>40</v>
      </c>
      <c r="AN146" s="16">
        <v>96</v>
      </c>
      <c r="AO146" s="15">
        <v>436</v>
      </c>
      <c r="AP146" s="15">
        <v>1090</v>
      </c>
      <c r="AQ146" s="15">
        <v>228</v>
      </c>
      <c r="AR146" s="15">
        <v>566</v>
      </c>
      <c r="AS146" s="15"/>
      <c r="AT146" s="15"/>
      <c r="AU146" s="15">
        <v>160</v>
      </c>
      <c r="AV146" s="15">
        <v>400</v>
      </c>
      <c r="AW146" s="15">
        <v>22</v>
      </c>
      <c r="AX146" s="15">
        <v>54</v>
      </c>
      <c r="AY146" s="27">
        <f t="shared" si="9"/>
        <v>15538</v>
      </c>
      <c r="AZ146" s="27">
        <f t="shared" si="10"/>
        <v>38813</v>
      </c>
    </row>
    <row r="147" spans="1:52" x14ac:dyDescent="0.25">
      <c r="A147" s="13">
        <v>172</v>
      </c>
      <c r="B147" s="19" t="s">
        <v>332</v>
      </c>
      <c r="C147" s="26" t="s">
        <v>333</v>
      </c>
      <c r="D147" s="19" t="s">
        <v>42</v>
      </c>
      <c r="E147" s="16">
        <v>176</v>
      </c>
      <c r="F147" s="16">
        <v>440</v>
      </c>
      <c r="G147" s="16">
        <v>624</v>
      </c>
      <c r="H147" s="16">
        <v>1556</v>
      </c>
      <c r="I147" s="16">
        <v>60</v>
      </c>
      <c r="J147" s="16">
        <v>150</v>
      </c>
      <c r="K147" s="16">
        <v>1227</v>
      </c>
      <c r="L147" s="16">
        <v>3064</v>
      </c>
      <c r="M147" s="16">
        <v>5572</v>
      </c>
      <c r="N147" s="16">
        <v>13924</v>
      </c>
      <c r="O147" s="16">
        <v>49</v>
      </c>
      <c r="P147" s="16">
        <v>120</v>
      </c>
      <c r="Q147" s="16">
        <v>188</v>
      </c>
      <c r="R147" s="16">
        <v>468</v>
      </c>
      <c r="S147" s="16">
        <v>18</v>
      </c>
      <c r="T147" s="16">
        <v>39</v>
      </c>
      <c r="U147" s="16">
        <v>490</v>
      </c>
      <c r="V147" s="16">
        <v>1222</v>
      </c>
      <c r="W147" s="16">
        <v>64</v>
      </c>
      <c r="X147" s="16">
        <v>160</v>
      </c>
      <c r="Y147" s="16">
        <v>12</v>
      </c>
      <c r="Z147" s="16">
        <v>28</v>
      </c>
      <c r="AA147" s="16">
        <v>72</v>
      </c>
      <c r="AB147" s="16">
        <v>178</v>
      </c>
      <c r="AC147" s="16">
        <v>475</v>
      </c>
      <c r="AD147" s="16">
        <v>1186</v>
      </c>
      <c r="AE147" s="16">
        <v>96</v>
      </c>
      <c r="AF147" s="16">
        <v>232</v>
      </c>
      <c r="AG147" s="16">
        <v>164</v>
      </c>
      <c r="AH147" s="16">
        <v>410</v>
      </c>
      <c r="AI147" s="16">
        <v>16</v>
      </c>
      <c r="AJ147" s="16">
        <v>40</v>
      </c>
      <c r="AK147" s="16">
        <v>904</v>
      </c>
      <c r="AL147" s="16">
        <v>2260</v>
      </c>
      <c r="AM147" s="16">
        <v>30</v>
      </c>
      <c r="AN147" s="16">
        <v>72</v>
      </c>
      <c r="AO147" s="15">
        <v>2534</v>
      </c>
      <c r="AP147" s="15">
        <v>6334</v>
      </c>
      <c r="AQ147" s="15">
        <v>312</v>
      </c>
      <c r="AR147" s="15">
        <v>776</v>
      </c>
      <c r="AS147" s="15">
        <v>34</v>
      </c>
      <c r="AT147" s="15">
        <v>85</v>
      </c>
      <c r="AU147" s="15">
        <v>13</v>
      </c>
      <c r="AV147" s="15">
        <v>29</v>
      </c>
      <c r="AW147" s="15">
        <v>60</v>
      </c>
      <c r="AX147" s="15">
        <v>146</v>
      </c>
      <c r="AY147" s="27">
        <f t="shared" si="9"/>
        <v>13190</v>
      </c>
      <c r="AZ147" s="27">
        <f t="shared" si="10"/>
        <v>32919</v>
      </c>
    </row>
    <row r="148" spans="1:52" x14ac:dyDescent="0.25">
      <c r="A148" s="13">
        <v>173</v>
      </c>
      <c r="B148" s="19" t="s">
        <v>334</v>
      </c>
      <c r="C148" s="26" t="s">
        <v>335</v>
      </c>
      <c r="D148" s="19" t="s">
        <v>42</v>
      </c>
      <c r="E148" s="16">
        <v>404</v>
      </c>
      <c r="F148" s="16">
        <v>1010</v>
      </c>
      <c r="G148" s="16"/>
      <c r="H148" s="16"/>
      <c r="I148" s="16">
        <v>32</v>
      </c>
      <c r="J148" s="16">
        <v>78</v>
      </c>
      <c r="K148" s="16">
        <v>824</v>
      </c>
      <c r="L148" s="16">
        <v>2060</v>
      </c>
      <c r="M148" s="16">
        <v>2638</v>
      </c>
      <c r="N148" s="16">
        <v>6590</v>
      </c>
      <c r="O148" s="16">
        <v>141</v>
      </c>
      <c r="P148" s="16">
        <v>350</v>
      </c>
      <c r="Q148" s="16">
        <v>16</v>
      </c>
      <c r="R148" s="16">
        <v>38</v>
      </c>
      <c r="S148" s="16"/>
      <c r="T148" s="16"/>
      <c r="U148" s="16">
        <v>220</v>
      </c>
      <c r="V148" s="16">
        <v>550</v>
      </c>
      <c r="W148" s="16"/>
      <c r="X148" s="16"/>
      <c r="Y148" s="16">
        <v>32</v>
      </c>
      <c r="Z148" s="16">
        <v>76</v>
      </c>
      <c r="AA148" s="16">
        <v>24</v>
      </c>
      <c r="AB148" s="16">
        <v>60</v>
      </c>
      <c r="AC148" s="16">
        <v>145</v>
      </c>
      <c r="AD148" s="16">
        <v>359</v>
      </c>
      <c r="AE148" s="16"/>
      <c r="AF148" s="16"/>
      <c r="AG148" s="16">
        <v>52</v>
      </c>
      <c r="AH148" s="16">
        <v>130</v>
      </c>
      <c r="AI148" s="16"/>
      <c r="AJ148" s="16"/>
      <c r="AK148" s="16">
        <v>880</v>
      </c>
      <c r="AL148" s="16">
        <v>2200</v>
      </c>
      <c r="AM148" s="16"/>
      <c r="AN148" s="16"/>
      <c r="AO148" s="15">
        <v>3880</v>
      </c>
      <c r="AP148" s="15">
        <v>9696</v>
      </c>
      <c r="AQ148" s="15"/>
      <c r="AR148" s="15"/>
      <c r="AS148" s="15"/>
      <c r="AT148" s="15"/>
      <c r="AU148" s="15">
        <v>8</v>
      </c>
      <c r="AV148" s="15">
        <v>20</v>
      </c>
      <c r="AW148" s="15"/>
      <c r="AX148" s="15"/>
      <c r="AY148" s="27">
        <f t="shared" si="9"/>
        <v>9296</v>
      </c>
      <c r="AZ148" s="27">
        <f t="shared" si="10"/>
        <v>23217</v>
      </c>
    </row>
    <row r="149" spans="1:52" x14ac:dyDescent="0.25">
      <c r="A149" s="13">
        <v>174</v>
      </c>
      <c r="B149" s="19" t="s">
        <v>336</v>
      </c>
      <c r="C149" s="26" t="s">
        <v>337</v>
      </c>
      <c r="D149" s="19" t="s">
        <v>42</v>
      </c>
      <c r="E149" s="16">
        <v>8</v>
      </c>
      <c r="F149" s="16">
        <v>20</v>
      </c>
      <c r="G149" s="16">
        <v>2440</v>
      </c>
      <c r="H149" s="16">
        <v>6100</v>
      </c>
      <c r="I149" s="16">
        <v>6400</v>
      </c>
      <c r="J149" s="16">
        <v>16000</v>
      </c>
      <c r="K149" s="16">
        <v>176</v>
      </c>
      <c r="L149" s="16">
        <v>440</v>
      </c>
      <c r="M149" s="16"/>
      <c r="N149" s="16"/>
      <c r="O149" s="16">
        <v>4674</v>
      </c>
      <c r="P149" s="16">
        <v>11683</v>
      </c>
      <c r="Q149" s="16"/>
      <c r="R149" s="16"/>
      <c r="S149" s="16">
        <v>22</v>
      </c>
      <c r="T149" s="16">
        <v>53</v>
      </c>
      <c r="U149" s="16">
        <v>2888</v>
      </c>
      <c r="V149" s="16">
        <v>7220</v>
      </c>
      <c r="W149" s="16">
        <v>2880</v>
      </c>
      <c r="X149" s="16">
        <v>7200</v>
      </c>
      <c r="Y149" s="16">
        <v>128</v>
      </c>
      <c r="Z149" s="16">
        <v>320</v>
      </c>
      <c r="AA149" s="16">
        <v>120</v>
      </c>
      <c r="AB149" s="16">
        <v>300</v>
      </c>
      <c r="AC149" s="16">
        <v>6028</v>
      </c>
      <c r="AD149" s="16">
        <v>15070</v>
      </c>
      <c r="AE149" s="16"/>
      <c r="AF149" s="16"/>
      <c r="AG149" s="16">
        <v>80</v>
      </c>
      <c r="AH149" s="16">
        <v>200</v>
      </c>
      <c r="AI149" s="16">
        <v>240</v>
      </c>
      <c r="AJ149" s="16">
        <v>600</v>
      </c>
      <c r="AK149" s="16">
        <v>8768</v>
      </c>
      <c r="AL149" s="16">
        <v>21920</v>
      </c>
      <c r="AM149" s="16">
        <v>144</v>
      </c>
      <c r="AN149" s="16">
        <v>360</v>
      </c>
      <c r="AO149" s="15">
        <v>560</v>
      </c>
      <c r="AP149" s="15">
        <v>1400</v>
      </c>
      <c r="AQ149" s="15">
        <v>9244</v>
      </c>
      <c r="AR149" s="15">
        <v>23108</v>
      </c>
      <c r="AS149" s="15"/>
      <c r="AT149" s="15"/>
      <c r="AU149" s="15"/>
      <c r="AV149" s="15"/>
      <c r="AW149" s="15">
        <v>22</v>
      </c>
      <c r="AX149" s="15">
        <v>52</v>
      </c>
      <c r="AY149" s="27">
        <f t="shared" si="9"/>
        <v>44822</v>
      </c>
      <c r="AZ149" s="27">
        <f t="shared" si="10"/>
        <v>112046</v>
      </c>
    </row>
    <row r="150" spans="1:52" x14ac:dyDescent="0.25">
      <c r="A150" s="13">
        <v>175</v>
      </c>
      <c r="B150" s="19" t="s">
        <v>338</v>
      </c>
      <c r="C150" s="26" t="s">
        <v>339</v>
      </c>
      <c r="D150" s="19" t="s">
        <v>42</v>
      </c>
      <c r="E150" s="16">
        <v>8</v>
      </c>
      <c r="F150" s="16">
        <v>20</v>
      </c>
      <c r="G150" s="16">
        <v>48</v>
      </c>
      <c r="H150" s="16">
        <v>120</v>
      </c>
      <c r="I150" s="16">
        <v>27718</v>
      </c>
      <c r="J150" s="16">
        <v>69294</v>
      </c>
      <c r="K150" s="16">
        <v>16400</v>
      </c>
      <c r="L150" s="16">
        <v>41000</v>
      </c>
      <c r="M150" s="16">
        <v>352</v>
      </c>
      <c r="N150" s="16">
        <v>880</v>
      </c>
      <c r="O150" s="16">
        <v>877</v>
      </c>
      <c r="P150" s="16">
        <v>2192</v>
      </c>
      <c r="Q150" s="16">
        <v>2034</v>
      </c>
      <c r="R150" s="16">
        <v>5082</v>
      </c>
      <c r="S150" s="16">
        <v>1440</v>
      </c>
      <c r="T150" s="16">
        <v>3600</v>
      </c>
      <c r="U150" s="16"/>
      <c r="V150" s="16"/>
      <c r="W150" s="16"/>
      <c r="X150" s="16"/>
      <c r="Y150" s="16">
        <v>3092</v>
      </c>
      <c r="Z150" s="16">
        <v>7724</v>
      </c>
      <c r="AA150" s="16">
        <v>24</v>
      </c>
      <c r="AB150" s="16">
        <v>60</v>
      </c>
      <c r="AC150" s="16"/>
      <c r="AD150" s="16"/>
      <c r="AE150" s="16">
        <v>8640</v>
      </c>
      <c r="AF150" s="16">
        <v>21600</v>
      </c>
      <c r="AG150" s="16">
        <v>5760</v>
      </c>
      <c r="AH150" s="16">
        <v>14400</v>
      </c>
      <c r="AI150" s="16">
        <v>472</v>
      </c>
      <c r="AJ150" s="16">
        <v>1180</v>
      </c>
      <c r="AK150" s="16"/>
      <c r="AL150" s="16"/>
      <c r="AM150" s="16"/>
      <c r="AN150" s="16"/>
      <c r="AO150" s="15">
        <v>608</v>
      </c>
      <c r="AP150" s="15">
        <v>1520</v>
      </c>
      <c r="AQ150" s="15"/>
      <c r="AR150" s="15"/>
      <c r="AS150" s="15"/>
      <c r="AT150" s="15"/>
      <c r="AU150" s="15">
        <v>6616</v>
      </c>
      <c r="AV150" s="15">
        <v>16540</v>
      </c>
      <c r="AW150" s="15">
        <v>18</v>
      </c>
      <c r="AX150" s="15">
        <v>42</v>
      </c>
      <c r="AY150" s="27">
        <f t="shared" si="9"/>
        <v>74107</v>
      </c>
      <c r="AZ150" s="27">
        <f t="shared" si="10"/>
        <v>185254</v>
      </c>
    </row>
    <row r="151" spans="1:52" x14ac:dyDescent="0.25">
      <c r="A151" s="13">
        <v>178</v>
      </c>
      <c r="B151" s="19" t="s">
        <v>340</v>
      </c>
      <c r="C151" s="26" t="s">
        <v>341</v>
      </c>
      <c r="D151" s="19" t="s">
        <v>42</v>
      </c>
      <c r="E151" s="16">
        <v>36</v>
      </c>
      <c r="F151" s="16">
        <v>88</v>
      </c>
      <c r="G151" s="16"/>
      <c r="H151" s="16"/>
      <c r="I151" s="16"/>
      <c r="J151" s="16"/>
      <c r="K151" s="16">
        <v>200</v>
      </c>
      <c r="L151" s="16">
        <v>500</v>
      </c>
      <c r="M151" s="16">
        <v>931</v>
      </c>
      <c r="N151" s="16">
        <v>2327</v>
      </c>
      <c r="O151" s="16"/>
      <c r="P151" s="16"/>
      <c r="Q151" s="16">
        <v>36</v>
      </c>
      <c r="R151" s="16">
        <v>86</v>
      </c>
      <c r="S151" s="16"/>
      <c r="T151" s="16"/>
      <c r="U151" s="16">
        <v>156</v>
      </c>
      <c r="V151" s="16">
        <v>390</v>
      </c>
      <c r="W151" s="16">
        <v>32</v>
      </c>
      <c r="X151" s="16">
        <v>80</v>
      </c>
      <c r="Y151" s="16"/>
      <c r="Z151" s="16"/>
      <c r="AA151" s="16"/>
      <c r="AB151" s="16"/>
      <c r="AC151" s="16"/>
      <c r="AD151" s="16"/>
      <c r="AE151" s="16">
        <v>12</v>
      </c>
      <c r="AF151" s="16">
        <v>30</v>
      </c>
      <c r="AG151" s="16">
        <v>800</v>
      </c>
      <c r="AH151" s="16">
        <v>2000</v>
      </c>
      <c r="AI151" s="16"/>
      <c r="AJ151" s="16"/>
      <c r="AK151" s="16"/>
      <c r="AL151" s="16"/>
      <c r="AM151" s="16">
        <v>96</v>
      </c>
      <c r="AN151" s="16">
        <v>240</v>
      </c>
      <c r="AO151" s="15"/>
      <c r="AP151" s="15"/>
      <c r="AQ151" s="15">
        <v>14</v>
      </c>
      <c r="AR151" s="15">
        <v>32</v>
      </c>
      <c r="AS151" s="15"/>
      <c r="AT151" s="15"/>
      <c r="AU151" s="15"/>
      <c r="AV151" s="15"/>
      <c r="AW151" s="15"/>
      <c r="AX151" s="15"/>
      <c r="AY151" s="27">
        <f t="shared" ref="AY151:AY192" si="11">SUM(E151+G151+I151+K151+M151+O151+Q151+S151+U151+W151+Y151+AA151+AC151+AE151+AG151+AI151+AK151+AM151+AO151+AQ151+AS151+AU151+AW151)</f>
        <v>2313</v>
      </c>
      <c r="AZ151" s="27">
        <f t="shared" ref="AZ151:AZ192" si="12">SUM(F151+H151+J151+L151+N151+P151+R151+T151+V151+X151+Z151+AB151+AD151+AF151+AH151+AJ151+AL151+AN151+AP151+AR151+AT151+AV151+AX151)</f>
        <v>5773</v>
      </c>
    </row>
    <row r="152" spans="1:52" x14ac:dyDescent="0.25">
      <c r="A152" s="13">
        <v>179</v>
      </c>
      <c r="B152" s="19" t="s">
        <v>342</v>
      </c>
      <c r="C152" s="26" t="s">
        <v>343</v>
      </c>
      <c r="D152" s="19" t="s">
        <v>42</v>
      </c>
      <c r="E152" s="16">
        <v>80</v>
      </c>
      <c r="F152" s="16">
        <v>200</v>
      </c>
      <c r="G152" s="16">
        <v>80</v>
      </c>
      <c r="H152" s="16">
        <v>200</v>
      </c>
      <c r="I152" s="16">
        <v>812</v>
      </c>
      <c r="J152" s="16">
        <v>2030</v>
      </c>
      <c r="K152" s="16">
        <v>48</v>
      </c>
      <c r="L152" s="16">
        <v>120</v>
      </c>
      <c r="M152" s="16">
        <v>9042</v>
      </c>
      <c r="N152" s="16">
        <v>22604</v>
      </c>
      <c r="O152" s="16">
        <v>140</v>
      </c>
      <c r="P152" s="16">
        <v>350</v>
      </c>
      <c r="Q152" s="16">
        <v>132</v>
      </c>
      <c r="R152" s="16">
        <v>326</v>
      </c>
      <c r="S152" s="16">
        <v>40</v>
      </c>
      <c r="T152" s="16">
        <v>94</v>
      </c>
      <c r="U152" s="16">
        <v>408</v>
      </c>
      <c r="V152" s="16">
        <v>1020</v>
      </c>
      <c r="W152" s="16">
        <v>144</v>
      </c>
      <c r="X152" s="16">
        <v>360</v>
      </c>
      <c r="Y152" s="16">
        <v>24</v>
      </c>
      <c r="Z152" s="16">
        <v>60</v>
      </c>
      <c r="AA152" s="16">
        <v>16</v>
      </c>
      <c r="AB152" s="16">
        <v>40</v>
      </c>
      <c r="AC152" s="16">
        <v>59</v>
      </c>
      <c r="AD152" s="16">
        <v>146</v>
      </c>
      <c r="AE152" s="16">
        <v>48</v>
      </c>
      <c r="AF152" s="16">
        <v>120</v>
      </c>
      <c r="AG152" s="16">
        <v>320</v>
      </c>
      <c r="AH152" s="16">
        <v>800</v>
      </c>
      <c r="AI152" s="16">
        <v>20</v>
      </c>
      <c r="AJ152" s="16">
        <v>48</v>
      </c>
      <c r="AK152" s="16">
        <v>56</v>
      </c>
      <c r="AL152" s="16">
        <v>140</v>
      </c>
      <c r="AM152" s="16">
        <v>288</v>
      </c>
      <c r="AN152" s="16">
        <v>720</v>
      </c>
      <c r="AO152" s="15">
        <v>824</v>
      </c>
      <c r="AP152" s="15">
        <v>2060</v>
      </c>
      <c r="AQ152" s="15">
        <v>36</v>
      </c>
      <c r="AR152" s="15">
        <v>86</v>
      </c>
      <c r="AS152" s="15"/>
      <c r="AT152" s="15"/>
      <c r="AU152" s="15">
        <v>252</v>
      </c>
      <c r="AV152" s="15">
        <v>630</v>
      </c>
      <c r="AW152" s="15"/>
      <c r="AX152" s="15"/>
      <c r="AY152" s="27">
        <f t="shared" si="11"/>
        <v>12869</v>
      </c>
      <c r="AZ152" s="27">
        <f t="shared" si="12"/>
        <v>32154</v>
      </c>
    </row>
    <row r="153" spans="1:52" x14ac:dyDescent="0.25">
      <c r="A153" s="13">
        <v>180</v>
      </c>
      <c r="B153" s="19" t="s">
        <v>344</v>
      </c>
      <c r="C153" s="26" t="s">
        <v>345</v>
      </c>
      <c r="D153" s="19" t="s">
        <v>42</v>
      </c>
      <c r="E153" s="16">
        <v>160</v>
      </c>
      <c r="F153" s="16">
        <v>400</v>
      </c>
      <c r="G153" s="16"/>
      <c r="H153" s="16"/>
      <c r="I153" s="16">
        <v>2256</v>
      </c>
      <c r="J153" s="16">
        <v>5640</v>
      </c>
      <c r="K153" s="16">
        <v>12</v>
      </c>
      <c r="L153" s="16">
        <v>30</v>
      </c>
      <c r="M153" s="16">
        <v>910</v>
      </c>
      <c r="N153" s="16">
        <v>2271</v>
      </c>
      <c r="O153" s="16">
        <v>560</v>
      </c>
      <c r="P153" s="16">
        <v>1400</v>
      </c>
      <c r="Q153" s="16">
        <v>36</v>
      </c>
      <c r="R153" s="16">
        <v>86</v>
      </c>
      <c r="S153" s="16">
        <v>2</v>
      </c>
      <c r="T153" s="16">
        <v>2</v>
      </c>
      <c r="U153" s="16">
        <v>356</v>
      </c>
      <c r="V153" s="16">
        <v>888</v>
      </c>
      <c r="W153" s="16">
        <v>19</v>
      </c>
      <c r="X153" s="16">
        <v>46</v>
      </c>
      <c r="Y153" s="16">
        <v>24</v>
      </c>
      <c r="Z153" s="16">
        <v>56</v>
      </c>
      <c r="AA153" s="16">
        <v>36</v>
      </c>
      <c r="AB153" s="16">
        <v>88</v>
      </c>
      <c r="AC153" s="16">
        <v>26</v>
      </c>
      <c r="AD153" s="16">
        <v>63</v>
      </c>
      <c r="AE153" s="16">
        <v>48</v>
      </c>
      <c r="AF153" s="16">
        <v>120</v>
      </c>
      <c r="AG153" s="16">
        <v>240</v>
      </c>
      <c r="AH153" s="16">
        <v>600</v>
      </c>
      <c r="AI153" s="16">
        <v>60</v>
      </c>
      <c r="AJ153" s="16">
        <v>144</v>
      </c>
      <c r="AK153" s="16">
        <v>48</v>
      </c>
      <c r="AL153" s="16">
        <v>120</v>
      </c>
      <c r="AM153" s="16">
        <v>96</v>
      </c>
      <c r="AN153" s="16">
        <v>240</v>
      </c>
      <c r="AO153" s="15"/>
      <c r="AP153" s="15"/>
      <c r="AQ153" s="15">
        <v>22</v>
      </c>
      <c r="AR153" s="15">
        <v>54</v>
      </c>
      <c r="AS153" s="15"/>
      <c r="AT153" s="15"/>
      <c r="AU153" s="15">
        <v>400</v>
      </c>
      <c r="AV153" s="15">
        <v>1000</v>
      </c>
      <c r="AW153" s="15">
        <v>8</v>
      </c>
      <c r="AX153" s="15">
        <v>16</v>
      </c>
      <c r="AY153" s="27">
        <f t="shared" si="11"/>
        <v>5319</v>
      </c>
      <c r="AZ153" s="27">
        <f t="shared" si="12"/>
        <v>13264</v>
      </c>
    </row>
    <row r="154" spans="1:52" x14ac:dyDescent="0.25">
      <c r="A154" s="13">
        <v>181</v>
      </c>
      <c r="B154" s="19" t="s">
        <v>346</v>
      </c>
      <c r="C154" s="26" t="s">
        <v>347</v>
      </c>
      <c r="D154" s="19" t="s">
        <v>42</v>
      </c>
      <c r="E154" s="16">
        <v>24</v>
      </c>
      <c r="F154" s="16">
        <v>60</v>
      </c>
      <c r="G154" s="16"/>
      <c r="H154" s="16"/>
      <c r="I154" s="16">
        <v>880</v>
      </c>
      <c r="J154" s="16">
        <v>2200</v>
      </c>
      <c r="K154" s="16">
        <v>48</v>
      </c>
      <c r="L154" s="16">
        <v>120</v>
      </c>
      <c r="M154" s="16">
        <v>4300</v>
      </c>
      <c r="N154" s="16">
        <v>10750</v>
      </c>
      <c r="O154" s="16">
        <v>85</v>
      </c>
      <c r="P154" s="16">
        <v>210</v>
      </c>
      <c r="Q154" s="16">
        <v>36</v>
      </c>
      <c r="R154" s="16">
        <v>86</v>
      </c>
      <c r="S154" s="16"/>
      <c r="T154" s="16"/>
      <c r="U154" s="16">
        <v>320</v>
      </c>
      <c r="V154" s="16">
        <v>800</v>
      </c>
      <c r="W154" s="16"/>
      <c r="X154" s="16"/>
      <c r="Y154" s="16"/>
      <c r="Z154" s="16"/>
      <c r="AA154" s="16">
        <v>18</v>
      </c>
      <c r="AB154" s="16">
        <v>44</v>
      </c>
      <c r="AC154" s="16">
        <v>40</v>
      </c>
      <c r="AD154" s="16">
        <v>100</v>
      </c>
      <c r="AE154" s="16">
        <v>12</v>
      </c>
      <c r="AF154" s="16">
        <v>30</v>
      </c>
      <c r="AG154" s="16">
        <v>120</v>
      </c>
      <c r="AH154" s="16">
        <v>300</v>
      </c>
      <c r="AI154" s="16">
        <v>35</v>
      </c>
      <c r="AJ154" s="16">
        <v>84</v>
      </c>
      <c r="AK154" s="16"/>
      <c r="AL154" s="16"/>
      <c r="AM154" s="16">
        <v>96</v>
      </c>
      <c r="AN154" s="16">
        <v>240</v>
      </c>
      <c r="AO154" s="15"/>
      <c r="AP154" s="15"/>
      <c r="AQ154" s="15"/>
      <c r="AR154" s="15"/>
      <c r="AS154" s="15"/>
      <c r="AT154" s="15"/>
      <c r="AU154" s="15"/>
      <c r="AV154" s="15"/>
      <c r="AW154" s="15"/>
      <c r="AX154" s="15"/>
      <c r="AY154" s="27">
        <f t="shared" si="11"/>
        <v>6014</v>
      </c>
      <c r="AZ154" s="27">
        <f t="shared" si="12"/>
        <v>15024</v>
      </c>
    </row>
    <row r="155" spans="1:52" x14ac:dyDescent="0.25">
      <c r="A155" s="13">
        <v>182</v>
      </c>
      <c r="B155" s="19" t="s">
        <v>348</v>
      </c>
      <c r="C155" s="26" t="s">
        <v>349</v>
      </c>
      <c r="D155" s="19" t="s">
        <v>42</v>
      </c>
      <c r="E155" s="16">
        <v>24</v>
      </c>
      <c r="F155" s="16">
        <v>60</v>
      </c>
      <c r="G155" s="16"/>
      <c r="H155" s="16"/>
      <c r="I155" s="16">
        <v>1160</v>
      </c>
      <c r="J155" s="16">
        <v>2900</v>
      </c>
      <c r="K155" s="16"/>
      <c r="L155" s="16"/>
      <c r="M155" s="16">
        <v>778</v>
      </c>
      <c r="N155" s="16">
        <v>1942</v>
      </c>
      <c r="O155" s="16">
        <v>113</v>
      </c>
      <c r="P155" s="16">
        <v>280</v>
      </c>
      <c r="Q155" s="16"/>
      <c r="R155" s="16"/>
      <c r="S155" s="16"/>
      <c r="T155" s="16"/>
      <c r="U155" s="16">
        <v>220</v>
      </c>
      <c r="V155" s="16">
        <v>550</v>
      </c>
      <c r="W155" s="16"/>
      <c r="X155" s="16"/>
      <c r="Y155" s="16"/>
      <c r="Z155" s="16"/>
      <c r="AA155" s="16"/>
      <c r="AB155" s="16"/>
      <c r="AC155" s="16"/>
      <c r="AD155" s="16"/>
      <c r="AE155" s="16">
        <v>40</v>
      </c>
      <c r="AF155" s="16">
        <v>97</v>
      </c>
      <c r="AG155" s="16">
        <v>240</v>
      </c>
      <c r="AH155" s="16">
        <v>600</v>
      </c>
      <c r="AI155" s="16">
        <v>60</v>
      </c>
      <c r="AJ155" s="16">
        <v>144</v>
      </c>
      <c r="AK155" s="16">
        <v>8</v>
      </c>
      <c r="AL155" s="16">
        <v>20</v>
      </c>
      <c r="AM155" s="16">
        <v>96</v>
      </c>
      <c r="AN155" s="16">
        <v>240</v>
      </c>
      <c r="AO155" s="15"/>
      <c r="AP155" s="15"/>
      <c r="AQ155" s="15"/>
      <c r="AR155" s="15"/>
      <c r="AS155" s="15"/>
      <c r="AT155" s="15"/>
      <c r="AU155" s="15"/>
      <c r="AV155" s="15"/>
      <c r="AW155" s="15"/>
      <c r="AX155" s="15"/>
      <c r="AY155" s="27">
        <f t="shared" si="11"/>
        <v>2739</v>
      </c>
      <c r="AZ155" s="27">
        <f t="shared" si="12"/>
        <v>6833</v>
      </c>
    </row>
    <row r="156" spans="1:52" x14ac:dyDescent="0.25">
      <c r="A156" s="13">
        <v>183</v>
      </c>
      <c r="B156" s="19" t="s">
        <v>350</v>
      </c>
      <c r="C156" s="26" t="s">
        <v>351</v>
      </c>
      <c r="D156" s="19" t="s">
        <v>42</v>
      </c>
      <c r="E156" s="16">
        <v>800</v>
      </c>
      <c r="F156" s="16">
        <v>2000</v>
      </c>
      <c r="G156" s="16">
        <v>196</v>
      </c>
      <c r="H156" s="16">
        <v>486</v>
      </c>
      <c r="I156" s="16">
        <v>10064</v>
      </c>
      <c r="J156" s="16">
        <v>25158</v>
      </c>
      <c r="K156" s="16">
        <v>986</v>
      </c>
      <c r="L156" s="16">
        <v>2460</v>
      </c>
      <c r="M156" s="16">
        <v>1424</v>
      </c>
      <c r="N156" s="16">
        <v>3560</v>
      </c>
      <c r="O156" s="16">
        <v>45</v>
      </c>
      <c r="P156" s="16">
        <v>112</v>
      </c>
      <c r="Q156" s="16">
        <v>862</v>
      </c>
      <c r="R156" s="16">
        <v>2152</v>
      </c>
      <c r="S156" s="16">
        <v>55</v>
      </c>
      <c r="T156" s="16">
        <v>137</v>
      </c>
      <c r="U156" s="16">
        <v>341</v>
      </c>
      <c r="V156" s="16">
        <v>850</v>
      </c>
      <c r="W156" s="16">
        <v>64</v>
      </c>
      <c r="X156" s="16">
        <v>160</v>
      </c>
      <c r="Y156" s="16">
        <v>326</v>
      </c>
      <c r="Z156" s="16">
        <v>814</v>
      </c>
      <c r="AA156" s="16">
        <v>36</v>
      </c>
      <c r="AB156" s="16">
        <v>88</v>
      </c>
      <c r="AC156" s="16">
        <v>1085</v>
      </c>
      <c r="AD156" s="16">
        <v>2710</v>
      </c>
      <c r="AE156" s="16">
        <v>164</v>
      </c>
      <c r="AF156" s="16">
        <v>409</v>
      </c>
      <c r="AG156" s="16"/>
      <c r="AH156" s="16"/>
      <c r="AI156" s="16">
        <v>200</v>
      </c>
      <c r="AJ156" s="16">
        <v>500</v>
      </c>
      <c r="AK156" s="16">
        <v>5400</v>
      </c>
      <c r="AL156" s="16">
        <v>13500</v>
      </c>
      <c r="AM156" s="16"/>
      <c r="AN156" s="16"/>
      <c r="AO156" s="15">
        <v>1832</v>
      </c>
      <c r="AP156" s="15">
        <v>4580</v>
      </c>
      <c r="AQ156" s="15">
        <v>32</v>
      </c>
      <c r="AR156" s="15">
        <v>76</v>
      </c>
      <c r="AS156" s="15"/>
      <c r="AT156" s="15"/>
      <c r="AU156" s="15">
        <v>176</v>
      </c>
      <c r="AV156" s="15">
        <v>440</v>
      </c>
      <c r="AW156" s="15">
        <v>42</v>
      </c>
      <c r="AX156" s="15">
        <v>102</v>
      </c>
      <c r="AY156" s="27">
        <f t="shared" si="11"/>
        <v>24130</v>
      </c>
      <c r="AZ156" s="27">
        <f t="shared" si="12"/>
        <v>60294</v>
      </c>
    </row>
    <row r="157" spans="1:52" x14ac:dyDescent="0.25">
      <c r="A157" s="13">
        <v>184</v>
      </c>
      <c r="B157" s="19" t="s">
        <v>352</v>
      </c>
      <c r="C157" s="26" t="s">
        <v>353</v>
      </c>
      <c r="D157" s="19" t="s">
        <v>42</v>
      </c>
      <c r="E157" s="16">
        <v>72</v>
      </c>
      <c r="F157" s="16">
        <v>180</v>
      </c>
      <c r="G157" s="16">
        <v>40</v>
      </c>
      <c r="H157" s="16">
        <v>96</v>
      </c>
      <c r="I157" s="16">
        <v>1776</v>
      </c>
      <c r="J157" s="16">
        <v>4440</v>
      </c>
      <c r="K157" s="16">
        <v>230</v>
      </c>
      <c r="L157" s="16">
        <v>572</v>
      </c>
      <c r="M157" s="16">
        <v>784</v>
      </c>
      <c r="N157" s="16">
        <v>1956</v>
      </c>
      <c r="O157" s="16">
        <v>420</v>
      </c>
      <c r="P157" s="16">
        <v>1050</v>
      </c>
      <c r="Q157" s="16">
        <v>70</v>
      </c>
      <c r="R157" s="16">
        <v>174</v>
      </c>
      <c r="S157" s="16">
        <v>57</v>
      </c>
      <c r="T157" s="16">
        <v>142</v>
      </c>
      <c r="U157" s="16">
        <v>264</v>
      </c>
      <c r="V157" s="16">
        <v>660</v>
      </c>
      <c r="W157" s="16">
        <v>8</v>
      </c>
      <c r="X157" s="16">
        <v>18</v>
      </c>
      <c r="Y157" s="16"/>
      <c r="Z157" s="16"/>
      <c r="AA157" s="16"/>
      <c r="AB157" s="16"/>
      <c r="AC157" s="16"/>
      <c r="AD157" s="16"/>
      <c r="AE157" s="16"/>
      <c r="AF157" s="16"/>
      <c r="AG157" s="16">
        <v>400</v>
      </c>
      <c r="AH157" s="16">
        <v>1000</v>
      </c>
      <c r="AI157" s="16">
        <v>58</v>
      </c>
      <c r="AJ157" s="16">
        <v>144</v>
      </c>
      <c r="AK157" s="16">
        <v>88</v>
      </c>
      <c r="AL157" s="16">
        <v>220</v>
      </c>
      <c r="AM157" s="16">
        <v>298</v>
      </c>
      <c r="AN157" s="16">
        <v>744</v>
      </c>
      <c r="AO157" s="15"/>
      <c r="AP157" s="15"/>
      <c r="AQ157" s="15">
        <v>124</v>
      </c>
      <c r="AR157" s="15">
        <v>310</v>
      </c>
      <c r="AS157" s="15"/>
      <c r="AT157" s="15"/>
      <c r="AU157" s="15">
        <v>200</v>
      </c>
      <c r="AV157" s="15">
        <v>500</v>
      </c>
      <c r="AW157" s="15">
        <v>16</v>
      </c>
      <c r="AX157" s="15">
        <v>40</v>
      </c>
      <c r="AY157" s="27">
        <f t="shared" si="11"/>
        <v>4905</v>
      </c>
      <c r="AZ157" s="27">
        <f t="shared" si="12"/>
        <v>12246</v>
      </c>
    </row>
    <row r="158" spans="1:52" x14ac:dyDescent="0.25">
      <c r="A158" s="13">
        <v>185</v>
      </c>
      <c r="B158" s="19" t="s">
        <v>354</v>
      </c>
      <c r="C158" s="26" t="s">
        <v>355</v>
      </c>
      <c r="D158" s="19" t="s">
        <v>42</v>
      </c>
      <c r="E158" s="16">
        <v>764</v>
      </c>
      <c r="F158" s="16">
        <v>1910</v>
      </c>
      <c r="G158" s="16">
        <v>836</v>
      </c>
      <c r="H158" s="16">
        <v>2090</v>
      </c>
      <c r="I158" s="16">
        <v>5994</v>
      </c>
      <c r="J158" s="16">
        <v>14984</v>
      </c>
      <c r="K158" s="16">
        <v>504</v>
      </c>
      <c r="L158" s="16">
        <v>1258</v>
      </c>
      <c r="M158" s="16">
        <v>1758</v>
      </c>
      <c r="N158" s="16">
        <v>4395</v>
      </c>
      <c r="O158" s="16">
        <v>3801</v>
      </c>
      <c r="P158" s="16">
        <v>9498</v>
      </c>
      <c r="Q158" s="16">
        <v>68</v>
      </c>
      <c r="R158" s="16">
        <v>166</v>
      </c>
      <c r="S158" s="16">
        <v>4</v>
      </c>
      <c r="T158" s="16">
        <v>10</v>
      </c>
      <c r="U158" s="16">
        <v>584</v>
      </c>
      <c r="V158" s="16">
        <v>1456</v>
      </c>
      <c r="W158" s="16"/>
      <c r="X158" s="16"/>
      <c r="Y158" s="16">
        <v>2592</v>
      </c>
      <c r="Z158" s="16">
        <v>6480</v>
      </c>
      <c r="AA158" s="16">
        <v>214</v>
      </c>
      <c r="AB158" s="16">
        <v>534</v>
      </c>
      <c r="AC158" s="16">
        <v>2517</v>
      </c>
      <c r="AD158" s="16">
        <v>6289</v>
      </c>
      <c r="AE158" s="16">
        <v>4631</v>
      </c>
      <c r="AF158" s="16">
        <v>11575</v>
      </c>
      <c r="AG158" s="16"/>
      <c r="AH158" s="16"/>
      <c r="AI158" s="16">
        <v>2228</v>
      </c>
      <c r="AJ158" s="16">
        <v>5570</v>
      </c>
      <c r="AK158" s="16">
        <v>80</v>
      </c>
      <c r="AL158" s="16">
        <v>200</v>
      </c>
      <c r="AM158" s="16">
        <v>760</v>
      </c>
      <c r="AN158" s="16">
        <v>1896</v>
      </c>
      <c r="AO158" s="15">
        <v>916</v>
      </c>
      <c r="AP158" s="15">
        <v>2288</v>
      </c>
      <c r="AQ158" s="15">
        <v>99</v>
      </c>
      <c r="AR158" s="15">
        <v>245</v>
      </c>
      <c r="AS158" s="15"/>
      <c r="AT158" s="15"/>
      <c r="AU158" s="15"/>
      <c r="AV158" s="15"/>
      <c r="AW158" s="15"/>
      <c r="AX158" s="15"/>
      <c r="AY158" s="27">
        <f t="shared" si="11"/>
        <v>28350</v>
      </c>
      <c r="AZ158" s="27">
        <f t="shared" si="12"/>
        <v>70844</v>
      </c>
    </row>
    <row r="159" spans="1:52" x14ac:dyDescent="0.25">
      <c r="A159" s="13">
        <v>186</v>
      </c>
      <c r="B159" s="19" t="s">
        <v>356</v>
      </c>
      <c r="C159" s="26" t="s">
        <v>357</v>
      </c>
      <c r="D159" s="19" t="s">
        <v>42</v>
      </c>
      <c r="E159" s="16">
        <v>120</v>
      </c>
      <c r="F159" s="16">
        <v>300</v>
      </c>
      <c r="G159" s="16">
        <v>16</v>
      </c>
      <c r="H159" s="16">
        <v>40</v>
      </c>
      <c r="I159" s="16">
        <v>1152</v>
      </c>
      <c r="J159" s="16">
        <v>2880</v>
      </c>
      <c r="K159" s="16">
        <v>548</v>
      </c>
      <c r="L159" s="16">
        <v>1369</v>
      </c>
      <c r="M159" s="16"/>
      <c r="N159" s="16"/>
      <c r="O159" s="16">
        <v>1468</v>
      </c>
      <c r="P159" s="16">
        <v>3668</v>
      </c>
      <c r="Q159" s="16"/>
      <c r="R159" s="16"/>
      <c r="S159" s="16">
        <v>30</v>
      </c>
      <c r="T159" s="16">
        <v>72</v>
      </c>
      <c r="U159" s="16">
        <v>110</v>
      </c>
      <c r="V159" s="16">
        <v>275</v>
      </c>
      <c r="W159" s="16"/>
      <c r="X159" s="16"/>
      <c r="Y159" s="16">
        <v>52</v>
      </c>
      <c r="Z159" s="16">
        <v>128</v>
      </c>
      <c r="AA159" s="16"/>
      <c r="AB159" s="16"/>
      <c r="AC159" s="16">
        <v>75</v>
      </c>
      <c r="AD159" s="16">
        <v>186</v>
      </c>
      <c r="AE159" s="16">
        <v>15</v>
      </c>
      <c r="AF159" s="16">
        <v>37</v>
      </c>
      <c r="AG159" s="16"/>
      <c r="AH159" s="16"/>
      <c r="AI159" s="16">
        <v>488</v>
      </c>
      <c r="AJ159" s="16">
        <v>1220</v>
      </c>
      <c r="AK159" s="16">
        <v>1440</v>
      </c>
      <c r="AL159" s="16">
        <v>3600</v>
      </c>
      <c r="AM159" s="16"/>
      <c r="AN159" s="16"/>
      <c r="AO159" s="15">
        <v>80</v>
      </c>
      <c r="AP159" s="15">
        <v>200</v>
      </c>
      <c r="AQ159" s="15">
        <v>10</v>
      </c>
      <c r="AR159" s="15">
        <v>24</v>
      </c>
      <c r="AS159" s="15"/>
      <c r="AT159" s="15"/>
      <c r="AU159" s="15">
        <v>680</v>
      </c>
      <c r="AV159" s="15">
        <v>1700</v>
      </c>
      <c r="AW159" s="15"/>
      <c r="AX159" s="15"/>
      <c r="AY159" s="27">
        <f t="shared" si="11"/>
        <v>6284</v>
      </c>
      <c r="AZ159" s="27">
        <f t="shared" si="12"/>
        <v>15699</v>
      </c>
    </row>
    <row r="160" spans="1:52" x14ac:dyDescent="0.25">
      <c r="A160" s="13">
        <v>187</v>
      </c>
      <c r="B160" s="19" t="s">
        <v>358</v>
      </c>
      <c r="C160" s="26" t="s">
        <v>359</v>
      </c>
      <c r="D160" s="19" t="s">
        <v>42</v>
      </c>
      <c r="E160" s="16">
        <v>240</v>
      </c>
      <c r="F160" s="16">
        <v>600</v>
      </c>
      <c r="G160" s="16"/>
      <c r="H160" s="16"/>
      <c r="I160" s="16">
        <v>2032</v>
      </c>
      <c r="J160" s="16">
        <v>5076</v>
      </c>
      <c r="K160" s="16"/>
      <c r="L160" s="16"/>
      <c r="M160" s="16">
        <v>3542</v>
      </c>
      <c r="N160" s="16">
        <v>8854</v>
      </c>
      <c r="O160" s="16">
        <v>34</v>
      </c>
      <c r="P160" s="16">
        <v>84</v>
      </c>
      <c r="Q160" s="16">
        <v>16</v>
      </c>
      <c r="R160" s="16">
        <v>38</v>
      </c>
      <c r="S160" s="16"/>
      <c r="T160" s="16"/>
      <c r="U160" s="16">
        <v>110</v>
      </c>
      <c r="V160" s="16">
        <v>275</v>
      </c>
      <c r="W160" s="16"/>
      <c r="X160" s="16"/>
      <c r="Y160" s="16">
        <v>24</v>
      </c>
      <c r="Z160" s="16">
        <v>56</v>
      </c>
      <c r="AA160" s="16"/>
      <c r="AB160" s="16"/>
      <c r="AC160" s="16">
        <v>62</v>
      </c>
      <c r="AD160" s="16">
        <v>155</v>
      </c>
      <c r="AE160" s="16"/>
      <c r="AF160" s="16"/>
      <c r="AG160" s="16">
        <v>20</v>
      </c>
      <c r="AH160" s="16">
        <v>50</v>
      </c>
      <c r="AI160" s="16"/>
      <c r="AJ160" s="16"/>
      <c r="AK160" s="16"/>
      <c r="AL160" s="16"/>
      <c r="AM160" s="16">
        <v>192</v>
      </c>
      <c r="AN160" s="16">
        <v>480</v>
      </c>
      <c r="AO160" s="15">
        <v>1872</v>
      </c>
      <c r="AP160" s="15">
        <v>4678</v>
      </c>
      <c r="AQ160" s="15">
        <v>22</v>
      </c>
      <c r="AR160" s="15">
        <v>54</v>
      </c>
      <c r="AS160" s="15"/>
      <c r="AT160" s="15"/>
      <c r="AU160" s="15">
        <v>160</v>
      </c>
      <c r="AV160" s="15">
        <v>400</v>
      </c>
      <c r="AW160" s="15">
        <v>20</v>
      </c>
      <c r="AX160" s="15">
        <v>48</v>
      </c>
      <c r="AY160" s="27">
        <f t="shared" si="11"/>
        <v>8346</v>
      </c>
      <c r="AZ160" s="27">
        <f t="shared" si="12"/>
        <v>20848</v>
      </c>
    </row>
    <row r="161" spans="1:52" x14ac:dyDescent="0.25">
      <c r="A161" s="13">
        <v>189</v>
      </c>
      <c r="B161" s="19" t="s">
        <v>360</v>
      </c>
      <c r="C161" s="26" t="s">
        <v>361</v>
      </c>
      <c r="D161" s="19" t="s">
        <v>42</v>
      </c>
      <c r="E161" s="16"/>
      <c r="F161" s="16"/>
      <c r="G161" s="16">
        <v>600</v>
      </c>
      <c r="H161" s="16">
        <v>1500</v>
      </c>
      <c r="I161" s="16"/>
      <c r="J161" s="16"/>
      <c r="K161" s="16">
        <v>138</v>
      </c>
      <c r="L161" s="16">
        <v>344</v>
      </c>
      <c r="M161" s="16"/>
      <c r="N161" s="16"/>
      <c r="O161" s="16"/>
      <c r="P161" s="16"/>
      <c r="Q161" s="16">
        <v>68</v>
      </c>
      <c r="R161" s="16">
        <v>166</v>
      </c>
      <c r="S161" s="16">
        <v>16</v>
      </c>
      <c r="T161" s="16">
        <v>37</v>
      </c>
      <c r="U161" s="16"/>
      <c r="V161" s="16"/>
      <c r="W161" s="16"/>
      <c r="X161" s="16"/>
      <c r="Y161" s="16"/>
      <c r="Z161" s="16"/>
      <c r="AA161" s="16"/>
      <c r="AB161" s="16"/>
      <c r="AC161" s="16">
        <v>9</v>
      </c>
      <c r="AD161" s="16">
        <v>22</v>
      </c>
      <c r="AE161" s="16"/>
      <c r="AF161" s="16"/>
      <c r="AG161" s="16"/>
      <c r="AH161" s="16"/>
      <c r="AI161" s="16"/>
      <c r="AJ161" s="16"/>
      <c r="AK161" s="16"/>
      <c r="AL161" s="16"/>
      <c r="AM161" s="16"/>
      <c r="AN161" s="16"/>
      <c r="AO161" s="15"/>
      <c r="AP161" s="15"/>
      <c r="AQ161" s="15">
        <v>572</v>
      </c>
      <c r="AR161" s="15">
        <v>1426</v>
      </c>
      <c r="AS161" s="15"/>
      <c r="AT161" s="15"/>
      <c r="AU161" s="15"/>
      <c r="AV161" s="15"/>
      <c r="AW161" s="15"/>
      <c r="AX161" s="15"/>
      <c r="AY161" s="27">
        <f t="shared" si="11"/>
        <v>1403</v>
      </c>
      <c r="AZ161" s="27">
        <f t="shared" si="12"/>
        <v>3495</v>
      </c>
    </row>
    <row r="162" spans="1:52" x14ac:dyDescent="0.25">
      <c r="A162" s="13">
        <v>190</v>
      </c>
      <c r="B162" s="19" t="s">
        <v>362</v>
      </c>
      <c r="C162" s="26" t="s">
        <v>363</v>
      </c>
      <c r="D162" s="19" t="s">
        <v>42</v>
      </c>
      <c r="E162" s="16"/>
      <c r="F162" s="16"/>
      <c r="G162" s="16">
        <v>320</v>
      </c>
      <c r="H162" s="16">
        <v>800</v>
      </c>
      <c r="I162" s="16"/>
      <c r="J162" s="16"/>
      <c r="K162" s="16">
        <v>406</v>
      </c>
      <c r="L162" s="16">
        <v>1014</v>
      </c>
      <c r="M162" s="16"/>
      <c r="N162" s="16"/>
      <c r="O162" s="16"/>
      <c r="P162" s="16"/>
      <c r="Q162" s="16">
        <v>40</v>
      </c>
      <c r="R162" s="16">
        <v>100</v>
      </c>
      <c r="S162" s="16"/>
      <c r="T162" s="16"/>
      <c r="U162" s="16"/>
      <c r="V162" s="16"/>
      <c r="W162" s="16"/>
      <c r="X162" s="16"/>
      <c r="Y162" s="16"/>
      <c r="Z162" s="16"/>
      <c r="AA162" s="16"/>
      <c r="AB162" s="16"/>
      <c r="AC162" s="16">
        <v>42</v>
      </c>
      <c r="AD162" s="16">
        <v>104</v>
      </c>
      <c r="AE162" s="16"/>
      <c r="AF162" s="16"/>
      <c r="AG162" s="16"/>
      <c r="AH162" s="16"/>
      <c r="AI162" s="16">
        <v>60</v>
      </c>
      <c r="AJ162" s="16">
        <v>150</v>
      </c>
      <c r="AK162" s="16"/>
      <c r="AL162" s="16"/>
      <c r="AM162" s="16"/>
      <c r="AN162" s="16"/>
      <c r="AO162" s="15"/>
      <c r="AP162" s="15"/>
      <c r="AQ162" s="15">
        <v>250</v>
      </c>
      <c r="AR162" s="15">
        <v>624</v>
      </c>
      <c r="AS162" s="15"/>
      <c r="AT162" s="15"/>
      <c r="AU162" s="15"/>
      <c r="AV162" s="15"/>
      <c r="AW162" s="15">
        <v>20</v>
      </c>
      <c r="AX162" s="15">
        <v>48</v>
      </c>
      <c r="AY162" s="27">
        <f t="shared" si="11"/>
        <v>1138</v>
      </c>
      <c r="AZ162" s="27">
        <f t="shared" si="12"/>
        <v>2840</v>
      </c>
    </row>
    <row r="163" spans="1:52" x14ac:dyDescent="0.25">
      <c r="A163" s="13">
        <v>191</v>
      </c>
      <c r="B163" s="19" t="s">
        <v>364</v>
      </c>
      <c r="C163" s="26" t="s">
        <v>365</v>
      </c>
      <c r="D163" s="19" t="s">
        <v>42</v>
      </c>
      <c r="E163" s="16"/>
      <c r="F163" s="16"/>
      <c r="G163" s="16"/>
      <c r="H163" s="16"/>
      <c r="I163" s="16"/>
      <c r="J163" s="16"/>
      <c r="K163" s="16">
        <v>182</v>
      </c>
      <c r="L163" s="16">
        <v>454</v>
      </c>
      <c r="M163" s="16"/>
      <c r="N163" s="16"/>
      <c r="O163" s="16"/>
      <c r="P163" s="16"/>
      <c r="Q163" s="16">
        <v>8</v>
      </c>
      <c r="R163" s="16">
        <v>18</v>
      </c>
      <c r="S163" s="16"/>
      <c r="T163" s="16"/>
      <c r="U163" s="16"/>
      <c r="V163" s="16"/>
      <c r="W163" s="16"/>
      <c r="X163" s="16"/>
      <c r="Y163" s="16"/>
      <c r="Z163" s="16"/>
      <c r="AA163" s="16"/>
      <c r="AB163" s="16"/>
      <c r="AC163" s="16"/>
      <c r="AD163" s="16"/>
      <c r="AE163" s="16"/>
      <c r="AF163" s="16"/>
      <c r="AG163" s="16"/>
      <c r="AH163" s="16"/>
      <c r="AI163" s="16">
        <v>48</v>
      </c>
      <c r="AJ163" s="16">
        <v>120</v>
      </c>
      <c r="AK163" s="16"/>
      <c r="AL163" s="16"/>
      <c r="AM163" s="16"/>
      <c r="AN163" s="16"/>
      <c r="AO163" s="15"/>
      <c r="AP163" s="15"/>
      <c r="AQ163" s="15"/>
      <c r="AR163" s="15"/>
      <c r="AS163" s="15"/>
      <c r="AT163" s="15"/>
      <c r="AU163" s="15"/>
      <c r="AV163" s="15"/>
      <c r="AW163" s="15"/>
      <c r="AX163" s="15"/>
      <c r="AY163" s="27">
        <f t="shared" si="11"/>
        <v>238</v>
      </c>
      <c r="AZ163" s="27">
        <f t="shared" si="12"/>
        <v>592</v>
      </c>
    </row>
    <row r="164" spans="1:52" x14ac:dyDescent="0.25">
      <c r="A164" s="13">
        <v>192</v>
      </c>
      <c r="B164" s="19" t="s">
        <v>366</v>
      </c>
      <c r="C164" s="26" t="s">
        <v>367</v>
      </c>
      <c r="D164" s="19" t="s">
        <v>42</v>
      </c>
      <c r="E164" s="16"/>
      <c r="F164" s="16"/>
      <c r="G164" s="16"/>
      <c r="H164" s="16"/>
      <c r="I164" s="16"/>
      <c r="J164" s="16"/>
      <c r="K164" s="16"/>
      <c r="L164" s="16"/>
      <c r="M164" s="16">
        <v>88</v>
      </c>
      <c r="N164" s="16">
        <v>220</v>
      </c>
      <c r="O164" s="16"/>
      <c r="P164" s="16"/>
      <c r="Q164" s="16">
        <v>26</v>
      </c>
      <c r="R164" s="16">
        <v>60</v>
      </c>
      <c r="S164" s="16"/>
      <c r="T164" s="16"/>
      <c r="U164" s="16"/>
      <c r="V164" s="16"/>
      <c r="W164" s="16"/>
      <c r="X164" s="16"/>
      <c r="Y164" s="16"/>
      <c r="Z164" s="16"/>
      <c r="AA164" s="16"/>
      <c r="AB164" s="16"/>
      <c r="AC164" s="16"/>
      <c r="AD164" s="16"/>
      <c r="AE164" s="16"/>
      <c r="AF164" s="16"/>
      <c r="AG164" s="16"/>
      <c r="AH164" s="16"/>
      <c r="AI164" s="16">
        <v>4</v>
      </c>
      <c r="AJ164" s="16">
        <v>10</v>
      </c>
      <c r="AK164" s="16"/>
      <c r="AL164" s="16"/>
      <c r="AM164" s="16"/>
      <c r="AN164" s="16"/>
      <c r="AO164" s="15"/>
      <c r="AP164" s="15"/>
      <c r="AQ164" s="15"/>
      <c r="AR164" s="15"/>
      <c r="AS164" s="15"/>
      <c r="AT164" s="15"/>
      <c r="AU164" s="15"/>
      <c r="AV164" s="15"/>
      <c r="AW164" s="15"/>
      <c r="AX164" s="15"/>
      <c r="AY164" s="27">
        <f t="shared" si="11"/>
        <v>118</v>
      </c>
      <c r="AZ164" s="27">
        <f t="shared" si="12"/>
        <v>290</v>
      </c>
    </row>
    <row r="165" spans="1:52" x14ac:dyDescent="0.25">
      <c r="A165" s="13">
        <v>193</v>
      </c>
      <c r="B165" s="19" t="s">
        <v>368</v>
      </c>
      <c r="C165" s="26" t="s">
        <v>369</v>
      </c>
      <c r="D165" s="19" t="s">
        <v>42</v>
      </c>
      <c r="E165" s="16"/>
      <c r="F165" s="16"/>
      <c r="G165" s="16"/>
      <c r="H165" s="16"/>
      <c r="I165" s="16"/>
      <c r="J165" s="16"/>
      <c r="K165" s="16"/>
      <c r="L165" s="16"/>
      <c r="M165" s="16">
        <v>3346</v>
      </c>
      <c r="N165" s="16">
        <v>8360</v>
      </c>
      <c r="O165" s="16"/>
      <c r="P165" s="16"/>
      <c r="Q165" s="16"/>
      <c r="R165" s="16"/>
      <c r="S165" s="16"/>
      <c r="T165" s="16"/>
      <c r="U165" s="16"/>
      <c r="V165" s="16"/>
      <c r="W165" s="16"/>
      <c r="X165" s="16"/>
      <c r="Y165" s="16"/>
      <c r="Z165" s="16"/>
      <c r="AA165" s="16"/>
      <c r="AB165" s="16"/>
      <c r="AC165" s="16"/>
      <c r="AD165" s="16"/>
      <c r="AE165" s="16"/>
      <c r="AF165" s="16"/>
      <c r="AG165" s="16">
        <v>78</v>
      </c>
      <c r="AH165" s="16">
        <v>194</v>
      </c>
      <c r="AI165" s="16"/>
      <c r="AJ165" s="16"/>
      <c r="AK165" s="16"/>
      <c r="AL165" s="16"/>
      <c r="AM165" s="16"/>
      <c r="AN165" s="16"/>
      <c r="AO165" s="15">
        <v>1200</v>
      </c>
      <c r="AP165" s="15">
        <v>3000</v>
      </c>
      <c r="AQ165" s="15">
        <v>14</v>
      </c>
      <c r="AR165" s="15">
        <v>32</v>
      </c>
      <c r="AS165" s="15"/>
      <c r="AT165" s="15"/>
      <c r="AU165" s="15"/>
      <c r="AV165" s="15"/>
      <c r="AW165" s="15"/>
      <c r="AX165" s="15"/>
      <c r="AY165" s="27">
        <f t="shared" si="11"/>
        <v>4638</v>
      </c>
      <c r="AZ165" s="27">
        <f t="shared" si="12"/>
        <v>11586</v>
      </c>
    </row>
    <row r="166" spans="1:52" x14ac:dyDescent="0.25">
      <c r="A166" s="13">
        <v>194</v>
      </c>
      <c r="B166" s="19" t="s">
        <v>370</v>
      </c>
      <c r="C166" s="26" t="s">
        <v>371</v>
      </c>
      <c r="D166" s="19" t="s">
        <v>42</v>
      </c>
      <c r="E166" s="16"/>
      <c r="F166" s="16"/>
      <c r="G166" s="16"/>
      <c r="H166" s="16"/>
      <c r="I166" s="16"/>
      <c r="J166" s="16"/>
      <c r="K166" s="16">
        <v>3796</v>
      </c>
      <c r="L166" s="16">
        <v>9490</v>
      </c>
      <c r="M166" s="16"/>
      <c r="N166" s="16"/>
      <c r="O166" s="16">
        <v>70</v>
      </c>
      <c r="P166" s="16">
        <v>175</v>
      </c>
      <c r="Q166" s="16">
        <v>262</v>
      </c>
      <c r="R166" s="16">
        <v>654</v>
      </c>
      <c r="S166" s="16"/>
      <c r="T166" s="16"/>
      <c r="U166" s="16">
        <v>176</v>
      </c>
      <c r="V166" s="16">
        <v>440</v>
      </c>
      <c r="W166" s="16"/>
      <c r="X166" s="16"/>
      <c r="Y166" s="16">
        <v>28</v>
      </c>
      <c r="Z166" s="16">
        <v>70</v>
      </c>
      <c r="AA166" s="16">
        <v>80</v>
      </c>
      <c r="AB166" s="16">
        <v>200</v>
      </c>
      <c r="AC166" s="16">
        <v>25</v>
      </c>
      <c r="AD166" s="16">
        <v>60</v>
      </c>
      <c r="AE166" s="16"/>
      <c r="AF166" s="16"/>
      <c r="AG166" s="16"/>
      <c r="AH166" s="16"/>
      <c r="AI166" s="16">
        <v>592</v>
      </c>
      <c r="AJ166" s="16">
        <v>1480</v>
      </c>
      <c r="AK166" s="16">
        <v>44</v>
      </c>
      <c r="AL166" s="16">
        <v>110</v>
      </c>
      <c r="AM166" s="16">
        <v>20</v>
      </c>
      <c r="AN166" s="16">
        <v>48</v>
      </c>
      <c r="AO166" s="15"/>
      <c r="AP166" s="15"/>
      <c r="AQ166" s="15"/>
      <c r="AR166" s="15"/>
      <c r="AS166" s="15"/>
      <c r="AT166" s="15"/>
      <c r="AU166" s="15">
        <v>400</v>
      </c>
      <c r="AV166" s="15">
        <v>1000</v>
      </c>
      <c r="AW166" s="15">
        <v>4</v>
      </c>
      <c r="AX166" s="15">
        <v>10</v>
      </c>
      <c r="AY166" s="27">
        <f t="shared" si="11"/>
        <v>5497</v>
      </c>
      <c r="AZ166" s="27">
        <f t="shared" si="12"/>
        <v>13737</v>
      </c>
    </row>
    <row r="167" spans="1:52" x14ac:dyDescent="0.25">
      <c r="A167" s="13">
        <v>196</v>
      </c>
      <c r="B167" s="19" t="s">
        <v>372</v>
      </c>
      <c r="C167" s="26" t="s">
        <v>373</v>
      </c>
      <c r="D167" s="19" t="s">
        <v>42</v>
      </c>
      <c r="E167" s="16">
        <v>10</v>
      </c>
      <c r="F167" s="16">
        <v>24</v>
      </c>
      <c r="G167" s="16">
        <v>2</v>
      </c>
      <c r="H167" s="16">
        <v>2</v>
      </c>
      <c r="I167" s="16">
        <v>2</v>
      </c>
      <c r="J167" s="16">
        <v>2</v>
      </c>
      <c r="K167" s="16">
        <v>6</v>
      </c>
      <c r="L167" s="16">
        <v>12</v>
      </c>
      <c r="M167" s="16"/>
      <c r="N167" s="16"/>
      <c r="O167" s="16">
        <v>4</v>
      </c>
      <c r="P167" s="16">
        <v>8</v>
      </c>
      <c r="Q167" s="16"/>
      <c r="R167" s="16"/>
      <c r="S167" s="16"/>
      <c r="T167" s="16"/>
      <c r="U167" s="16">
        <v>3</v>
      </c>
      <c r="V167" s="16">
        <v>6</v>
      </c>
      <c r="W167" s="16">
        <v>4</v>
      </c>
      <c r="X167" s="16">
        <v>7</v>
      </c>
      <c r="Y167" s="16"/>
      <c r="Z167" s="16"/>
      <c r="AA167" s="16"/>
      <c r="AB167" s="16"/>
      <c r="AC167" s="16">
        <v>7</v>
      </c>
      <c r="AD167" s="16">
        <v>15</v>
      </c>
      <c r="AE167" s="16"/>
      <c r="AF167" s="16"/>
      <c r="AG167" s="16"/>
      <c r="AH167" s="16"/>
      <c r="AI167" s="16">
        <v>4</v>
      </c>
      <c r="AJ167" s="16">
        <v>6</v>
      </c>
      <c r="AK167" s="16"/>
      <c r="AL167" s="16"/>
      <c r="AM167" s="16"/>
      <c r="AN167" s="16"/>
      <c r="AO167" s="15">
        <v>8</v>
      </c>
      <c r="AP167" s="15">
        <v>18</v>
      </c>
      <c r="AQ167" s="15"/>
      <c r="AR167" s="15"/>
      <c r="AS167" s="15"/>
      <c r="AT167" s="15"/>
      <c r="AU167" s="15"/>
      <c r="AV167" s="15"/>
      <c r="AW167" s="15">
        <v>2</v>
      </c>
      <c r="AX167" s="15">
        <v>2</v>
      </c>
      <c r="AY167" s="27">
        <f t="shared" si="11"/>
        <v>52</v>
      </c>
      <c r="AZ167" s="27">
        <f t="shared" si="12"/>
        <v>102</v>
      </c>
    </row>
    <row r="168" spans="1:52" x14ac:dyDescent="0.25">
      <c r="A168" s="13">
        <v>199</v>
      </c>
      <c r="B168" s="19" t="s">
        <v>374</v>
      </c>
      <c r="C168" s="26" t="s">
        <v>375</v>
      </c>
      <c r="D168" s="19" t="s">
        <v>42</v>
      </c>
      <c r="E168" s="16">
        <v>136</v>
      </c>
      <c r="F168" s="16">
        <v>340</v>
      </c>
      <c r="G168" s="16">
        <v>448</v>
      </c>
      <c r="H168" s="16">
        <v>1116</v>
      </c>
      <c r="I168" s="16">
        <v>3400</v>
      </c>
      <c r="J168" s="16">
        <v>8500</v>
      </c>
      <c r="K168" s="16">
        <v>1142</v>
      </c>
      <c r="L168" s="16">
        <v>2852</v>
      </c>
      <c r="M168" s="16">
        <v>2075</v>
      </c>
      <c r="N168" s="16">
        <v>5186</v>
      </c>
      <c r="O168" s="16">
        <v>513</v>
      </c>
      <c r="P168" s="16">
        <v>1276</v>
      </c>
      <c r="Q168" s="16">
        <v>16</v>
      </c>
      <c r="R168" s="16">
        <v>38</v>
      </c>
      <c r="S168" s="16">
        <v>21</v>
      </c>
      <c r="T168" s="16">
        <v>50</v>
      </c>
      <c r="U168" s="16">
        <v>748</v>
      </c>
      <c r="V168" s="16">
        <v>1870</v>
      </c>
      <c r="W168" s="16">
        <v>720</v>
      </c>
      <c r="X168" s="16">
        <v>1800</v>
      </c>
      <c r="Y168" s="16">
        <v>106</v>
      </c>
      <c r="Z168" s="16">
        <v>262</v>
      </c>
      <c r="AA168" s="16">
        <v>202</v>
      </c>
      <c r="AB168" s="16">
        <v>502</v>
      </c>
      <c r="AC168" s="16">
        <v>126</v>
      </c>
      <c r="AD168" s="16">
        <v>313</v>
      </c>
      <c r="AE168" s="16"/>
      <c r="AF168" s="16"/>
      <c r="AG168" s="16">
        <v>2376</v>
      </c>
      <c r="AH168" s="16">
        <v>5940</v>
      </c>
      <c r="AI168" s="16">
        <v>140</v>
      </c>
      <c r="AJ168" s="16">
        <v>350</v>
      </c>
      <c r="AK168" s="16">
        <v>480</v>
      </c>
      <c r="AL168" s="16">
        <v>1200</v>
      </c>
      <c r="AM168" s="16">
        <v>202</v>
      </c>
      <c r="AN168" s="16">
        <v>504</v>
      </c>
      <c r="AO168" s="15">
        <v>570</v>
      </c>
      <c r="AP168" s="15">
        <v>1422</v>
      </c>
      <c r="AQ168" s="15">
        <v>60</v>
      </c>
      <c r="AR168" s="15">
        <v>148</v>
      </c>
      <c r="AS168" s="15">
        <v>76</v>
      </c>
      <c r="AT168" s="15">
        <v>190</v>
      </c>
      <c r="AU168" s="15">
        <v>138</v>
      </c>
      <c r="AV168" s="15">
        <v>345</v>
      </c>
      <c r="AW168" s="15"/>
      <c r="AX168" s="15"/>
      <c r="AY168" s="27">
        <f t="shared" si="11"/>
        <v>13695</v>
      </c>
      <c r="AZ168" s="27">
        <f t="shared" si="12"/>
        <v>34204</v>
      </c>
    </row>
    <row r="169" spans="1:52" x14ac:dyDescent="0.25">
      <c r="A169" s="13">
        <v>200</v>
      </c>
      <c r="B169" s="19" t="s">
        <v>376</v>
      </c>
      <c r="C169" s="26" t="s">
        <v>377</v>
      </c>
      <c r="D169" s="19" t="s">
        <v>42</v>
      </c>
      <c r="E169" s="16">
        <v>128</v>
      </c>
      <c r="F169" s="16">
        <v>320</v>
      </c>
      <c r="G169" s="16">
        <v>2</v>
      </c>
      <c r="H169" s="16">
        <v>4</v>
      </c>
      <c r="I169" s="16">
        <v>348</v>
      </c>
      <c r="J169" s="16">
        <v>868</v>
      </c>
      <c r="K169" s="16">
        <v>8</v>
      </c>
      <c r="L169" s="16">
        <v>18</v>
      </c>
      <c r="M169" s="16"/>
      <c r="N169" s="16"/>
      <c r="O169" s="16"/>
      <c r="P169" s="16"/>
      <c r="Q169" s="16"/>
      <c r="R169" s="16"/>
      <c r="S169" s="16">
        <v>46</v>
      </c>
      <c r="T169" s="16">
        <v>114</v>
      </c>
      <c r="U169" s="16">
        <v>88</v>
      </c>
      <c r="V169" s="16">
        <v>220</v>
      </c>
      <c r="W169" s="16"/>
      <c r="X169" s="16"/>
      <c r="Y169" s="16">
        <v>224</v>
      </c>
      <c r="Z169" s="16">
        <v>560</v>
      </c>
      <c r="AA169" s="16">
        <v>12</v>
      </c>
      <c r="AB169" s="16">
        <v>30</v>
      </c>
      <c r="AC169" s="16"/>
      <c r="AD169" s="16"/>
      <c r="AE169" s="16"/>
      <c r="AF169" s="16"/>
      <c r="AG169" s="16">
        <v>2880</v>
      </c>
      <c r="AH169" s="16">
        <v>7200</v>
      </c>
      <c r="AI169" s="16"/>
      <c r="AJ169" s="16"/>
      <c r="AK169" s="16">
        <v>320</v>
      </c>
      <c r="AL169" s="16">
        <v>800</v>
      </c>
      <c r="AM169" s="16"/>
      <c r="AN169" s="16"/>
      <c r="AO169" s="15">
        <v>2412</v>
      </c>
      <c r="AP169" s="15">
        <v>6030</v>
      </c>
      <c r="AQ169" s="15"/>
      <c r="AR169" s="15"/>
      <c r="AS169" s="15"/>
      <c r="AT169" s="15"/>
      <c r="AU169" s="15"/>
      <c r="AV169" s="15"/>
      <c r="AW169" s="15"/>
      <c r="AX169" s="15"/>
      <c r="AY169" s="27">
        <f t="shared" si="11"/>
        <v>6468</v>
      </c>
      <c r="AZ169" s="27">
        <f t="shared" si="12"/>
        <v>16164</v>
      </c>
    </row>
    <row r="170" spans="1:52" x14ac:dyDescent="0.25">
      <c r="A170" s="13">
        <v>201</v>
      </c>
      <c r="B170" s="19" t="s">
        <v>378</v>
      </c>
      <c r="C170" s="26" t="s">
        <v>379</v>
      </c>
      <c r="D170" s="19" t="s">
        <v>42</v>
      </c>
      <c r="E170" s="16">
        <v>480</v>
      </c>
      <c r="F170" s="16">
        <v>1200</v>
      </c>
      <c r="G170" s="16">
        <v>100</v>
      </c>
      <c r="H170" s="16">
        <v>246</v>
      </c>
      <c r="I170" s="16">
        <v>888</v>
      </c>
      <c r="J170" s="16">
        <v>2220</v>
      </c>
      <c r="K170" s="16">
        <v>2202</v>
      </c>
      <c r="L170" s="16">
        <v>5503</v>
      </c>
      <c r="M170" s="16">
        <v>3046</v>
      </c>
      <c r="N170" s="16">
        <v>7610</v>
      </c>
      <c r="O170" s="16">
        <v>2444</v>
      </c>
      <c r="P170" s="16">
        <v>6104</v>
      </c>
      <c r="Q170" s="16">
        <v>26</v>
      </c>
      <c r="R170" s="16">
        <v>60</v>
      </c>
      <c r="S170" s="16">
        <v>64</v>
      </c>
      <c r="T170" s="16">
        <v>160</v>
      </c>
      <c r="U170" s="16">
        <v>2688</v>
      </c>
      <c r="V170" s="16">
        <v>6720</v>
      </c>
      <c r="W170" s="16">
        <v>960</v>
      </c>
      <c r="X170" s="16">
        <v>2400</v>
      </c>
      <c r="Y170" s="16">
        <v>648</v>
      </c>
      <c r="Z170" s="16">
        <v>1616</v>
      </c>
      <c r="AA170" s="16">
        <v>1604</v>
      </c>
      <c r="AB170" s="16">
        <v>4008</v>
      </c>
      <c r="AC170" s="16">
        <v>217</v>
      </c>
      <c r="AD170" s="16">
        <v>539</v>
      </c>
      <c r="AE170" s="16">
        <v>51</v>
      </c>
      <c r="AF170" s="16">
        <v>121</v>
      </c>
      <c r="AG170" s="16">
        <v>8261</v>
      </c>
      <c r="AH170" s="16">
        <v>20652</v>
      </c>
      <c r="AI170" s="16">
        <v>4816</v>
      </c>
      <c r="AJ170" s="16">
        <v>12040</v>
      </c>
      <c r="AK170" s="16">
        <v>836</v>
      </c>
      <c r="AL170" s="16">
        <v>2090</v>
      </c>
      <c r="AM170" s="16">
        <v>1010</v>
      </c>
      <c r="AN170" s="16">
        <v>2520</v>
      </c>
      <c r="AO170" s="15">
        <v>7904</v>
      </c>
      <c r="AP170" s="15">
        <v>19760</v>
      </c>
      <c r="AQ170" s="15">
        <v>24</v>
      </c>
      <c r="AR170" s="15">
        <v>60</v>
      </c>
      <c r="AS170" s="15">
        <v>44</v>
      </c>
      <c r="AT170" s="15">
        <v>110</v>
      </c>
      <c r="AU170" s="15"/>
      <c r="AV170" s="15"/>
      <c r="AW170" s="15">
        <v>4</v>
      </c>
      <c r="AX170" s="15">
        <v>6</v>
      </c>
      <c r="AY170" s="27">
        <f t="shared" si="11"/>
        <v>38317</v>
      </c>
      <c r="AZ170" s="27">
        <f t="shared" si="12"/>
        <v>95745</v>
      </c>
    </row>
    <row r="171" spans="1:52" x14ac:dyDescent="0.25">
      <c r="A171" s="13">
        <v>202</v>
      </c>
      <c r="B171" s="19" t="s">
        <v>380</v>
      </c>
      <c r="C171" s="26" t="s">
        <v>381</v>
      </c>
      <c r="D171" s="19" t="s">
        <v>42</v>
      </c>
      <c r="E171" s="16">
        <v>2800</v>
      </c>
      <c r="F171" s="16">
        <v>7000</v>
      </c>
      <c r="G171" s="16">
        <v>1000</v>
      </c>
      <c r="H171" s="16">
        <v>2500</v>
      </c>
      <c r="I171" s="16">
        <v>15604</v>
      </c>
      <c r="J171" s="16">
        <v>39007</v>
      </c>
      <c r="K171" s="16">
        <v>17584</v>
      </c>
      <c r="L171" s="16">
        <v>43958</v>
      </c>
      <c r="M171" s="16">
        <v>8177</v>
      </c>
      <c r="N171" s="16">
        <v>20439</v>
      </c>
      <c r="O171" s="16">
        <v>1566</v>
      </c>
      <c r="P171" s="16">
        <v>3914</v>
      </c>
      <c r="Q171" s="16">
        <v>822</v>
      </c>
      <c r="R171" s="16">
        <v>2048</v>
      </c>
      <c r="S171" s="16">
        <v>1200</v>
      </c>
      <c r="T171" s="16">
        <v>3000</v>
      </c>
      <c r="U171" s="16">
        <v>1127</v>
      </c>
      <c r="V171" s="16">
        <v>2814</v>
      </c>
      <c r="W171" s="16">
        <v>3400</v>
      </c>
      <c r="X171" s="16">
        <v>8500</v>
      </c>
      <c r="Y171" s="16">
        <v>2560</v>
      </c>
      <c r="Z171" s="16">
        <v>6400</v>
      </c>
      <c r="AA171" s="16">
        <v>448</v>
      </c>
      <c r="AB171" s="16">
        <v>1116</v>
      </c>
      <c r="AC171" s="16">
        <v>2528</v>
      </c>
      <c r="AD171" s="16">
        <v>6319</v>
      </c>
      <c r="AE171" s="16">
        <v>2064</v>
      </c>
      <c r="AF171" s="16">
        <v>5160</v>
      </c>
      <c r="AG171" s="16">
        <v>9240</v>
      </c>
      <c r="AH171" s="16">
        <v>23100</v>
      </c>
      <c r="AI171" s="16">
        <v>11200</v>
      </c>
      <c r="AJ171" s="16">
        <v>28000</v>
      </c>
      <c r="AK171" s="16">
        <v>11335</v>
      </c>
      <c r="AL171" s="16">
        <v>28335</v>
      </c>
      <c r="AM171" s="16">
        <v>384</v>
      </c>
      <c r="AN171" s="16">
        <v>960</v>
      </c>
      <c r="AO171" s="15">
        <v>9400</v>
      </c>
      <c r="AP171" s="15">
        <v>23499</v>
      </c>
      <c r="AQ171" s="15">
        <v>269</v>
      </c>
      <c r="AR171" s="15">
        <v>672</v>
      </c>
      <c r="AS171" s="15">
        <v>12</v>
      </c>
      <c r="AT171" s="15">
        <v>30</v>
      </c>
      <c r="AU171" s="15">
        <v>624</v>
      </c>
      <c r="AV171" s="15">
        <v>1560</v>
      </c>
      <c r="AW171" s="15">
        <v>58</v>
      </c>
      <c r="AX171" s="15">
        <v>142</v>
      </c>
      <c r="AY171" s="27">
        <f t="shared" si="11"/>
        <v>103402</v>
      </c>
      <c r="AZ171" s="27">
        <f t="shared" si="12"/>
        <v>258473</v>
      </c>
    </row>
    <row r="172" spans="1:52" x14ac:dyDescent="0.25">
      <c r="A172" s="13">
        <v>203</v>
      </c>
      <c r="B172" s="19" t="s">
        <v>382</v>
      </c>
      <c r="C172" s="26" t="s">
        <v>383</v>
      </c>
      <c r="D172" s="19" t="s">
        <v>42</v>
      </c>
      <c r="E172" s="16"/>
      <c r="F172" s="16"/>
      <c r="G172" s="16"/>
      <c r="H172" s="16"/>
      <c r="I172" s="16"/>
      <c r="J172" s="16"/>
      <c r="K172" s="16"/>
      <c r="L172" s="16"/>
      <c r="M172" s="16"/>
      <c r="N172" s="16"/>
      <c r="O172" s="16">
        <v>2</v>
      </c>
      <c r="P172" s="16">
        <v>3</v>
      </c>
      <c r="Q172" s="16"/>
      <c r="R172" s="16"/>
      <c r="S172" s="16"/>
      <c r="T172" s="16"/>
      <c r="U172" s="16">
        <v>162</v>
      </c>
      <c r="V172" s="16">
        <v>405</v>
      </c>
      <c r="W172" s="16"/>
      <c r="X172" s="16"/>
      <c r="Y172" s="16">
        <v>14</v>
      </c>
      <c r="Z172" s="16">
        <v>32</v>
      </c>
      <c r="AA172" s="16"/>
      <c r="AB172" s="16"/>
      <c r="AC172" s="16"/>
      <c r="AD172" s="16"/>
      <c r="AE172" s="16"/>
      <c r="AF172" s="16"/>
      <c r="AG172" s="16">
        <v>360</v>
      </c>
      <c r="AH172" s="16">
        <v>900</v>
      </c>
      <c r="AI172" s="16"/>
      <c r="AJ172" s="16"/>
      <c r="AK172" s="16">
        <v>4800</v>
      </c>
      <c r="AL172" s="16">
        <v>12000</v>
      </c>
      <c r="AM172" s="16"/>
      <c r="AN172" s="16"/>
      <c r="AO172" s="15"/>
      <c r="AP172" s="15"/>
      <c r="AQ172" s="15"/>
      <c r="AR172" s="15"/>
      <c r="AS172" s="15"/>
      <c r="AT172" s="15"/>
      <c r="AU172" s="15"/>
      <c r="AV172" s="15"/>
      <c r="AW172" s="15"/>
      <c r="AX172" s="15"/>
      <c r="AY172" s="27">
        <f t="shared" si="11"/>
        <v>5338</v>
      </c>
      <c r="AZ172" s="27">
        <f t="shared" si="12"/>
        <v>13340</v>
      </c>
    </row>
    <row r="173" spans="1:52" x14ac:dyDescent="0.25">
      <c r="A173" s="13">
        <v>204</v>
      </c>
      <c r="B173" s="19" t="s">
        <v>384</v>
      </c>
      <c r="C173" s="26" t="s">
        <v>385</v>
      </c>
      <c r="D173" s="19" t="s">
        <v>42</v>
      </c>
      <c r="E173" s="16">
        <v>3840</v>
      </c>
      <c r="F173" s="16">
        <v>9600</v>
      </c>
      <c r="G173" s="16"/>
      <c r="H173" s="16"/>
      <c r="I173" s="16"/>
      <c r="J173" s="16"/>
      <c r="K173" s="16">
        <v>6000</v>
      </c>
      <c r="L173" s="16">
        <v>15000</v>
      </c>
      <c r="M173" s="16">
        <v>19200</v>
      </c>
      <c r="N173" s="16">
        <v>48000</v>
      </c>
      <c r="O173" s="16">
        <v>270</v>
      </c>
      <c r="P173" s="16">
        <v>672</v>
      </c>
      <c r="Q173" s="16"/>
      <c r="R173" s="16"/>
      <c r="S173" s="16"/>
      <c r="T173" s="16"/>
      <c r="U173" s="16"/>
      <c r="V173" s="16"/>
      <c r="W173" s="16">
        <v>4320</v>
      </c>
      <c r="X173" s="16">
        <v>10800</v>
      </c>
      <c r="Y173" s="16">
        <v>106</v>
      </c>
      <c r="Z173" s="16">
        <v>264</v>
      </c>
      <c r="AA173" s="16"/>
      <c r="AB173" s="16"/>
      <c r="AC173" s="16">
        <v>146</v>
      </c>
      <c r="AD173" s="16">
        <v>363</v>
      </c>
      <c r="AE173" s="16"/>
      <c r="AF173" s="16"/>
      <c r="AG173" s="16">
        <v>192</v>
      </c>
      <c r="AH173" s="16">
        <v>480</v>
      </c>
      <c r="AI173" s="16">
        <v>48468</v>
      </c>
      <c r="AJ173" s="16">
        <v>121170</v>
      </c>
      <c r="AK173" s="16">
        <v>2400</v>
      </c>
      <c r="AL173" s="16">
        <v>6000</v>
      </c>
      <c r="AM173" s="16"/>
      <c r="AN173" s="16"/>
      <c r="AO173" s="15"/>
      <c r="AP173" s="15"/>
      <c r="AQ173" s="15"/>
      <c r="AR173" s="15"/>
      <c r="AS173" s="15"/>
      <c r="AT173" s="15"/>
      <c r="AU173" s="15"/>
      <c r="AV173" s="15"/>
      <c r="AW173" s="15"/>
      <c r="AX173" s="15"/>
      <c r="AY173" s="27">
        <f t="shared" si="11"/>
        <v>84942</v>
      </c>
      <c r="AZ173" s="27">
        <f t="shared" si="12"/>
        <v>212349</v>
      </c>
    </row>
    <row r="174" spans="1:52" x14ac:dyDescent="0.25">
      <c r="A174" s="13">
        <v>205</v>
      </c>
      <c r="B174" s="19" t="s">
        <v>386</v>
      </c>
      <c r="C174" s="26" t="s">
        <v>387</v>
      </c>
      <c r="D174" s="19" t="s">
        <v>42</v>
      </c>
      <c r="E174" s="16">
        <v>1920</v>
      </c>
      <c r="F174" s="16">
        <v>4800</v>
      </c>
      <c r="G174" s="16">
        <v>20</v>
      </c>
      <c r="H174" s="16">
        <v>50</v>
      </c>
      <c r="I174" s="16"/>
      <c r="J174" s="16"/>
      <c r="K174" s="16">
        <v>880</v>
      </c>
      <c r="L174" s="16">
        <v>2200</v>
      </c>
      <c r="M174" s="16"/>
      <c r="N174" s="16"/>
      <c r="O174" s="16">
        <v>68</v>
      </c>
      <c r="P174" s="16">
        <v>168</v>
      </c>
      <c r="Q174" s="16"/>
      <c r="R174" s="16"/>
      <c r="S174" s="16"/>
      <c r="T174" s="16"/>
      <c r="U174" s="16"/>
      <c r="V174" s="16"/>
      <c r="W174" s="16">
        <v>720</v>
      </c>
      <c r="X174" s="16">
        <v>1800</v>
      </c>
      <c r="Y174" s="16">
        <v>56</v>
      </c>
      <c r="Z174" s="16">
        <v>140</v>
      </c>
      <c r="AA174" s="16"/>
      <c r="AB174" s="16"/>
      <c r="AC174" s="16">
        <v>24</v>
      </c>
      <c r="AD174" s="16">
        <v>57</v>
      </c>
      <c r="AE174" s="16"/>
      <c r="AF174" s="16"/>
      <c r="AG174" s="16">
        <v>100</v>
      </c>
      <c r="AH174" s="16">
        <v>248</v>
      </c>
      <c r="AI174" s="16">
        <v>80</v>
      </c>
      <c r="AJ174" s="16">
        <v>200</v>
      </c>
      <c r="AK174" s="16">
        <v>800</v>
      </c>
      <c r="AL174" s="16">
        <v>2000</v>
      </c>
      <c r="AM174" s="16"/>
      <c r="AN174" s="16"/>
      <c r="AO174" s="15"/>
      <c r="AP174" s="15"/>
      <c r="AQ174" s="15"/>
      <c r="AR174" s="15"/>
      <c r="AS174" s="15"/>
      <c r="AT174" s="15"/>
      <c r="AU174" s="15"/>
      <c r="AV174" s="15"/>
      <c r="AW174" s="15"/>
      <c r="AX174" s="15"/>
      <c r="AY174" s="27">
        <f t="shared" si="11"/>
        <v>4668</v>
      </c>
      <c r="AZ174" s="27">
        <f t="shared" si="12"/>
        <v>11663</v>
      </c>
    </row>
    <row r="175" spans="1:52" x14ac:dyDescent="0.25">
      <c r="A175" s="13">
        <v>206</v>
      </c>
      <c r="B175" s="19" t="s">
        <v>388</v>
      </c>
      <c r="C175" s="26" t="s">
        <v>389</v>
      </c>
      <c r="D175" s="19" t="s">
        <v>42</v>
      </c>
      <c r="E175" s="16">
        <v>3280</v>
      </c>
      <c r="F175" s="16">
        <v>8200</v>
      </c>
      <c r="G175" s="16"/>
      <c r="H175" s="16"/>
      <c r="I175" s="16">
        <v>20160</v>
      </c>
      <c r="J175" s="16">
        <v>50400</v>
      </c>
      <c r="K175" s="16">
        <v>2960</v>
      </c>
      <c r="L175" s="16">
        <v>7400</v>
      </c>
      <c r="M175" s="16">
        <v>32000</v>
      </c>
      <c r="N175" s="16">
        <v>80000</v>
      </c>
      <c r="O175" s="16">
        <v>270</v>
      </c>
      <c r="P175" s="16">
        <v>672</v>
      </c>
      <c r="Q175" s="16"/>
      <c r="R175" s="16"/>
      <c r="S175" s="16"/>
      <c r="T175" s="16"/>
      <c r="U175" s="16"/>
      <c r="V175" s="16"/>
      <c r="W175" s="16">
        <v>4320</v>
      </c>
      <c r="X175" s="16">
        <v>10800</v>
      </c>
      <c r="Y175" s="16">
        <v>84</v>
      </c>
      <c r="Z175" s="16">
        <v>208</v>
      </c>
      <c r="AA175" s="16"/>
      <c r="AB175" s="16"/>
      <c r="AC175" s="16">
        <v>286</v>
      </c>
      <c r="AD175" s="16">
        <v>715</v>
      </c>
      <c r="AE175" s="16"/>
      <c r="AF175" s="16"/>
      <c r="AG175" s="16">
        <v>768</v>
      </c>
      <c r="AH175" s="16">
        <v>1920</v>
      </c>
      <c r="AI175" s="16">
        <v>48740</v>
      </c>
      <c r="AJ175" s="16">
        <v>121850</v>
      </c>
      <c r="AK175" s="16">
        <v>4800</v>
      </c>
      <c r="AL175" s="16">
        <v>12000</v>
      </c>
      <c r="AM175" s="16"/>
      <c r="AN175" s="16"/>
      <c r="AO175" s="15"/>
      <c r="AP175" s="15"/>
      <c r="AQ175" s="15"/>
      <c r="AR175" s="15"/>
      <c r="AS175" s="15"/>
      <c r="AT175" s="15"/>
      <c r="AU175" s="15"/>
      <c r="AV175" s="15"/>
      <c r="AW175" s="15"/>
      <c r="AX175" s="15"/>
      <c r="AY175" s="27">
        <f t="shared" si="11"/>
        <v>117668</v>
      </c>
      <c r="AZ175" s="27">
        <f t="shared" si="12"/>
        <v>294165</v>
      </c>
    </row>
    <row r="176" spans="1:52" x14ac:dyDescent="0.25">
      <c r="A176" s="13">
        <v>207</v>
      </c>
      <c r="B176" s="19" t="s">
        <v>390</v>
      </c>
      <c r="C176" s="26" t="s">
        <v>391</v>
      </c>
      <c r="D176" s="19" t="s">
        <v>44</v>
      </c>
      <c r="E176" s="16">
        <v>24</v>
      </c>
      <c r="F176" s="16">
        <v>60</v>
      </c>
      <c r="G176" s="16"/>
      <c r="H176" s="16"/>
      <c r="I176" s="16"/>
      <c r="J176" s="16"/>
      <c r="K176" s="16"/>
      <c r="L176" s="16"/>
      <c r="M176" s="16"/>
      <c r="N176" s="16"/>
      <c r="O176" s="16"/>
      <c r="P176" s="16"/>
      <c r="Q176" s="16"/>
      <c r="R176" s="16"/>
      <c r="S176" s="16"/>
      <c r="T176" s="16"/>
      <c r="U176" s="16">
        <v>22</v>
      </c>
      <c r="V176" s="16">
        <v>55</v>
      </c>
      <c r="W176" s="16"/>
      <c r="X176" s="16"/>
      <c r="Y176" s="16"/>
      <c r="Z176" s="16"/>
      <c r="AA176" s="16"/>
      <c r="AB176" s="16"/>
      <c r="AC176" s="16"/>
      <c r="AD176" s="16"/>
      <c r="AE176" s="16"/>
      <c r="AF176" s="16"/>
      <c r="AG176" s="16"/>
      <c r="AH176" s="16"/>
      <c r="AI176" s="16">
        <v>28</v>
      </c>
      <c r="AJ176" s="16">
        <v>70</v>
      </c>
      <c r="AK176" s="16">
        <v>4</v>
      </c>
      <c r="AL176" s="16">
        <v>10</v>
      </c>
      <c r="AM176" s="16"/>
      <c r="AN176" s="16"/>
      <c r="AO176" s="15"/>
      <c r="AP176" s="15"/>
      <c r="AQ176" s="15"/>
      <c r="AR176" s="15"/>
      <c r="AS176" s="15"/>
      <c r="AT176" s="15"/>
      <c r="AU176" s="15"/>
      <c r="AV176" s="15"/>
      <c r="AW176" s="15"/>
      <c r="AX176" s="15"/>
      <c r="AY176" s="27">
        <f t="shared" si="11"/>
        <v>78</v>
      </c>
      <c r="AZ176" s="27">
        <f t="shared" si="12"/>
        <v>195</v>
      </c>
    </row>
    <row r="177" spans="1:52" x14ac:dyDescent="0.25">
      <c r="A177" s="13">
        <v>208</v>
      </c>
      <c r="B177" s="19" t="s">
        <v>392</v>
      </c>
      <c r="C177" s="26" t="s">
        <v>393</v>
      </c>
      <c r="D177" s="19" t="s">
        <v>42</v>
      </c>
      <c r="E177" s="16"/>
      <c r="F177" s="16"/>
      <c r="G177" s="16"/>
      <c r="H177" s="16"/>
      <c r="I177" s="16">
        <v>48</v>
      </c>
      <c r="J177" s="16">
        <v>120</v>
      </c>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v>2800</v>
      </c>
      <c r="AN177" s="16">
        <v>7000</v>
      </c>
      <c r="AO177" s="15"/>
      <c r="AP177" s="15"/>
      <c r="AQ177" s="15"/>
      <c r="AR177" s="15"/>
      <c r="AS177" s="15"/>
      <c r="AT177" s="15"/>
      <c r="AU177" s="15"/>
      <c r="AV177" s="15"/>
      <c r="AW177" s="15"/>
      <c r="AX177" s="15"/>
      <c r="AY177" s="27">
        <f t="shared" si="11"/>
        <v>2848</v>
      </c>
      <c r="AZ177" s="27">
        <f t="shared" si="12"/>
        <v>7120</v>
      </c>
    </row>
    <row r="178" spans="1:52" x14ac:dyDescent="0.25">
      <c r="A178" s="13">
        <v>209</v>
      </c>
      <c r="B178" s="19" t="s">
        <v>394</v>
      </c>
      <c r="C178" s="26" t="s">
        <v>395</v>
      </c>
      <c r="D178" s="19" t="s">
        <v>42</v>
      </c>
      <c r="E178" s="16"/>
      <c r="F178" s="16"/>
      <c r="G178" s="16"/>
      <c r="H178" s="16"/>
      <c r="I178" s="16">
        <v>58</v>
      </c>
      <c r="J178" s="16">
        <v>144</v>
      </c>
      <c r="K178" s="16">
        <v>14</v>
      </c>
      <c r="L178" s="16">
        <v>34</v>
      </c>
      <c r="M178" s="16">
        <v>11</v>
      </c>
      <c r="N178" s="16">
        <v>26</v>
      </c>
      <c r="O178" s="16">
        <v>202</v>
      </c>
      <c r="P178" s="16">
        <v>504</v>
      </c>
      <c r="Q178" s="16"/>
      <c r="R178" s="16"/>
      <c r="S178" s="16"/>
      <c r="T178" s="16"/>
      <c r="U178" s="16"/>
      <c r="V178" s="16"/>
      <c r="W178" s="16"/>
      <c r="X178" s="16"/>
      <c r="Y178" s="16"/>
      <c r="Z178" s="16"/>
      <c r="AA178" s="16"/>
      <c r="AB178" s="16"/>
      <c r="AC178" s="16"/>
      <c r="AD178" s="16"/>
      <c r="AE178" s="16">
        <v>240</v>
      </c>
      <c r="AF178" s="16">
        <v>600</v>
      </c>
      <c r="AG178" s="16"/>
      <c r="AH178" s="16"/>
      <c r="AI178" s="16">
        <v>186</v>
      </c>
      <c r="AJ178" s="16">
        <v>464</v>
      </c>
      <c r="AK178" s="16">
        <v>71</v>
      </c>
      <c r="AL178" s="16">
        <v>175</v>
      </c>
      <c r="AM178" s="16">
        <v>318</v>
      </c>
      <c r="AN178" s="16">
        <v>792</v>
      </c>
      <c r="AO178" s="15">
        <v>80</v>
      </c>
      <c r="AP178" s="15">
        <v>200</v>
      </c>
      <c r="AQ178" s="15"/>
      <c r="AR178" s="15"/>
      <c r="AS178" s="15"/>
      <c r="AT178" s="15"/>
      <c r="AU178" s="15"/>
      <c r="AV178" s="15"/>
      <c r="AW178" s="15"/>
      <c r="AX178" s="15"/>
      <c r="AY178" s="27">
        <f t="shared" si="11"/>
        <v>1180</v>
      </c>
      <c r="AZ178" s="27">
        <f t="shared" si="12"/>
        <v>2939</v>
      </c>
    </row>
    <row r="179" spans="1:52" x14ac:dyDescent="0.25">
      <c r="A179" s="13">
        <v>215</v>
      </c>
      <c r="B179" s="19" t="s">
        <v>396</v>
      </c>
      <c r="C179" s="26" t="s">
        <v>397</v>
      </c>
      <c r="D179" s="19" t="s">
        <v>42</v>
      </c>
      <c r="E179" s="16"/>
      <c r="F179" s="16"/>
      <c r="G179" s="16">
        <v>34</v>
      </c>
      <c r="H179" s="16">
        <v>82</v>
      </c>
      <c r="I179" s="16">
        <v>1214</v>
      </c>
      <c r="J179" s="16">
        <v>3034</v>
      </c>
      <c r="K179" s="16">
        <v>20</v>
      </c>
      <c r="L179" s="16">
        <v>48</v>
      </c>
      <c r="M179" s="16"/>
      <c r="N179" s="16"/>
      <c r="O179" s="16">
        <v>46</v>
      </c>
      <c r="P179" s="16">
        <v>112</v>
      </c>
      <c r="Q179" s="16">
        <v>8</v>
      </c>
      <c r="R179" s="16">
        <v>18</v>
      </c>
      <c r="S179" s="16">
        <v>7</v>
      </c>
      <c r="T179" s="16">
        <v>16</v>
      </c>
      <c r="U179" s="16"/>
      <c r="V179" s="16"/>
      <c r="W179" s="16">
        <v>22</v>
      </c>
      <c r="X179" s="16">
        <v>54</v>
      </c>
      <c r="Y179" s="16"/>
      <c r="Z179" s="16"/>
      <c r="AA179" s="16">
        <v>20</v>
      </c>
      <c r="AB179" s="16">
        <v>50</v>
      </c>
      <c r="AC179" s="16">
        <v>17</v>
      </c>
      <c r="AD179" s="16">
        <v>40</v>
      </c>
      <c r="AE179" s="16">
        <v>192</v>
      </c>
      <c r="AF179" s="16">
        <v>480</v>
      </c>
      <c r="AG179" s="16"/>
      <c r="AH179" s="16"/>
      <c r="AI179" s="16">
        <v>40</v>
      </c>
      <c r="AJ179" s="16">
        <v>96</v>
      </c>
      <c r="AK179" s="16">
        <v>48</v>
      </c>
      <c r="AL179" s="16">
        <v>120</v>
      </c>
      <c r="AM179" s="16"/>
      <c r="AN179" s="16"/>
      <c r="AO179" s="15">
        <v>4</v>
      </c>
      <c r="AP179" s="15">
        <v>6</v>
      </c>
      <c r="AQ179" s="15"/>
      <c r="AR179" s="15"/>
      <c r="AS179" s="15"/>
      <c r="AT179" s="15"/>
      <c r="AU179" s="15"/>
      <c r="AV179" s="15"/>
      <c r="AW179" s="15"/>
      <c r="AX179" s="15"/>
      <c r="AY179" s="27">
        <f t="shared" si="11"/>
        <v>1672</v>
      </c>
      <c r="AZ179" s="27">
        <f t="shared" si="12"/>
        <v>4156</v>
      </c>
    </row>
    <row r="180" spans="1:52" x14ac:dyDescent="0.25">
      <c r="A180" s="13">
        <v>216</v>
      </c>
      <c r="B180" s="19" t="s">
        <v>398</v>
      </c>
      <c r="C180" s="26" t="s">
        <v>399</v>
      </c>
      <c r="D180" s="19" t="s">
        <v>42</v>
      </c>
      <c r="E180" s="16"/>
      <c r="F180" s="16"/>
      <c r="G180" s="16">
        <v>132</v>
      </c>
      <c r="H180" s="16">
        <v>326</v>
      </c>
      <c r="I180" s="16">
        <v>4400</v>
      </c>
      <c r="J180" s="16">
        <v>11000</v>
      </c>
      <c r="K180" s="16">
        <v>62</v>
      </c>
      <c r="L180" s="16">
        <v>154</v>
      </c>
      <c r="M180" s="16"/>
      <c r="N180" s="16"/>
      <c r="O180" s="16"/>
      <c r="P180" s="16"/>
      <c r="Q180" s="16">
        <v>8</v>
      </c>
      <c r="R180" s="16">
        <v>18</v>
      </c>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5">
        <v>80</v>
      </c>
      <c r="AP180" s="15">
        <v>200</v>
      </c>
      <c r="AQ180" s="15">
        <v>2</v>
      </c>
      <c r="AR180" s="15">
        <v>4</v>
      </c>
      <c r="AS180" s="15"/>
      <c r="AT180" s="15"/>
      <c r="AU180" s="15"/>
      <c r="AV180" s="15"/>
      <c r="AW180" s="15"/>
      <c r="AX180" s="15"/>
      <c r="AY180" s="27">
        <f t="shared" si="11"/>
        <v>4684</v>
      </c>
      <c r="AZ180" s="27">
        <f t="shared" si="12"/>
        <v>11702</v>
      </c>
    </row>
    <row r="181" spans="1:52" x14ac:dyDescent="0.25">
      <c r="A181" s="13">
        <v>217</v>
      </c>
      <c r="B181" s="19" t="s">
        <v>400</v>
      </c>
      <c r="C181" s="26" t="s">
        <v>401</v>
      </c>
      <c r="D181" s="19" t="s">
        <v>42</v>
      </c>
      <c r="E181" s="16">
        <v>60</v>
      </c>
      <c r="F181" s="16">
        <v>150</v>
      </c>
      <c r="G181" s="16">
        <v>516</v>
      </c>
      <c r="H181" s="16">
        <v>1286</v>
      </c>
      <c r="I181" s="16">
        <v>166</v>
      </c>
      <c r="J181" s="16">
        <v>414</v>
      </c>
      <c r="K181" s="16"/>
      <c r="L181" s="16"/>
      <c r="M181" s="16">
        <v>1417</v>
      </c>
      <c r="N181" s="16">
        <v>3542</v>
      </c>
      <c r="O181" s="16"/>
      <c r="P181" s="16"/>
      <c r="Q181" s="16"/>
      <c r="R181" s="16"/>
      <c r="S181" s="16"/>
      <c r="T181" s="16"/>
      <c r="U181" s="16">
        <v>4</v>
      </c>
      <c r="V181" s="16">
        <v>10</v>
      </c>
      <c r="W181" s="16">
        <v>128</v>
      </c>
      <c r="X181" s="16">
        <v>320</v>
      </c>
      <c r="Y181" s="16">
        <v>1068</v>
      </c>
      <c r="Z181" s="16">
        <v>2670</v>
      </c>
      <c r="AA181" s="16">
        <v>642</v>
      </c>
      <c r="AB181" s="16">
        <v>1604</v>
      </c>
      <c r="AC181" s="16">
        <v>211</v>
      </c>
      <c r="AD181" s="16">
        <v>526</v>
      </c>
      <c r="AE181" s="16"/>
      <c r="AF181" s="16"/>
      <c r="AG181" s="16">
        <v>8015</v>
      </c>
      <c r="AH181" s="16">
        <v>20036</v>
      </c>
      <c r="AI181" s="16">
        <v>48</v>
      </c>
      <c r="AJ181" s="16">
        <v>120</v>
      </c>
      <c r="AK181" s="16">
        <v>79</v>
      </c>
      <c r="AL181" s="16">
        <v>196</v>
      </c>
      <c r="AM181" s="16">
        <v>384</v>
      </c>
      <c r="AN181" s="16">
        <v>960</v>
      </c>
      <c r="AO181" s="15">
        <v>3080</v>
      </c>
      <c r="AP181" s="15">
        <v>7700</v>
      </c>
      <c r="AQ181" s="15">
        <v>376</v>
      </c>
      <c r="AR181" s="15">
        <v>940</v>
      </c>
      <c r="AS181" s="15">
        <v>256</v>
      </c>
      <c r="AT181" s="15">
        <v>640</v>
      </c>
      <c r="AU181" s="15">
        <v>3</v>
      </c>
      <c r="AV181" s="15">
        <v>5</v>
      </c>
      <c r="AW181" s="15">
        <v>6</v>
      </c>
      <c r="AX181" s="15">
        <v>12</v>
      </c>
      <c r="AY181" s="27">
        <f t="shared" si="11"/>
        <v>16459</v>
      </c>
      <c r="AZ181" s="27">
        <f t="shared" si="12"/>
        <v>41131</v>
      </c>
    </row>
    <row r="182" spans="1:52" x14ac:dyDescent="0.25">
      <c r="A182" s="13">
        <v>219</v>
      </c>
      <c r="B182" s="19" t="s">
        <v>402</v>
      </c>
      <c r="C182" s="26" t="s">
        <v>403</v>
      </c>
      <c r="D182" s="19" t="s">
        <v>43</v>
      </c>
      <c r="E182" s="16">
        <v>100</v>
      </c>
      <c r="F182" s="16">
        <v>248</v>
      </c>
      <c r="G182" s="16">
        <v>2</v>
      </c>
      <c r="H182" s="16">
        <v>2</v>
      </c>
      <c r="I182" s="16">
        <v>1400</v>
      </c>
      <c r="J182" s="16">
        <v>3500</v>
      </c>
      <c r="K182" s="16">
        <v>78</v>
      </c>
      <c r="L182" s="16">
        <v>195</v>
      </c>
      <c r="M182" s="16">
        <v>128</v>
      </c>
      <c r="N182" s="16">
        <v>320</v>
      </c>
      <c r="O182" s="16">
        <v>48</v>
      </c>
      <c r="P182" s="16">
        <v>115</v>
      </c>
      <c r="Q182" s="16"/>
      <c r="R182" s="16"/>
      <c r="S182" s="16">
        <v>5</v>
      </c>
      <c r="T182" s="16">
        <v>10</v>
      </c>
      <c r="U182" s="16">
        <v>616</v>
      </c>
      <c r="V182" s="16">
        <v>1540</v>
      </c>
      <c r="W182" s="16">
        <v>72</v>
      </c>
      <c r="X182" s="16">
        <v>180</v>
      </c>
      <c r="Y182" s="16">
        <v>64</v>
      </c>
      <c r="Z182" s="16">
        <v>158</v>
      </c>
      <c r="AA182" s="16">
        <v>40</v>
      </c>
      <c r="AB182" s="16">
        <v>96</v>
      </c>
      <c r="AC182" s="16"/>
      <c r="AD182" s="16"/>
      <c r="AE182" s="16">
        <v>146</v>
      </c>
      <c r="AF182" s="16">
        <v>361</v>
      </c>
      <c r="AG182" s="16">
        <v>282</v>
      </c>
      <c r="AH182" s="16">
        <v>702</v>
      </c>
      <c r="AI182" s="16">
        <v>1076</v>
      </c>
      <c r="AJ182" s="16">
        <v>2690</v>
      </c>
      <c r="AK182" s="16">
        <v>400</v>
      </c>
      <c r="AL182" s="16">
        <v>1000</v>
      </c>
      <c r="AM182" s="16">
        <v>10</v>
      </c>
      <c r="AN182" s="16">
        <v>24</v>
      </c>
      <c r="AO182" s="15">
        <v>50</v>
      </c>
      <c r="AP182" s="15">
        <v>124</v>
      </c>
      <c r="AQ182" s="15"/>
      <c r="AR182" s="15"/>
      <c r="AS182" s="15"/>
      <c r="AT182" s="15"/>
      <c r="AU182" s="15">
        <v>48</v>
      </c>
      <c r="AV182" s="15">
        <v>120</v>
      </c>
      <c r="AW182" s="15"/>
      <c r="AX182" s="15"/>
      <c r="AY182" s="27">
        <f t="shared" si="11"/>
        <v>4565</v>
      </c>
      <c r="AZ182" s="27">
        <f t="shared" si="12"/>
        <v>11385</v>
      </c>
    </row>
    <row r="183" spans="1:52" x14ac:dyDescent="0.25">
      <c r="A183" s="13">
        <v>220</v>
      </c>
      <c r="B183" s="19" t="s">
        <v>404</v>
      </c>
      <c r="C183" s="26" t="s">
        <v>405</v>
      </c>
      <c r="D183" s="19" t="s">
        <v>42</v>
      </c>
      <c r="E183" s="16">
        <v>25</v>
      </c>
      <c r="F183" s="16">
        <v>62</v>
      </c>
      <c r="G183" s="16">
        <v>1200</v>
      </c>
      <c r="H183" s="16">
        <v>3000</v>
      </c>
      <c r="I183" s="16"/>
      <c r="J183" s="16"/>
      <c r="K183" s="16">
        <v>87</v>
      </c>
      <c r="L183" s="16">
        <v>216</v>
      </c>
      <c r="M183" s="16">
        <v>2564</v>
      </c>
      <c r="N183" s="16">
        <v>6407</v>
      </c>
      <c r="O183" s="16">
        <v>88</v>
      </c>
      <c r="P183" s="16">
        <v>220</v>
      </c>
      <c r="Q183" s="16">
        <v>56</v>
      </c>
      <c r="R183" s="16">
        <v>140</v>
      </c>
      <c r="S183" s="16">
        <v>9</v>
      </c>
      <c r="T183" s="16">
        <v>18</v>
      </c>
      <c r="U183" s="16">
        <v>934</v>
      </c>
      <c r="V183" s="16">
        <v>2332</v>
      </c>
      <c r="W183" s="16">
        <v>15</v>
      </c>
      <c r="X183" s="16">
        <v>36</v>
      </c>
      <c r="Y183" s="16">
        <v>180</v>
      </c>
      <c r="Z183" s="16">
        <v>450</v>
      </c>
      <c r="AA183" s="16"/>
      <c r="AB183" s="16"/>
      <c r="AC183" s="16">
        <v>93</v>
      </c>
      <c r="AD183" s="16">
        <v>232</v>
      </c>
      <c r="AE183" s="16">
        <v>624</v>
      </c>
      <c r="AF183" s="16">
        <v>1560</v>
      </c>
      <c r="AG183" s="16"/>
      <c r="AH183" s="16"/>
      <c r="AI183" s="16">
        <v>960</v>
      </c>
      <c r="AJ183" s="16">
        <v>2400</v>
      </c>
      <c r="AK183" s="16">
        <v>656</v>
      </c>
      <c r="AL183" s="16">
        <v>1640</v>
      </c>
      <c r="AM183" s="16">
        <v>366</v>
      </c>
      <c r="AN183" s="16">
        <v>912</v>
      </c>
      <c r="AO183" s="15">
        <v>280</v>
      </c>
      <c r="AP183" s="15">
        <v>700</v>
      </c>
      <c r="AQ183" s="15">
        <v>16</v>
      </c>
      <c r="AR183" s="15">
        <v>40</v>
      </c>
      <c r="AS183" s="15"/>
      <c r="AT183" s="15"/>
      <c r="AU183" s="15">
        <v>144</v>
      </c>
      <c r="AV183" s="15">
        <v>360</v>
      </c>
      <c r="AW183" s="15">
        <v>240</v>
      </c>
      <c r="AX183" s="15">
        <v>600</v>
      </c>
      <c r="AY183" s="27">
        <f t="shared" si="11"/>
        <v>8537</v>
      </c>
      <c r="AZ183" s="27">
        <f t="shared" si="12"/>
        <v>21325</v>
      </c>
    </row>
    <row r="184" spans="1:52" x14ac:dyDescent="0.25">
      <c r="A184" s="13">
        <v>223</v>
      </c>
      <c r="B184" s="19" t="s">
        <v>406</v>
      </c>
      <c r="C184" s="26" t="s">
        <v>407</v>
      </c>
      <c r="D184" s="19" t="s">
        <v>42</v>
      </c>
      <c r="E184" s="16">
        <v>90</v>
      </c>
      <c r="F184" s="16">
        <v>225</v>
      </c>
      <c r="G184" s="16">
        <v>454</v>
      </c>
      <c r="H184" s="16">
        <v>1132</v>
      </c>
      <c r="I184" s="16">
        <v>21674</v>
      </c>
      <c r="J184" s="16">
        <v>54183</v>
      </c>
      <c r="K184" s="16">
        <v>1908</v>
      </c>
      <c r="L184" s="16">
        <v>4768</v>
      </c>
      <c r="M184" s="16">
        <v>2212</v>
      </c>
      <c r="N184" s="16">
        <v>5526</v>
      </c>
      <c r="O184" s="16">
        <v>2609</v>
      </c>
      <c r="P184" s="16">
        <v>6518</v>
      </c>
      <c r="Q184" s="16">
        <v>258</v>
      </c>
      <c r="R184" s="16">
        <v>638</v>
      </c>
      <c r="S184" s="16">
        <v>193</v>
      </c>
      <c r="T184" s="16">
        <v>480</v>
      </c>
      <c r="U184" s="16">
        <v>1620</v>
      </c>
      <c r="V184" s="16">
        <v>4050</v>
      </c>
      <c r="W184" s="16">
        <v>320</v>
      </c>
      <c r="X184" s="16">
        <v>800</v>
      </c>
      <c r="Y184" s="16">
        <v>208</v>
      </c>
      <c r="Z184" s="16">
        <v>518</v>
      </c>
      <c r="AA184" s="16">
        <v>1216</v>
      </c>
      <c r="AB184" s="16">
        <v>3040</v>
      </c>
      <c r="AC184" s="16">
        <v>1875</v>
      </c>
      <c r="AD184" s="16">
        <v>4686</v>
      </c>
      <c r="AE184" s="16"/>
      <c r="AF184" s="16"/>
      <c r="AG184" s="16">
        <v>2584</v>
      </c>
      <c r="AH184" s="16">
        <v>6460</v>
      </c>
      <c r="AI184" s="16">
        <v>12880</v>
      </c>
      <c r="AJ184" s="16">
        <v>32200</v>
      </c>
      <c r="AK184" s="16">
        <v>5500</v>
      </c>
      <c r="AL184" s="16">
        <v>13750</v>
      </c>
      <c r="AM184" s="16">
        <v>1076</v>
      </c>
      <c r="AN184" s="16">
        <v>2688</v>
      </c>
      <c r="AO184" s="15">
        <v>1448</v>
      </c>
      <c r="AP184" s="15">
        <v>3620</v>
      </c>
      <c r="AQ184" s="15">
        <v>24</v>
      </c>
      <c r="AR184" s="15">
        <v>60</v>
      </c>
      <c r="AS184" s="15">
        <v>560</v>
      </c>
      <c r="AT184" s="15">
        <v>1400</v>
      </c>
      <c r="AU184" s="15">
        <v>40</v>
      </c>
      <c r="AV184" s="15">
        <v>100</v>
      </c>
      <c r="AW184" s="15"/>
      <c r="AX184" s="15"/>
      <c r="AY184" s="27">
        <f t="shared" si="11"/>
        <v>58749</v>
      </c>
      <c r="AZ184" s="27">
        <f t="shared" si="12"/>
        <v>146842</v>
      </c>
    </row>
    <row r="185" spans="1:52" x14ac:dyDescent="0.25">
      <c r="A185" s="13">
        <v>224</v>
      </c>
      <c r="B185" s="19" t="s">
        <v>408</v>
      </c>
      <c r="C185" s="26" t="s">
        <v>409</v>
      </c>
      <c r="D185" s="19" t="s">
        <v>42</v>
      </c>
      <c r="E185" s="16">
        <v>40</v>
      </c>
      <c r="F185" s="16">
        <v>100</v>
      </c>
      <c r="G185" s="16"/>
      <c r="H185" s="16"/>
      <c r="I185" s="16">
        <v>7600</v>
      </c>
      <c r="J185" s="16">
        <v>19000</v>
      </c>
      <c r="K185" s="16">
        <v>16</v>
      </c>
      <c r="L185" s="16">
        <v>36</v>
      </c>
      <c r="M185" s="16">
        <v>152</v>
      </c>
      <c r="N185" s="16">
        <v>380</v>
      </c>
      <c r="O185" s="16"/>
      <c r="P185" s="16"/>
      <c r="Q185" s="16">
        <v>8</v>
      </c>
      <c r="R185" s="16">
        <v>20</v>
      </c>
      <c r="S185" s="16"/>
      <c r="T185" s="16"/>
      <c r="U185" s="16"/>
      <c r="V185" s="16"/>
      <c r="W185" s="16">
        <v>360</v>
      </c>
      <c r="X185" s="16">
        <v>900</v>
      </c>
      <c r="Y185" s="16"/>
      <c r="Z185" s="16"/>
      <c r="AA185" s="16"/>
      <c r="AB185" s="16"/>
      <c r="AC185" s="16"/>
      <c r="AD185" s="16"/>
      <c r="AE185" s="16"/>
      <c r="AF185" s="16"/>
      <c r="AG185" s="16"/>
      <c r="AH185" s="16"/>
      <c r="AI185" s="16"/>
      <c r="AJ185" s="16"/>
      <c r="AK185" s="16"/>
      <c r="AL185" s="16"/>
      <c r="AM185" s="16"/>
      <c r="AN185" s="16"/>
      <c r="AO185" s="15">
        <v>40</v>
      </c>
      <c r="AP185" s="15">
        <v>100</v>
      </c>
      <c r="AQ185" s="15"/>
      <c r="AR185" s="15"/>
      <c r="AS185" s="15"/>
      <c r="AT185" s="15"/>
      <c r="AU185" s="15"/>
      <c r="AV185" s="15"/>
      <c r="AW185" s="15"/>
      <c r="AX185" s="15"/>
      <c r="AY185" s="27">
        <f t="shared" si="11"/>
        <v>8216</v>
      </c>
      <c r="AZ185" s="27">
        <f t="shared" si="12"/>
        <v>20536</v>
      </c>
    </row>
    <row r="186" spans="1:52" x14ac:dyDescent="0.25">
      <c r="A186" s="13">
        <v>225</v>
      </c>
      <c r="B186" s="19" t="s">
        <v>410</v>
      </c>
      <c r="C186" s="26" t="s">
        <v>411</v>
      </c>
      <c r="D186" s="19" t="s">
        <v>42</v>
      </c>
      <c r="E186" s="16">
        <v>40</v>
      </c>
      <c r="F186" s="16">
        <v>100</v>
      </c>
      <c r="G186" s="16"/>
      <c r="H186" s="16"/>
      <c r="I186" s="16"/>
      <c r="J186" s="16"/>
      <c r="K186" s="16">
        <v>4</v>
      </c>
      <c r="L186" s="16">
        <v>6</v>
      </c>
      <c r="M186" s="16">
        <v>464</v>
      </c>
      <c r="N186" s="16">
        <v>1156</v>
      </c>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v>16</v>
      </c>
      <c r="AL186" s="16">
        <v>40</v>
      </c>
      <c r="AM186" s="16"/>
      <c r="AN186" s="16"/>
      <c r="AO186" s="15">
        <v>48</v>
      </c>
      <c r="AP186" s="15">
        <v>120</v>
      </c>
      <c r="AQ186" s="15"/>
      <c r="AR186" s="15"/>
      <c r="AS186" s="15"/>
      <c r="AT186" s="15"/>
      <c r="AU186" s="15"/>
      <c r="AV186" s="15"/>
      <c r="AW186" s="15"/>
      <c r="AX186" s="15"/>
      <c r="AY186" s="27">
        <f t="shared" si="11"/>
        <v>572</v>
      </c>
      <c r="AZ186" s="27">
        <f t="shared" si="12"/>
        <v>1422</v>
      </c>
    </row>
    <row r="187" spans="1:52" x14ac:dyDescent="0.25">
      <c r="A187" s="13">
        <v>226</v>
      </c>
      <c r="B187" s="19" t="s">
        <v>412</v>
      </c>
      <c r="C187" s="26" t="s">
        <v>413</v>
      </c>
      <c r="D187" s="19" t="s">
        <v>42</v>
      </c>
      <c r="E187" s="16"/>
      <c r="F187" s="16"/>
      <c r="G187" s="16">
        <v>438</v>
      </c>
      <c r="H187" s="16">
        <v>1092</v>
      </c>
      <c r="I187" s="16">
        <v>4896</v>
      </c>
      <c r="J187" s="16">
        <v>12240</v>
      </c>
      <c r="K187" s="16">
        <v>5966</v>
      </c>
      <c r="L187" s="16">
        <v>14914</v>
      </c>
      <c r="M187" s="16"/>
      <c r="N187" s="16"/>
      <c r="O187" s="16">
        <v>568</v>
      </c>
      <c r="P187" s="16">
        <v>1415</v>
      </c>
      <c r="Q187" s="16">
        <v>68</v>
      </c>
      <c r="R187" s="16">
        <v>166</v>
      </c>
      <c r="S187" s="16">
        <v>18</v>
      </c>
      <c r="T187" s="16">
        <v>42</v>
      </c>
      <c r="U187" s="16">
        <v>1760</v>
      </c>
      <c r="V187" s="16">
        <v>4400</v>
      </c>
      <c r="W187" s="16">
        <v>1080</v>
      </c>
      <c r="X187" s="16">
        <v>2700</v>
      </c>
      <c r="Y187" s="16">
        <v>1782</v>
      </c>
      <c r="Z187" s="16">
        <v>4452</v>
      </c>
      <c r="AA187" s="16">
        <v>780</v>
      </c>
      <c r="AB187" s="16">
        <v>1946</v>
      </c>
      <c r="AC187" s="16">
        <v>4409</v>
      </c>
      <c r="AD187" s="16">
        <v>11022</v>
      </c>
      <c r="AE187" s="16"/>
      <c r="AF187" s="16"/>
      <c r="AG187" s="16">
        <v>10</v>
      </c>
      <c r="AH187" s="16">
        <v>25</v>
      </c>
      <c r="AI187" s="16"/>
      <c r="AJ187" s="16"/>
      <c r="AK187" s="16">
        <v>2424</v>
      </c>
      <c r="AL187" s="16">
        <v>6056</v>
      </c>
      <c r="AM187" s="16">
        <v>654</v>
      </c>
      <c r="AN187" s="16">
        <v>1632</v>
      </c>
      <c r="AO187" s="15">
        <v>80</v>
      </c>
      <c r="AP187" s="15">
        <v>200</v>
      </c>
      <c r="AQ187" s="15">
        <v>30</v>
      </c>
      <c r="AR187" s="15">
        <v>72</v>
      </c>
      <c r="AS187" s="15">
        <v>216</v>
      </c>
      <c r="AT187" s="15">
        <v>540</v>
      </c>
      <c r="AU187" s="15">
        <v>24</v>
      </c>
      <c r="AV187" s="15">
        <v>60</v>
      </c>
      <c r="AW187" s="15"/>
      <c r="AX187" s="15"/>
      <c r="AY187" s="27">
        <f t="shared" si="11"/>
        <v>25203</v>
      </c>
      <c r="AZ187" s="27">
        <f t="shared" si="12"/>
        <v>62974</v>
      </c>
    </row>
    <row r="188" spans="1:52" x14ac:dyDescent="0.25">
      <c r="A188" s="13">
        <v>227</v>
      </c>
      <c r="B188" s="19" t="s">
        <v>414</v>
      </c>
      <c r="C188" s="26" t="s">
        <v>415</v>
      </c>
      <c r="D188" s="19" t="s">
        <v>42</v>
      </c>
      <c r="E188" s="16">
        <v>10</v>
      </c>
      <c r="F188" s="16">
        <v>24</v>
      </c>
      <c r="G188" s="16">
        <v>212</v>
      </c>
      <c r="H188" s="16">
        <v>526</v>
      </c>
      <c r="I188" s="16">
        <v>13400</v>
      </c>
      <c r="J188" s="16">
        <v>33500</v>
      </c>
      <c r="K188" s="16">
        <v>3499</v>
      </c>
      <c r="L188" s="16">
        <v>8745</v>
      </c>
      <c r="M188" s="16"/>
      <c r="N188" s="16"/>
      <c r="O188" s="16">
        <v>472</v>
      </c>
      <c r="P188" s="16">
        <v>1176</v>
      </c>
      <c r="Q188" s="16">
        <v>50</v>
      </c>
      <c r="R188" s="16">
        <v>122</v>
      </c>
      <c r="S188" s="16">
        <v>5</v>
      </c>
      <c r="T188" s="16">
        <v>10</v>
      </c>
      <c r="U188" s="16">
        <v>1056</v>
      </c>
      <c r="V188" s="16">
        <v>2640</v>
      </c>
      <c r="W188" s="16">
        <v>1040</v>
      </c>
      <c r="X188" s="16">
        <v>2600</v>
      </c>
      <c r="Y188" s="16">
        <v>108</v>
      </c>
      <c r="Z188" s="16">
        <v>270</v>
      </c>
      <c r="AA188" s="16">
        <v>798</v>
      </c>
      <c r="AB188" s="16">
        <v>1992</v>
      </c>
      <c r="AC188" s="16">
        <v>106</v>
      </c>
      <c r="AD188" s="16">
        <v>264</v>
      </c>
      <c r="AE188" s="16"/>
      <c r="AF188" s="16"/>
      <c r="AG188" s="16">
        <v>970</v>
      </c>
      <c r="AH188" s="16">
        <v>2424</v>
      </c>
      <c r="AI188" s="16">
        <v>2440</v>
      </c>
      <c r="AJ188" s="16">
        <v>6100</v>
      </c>
      <c r="AK188" s="16">
        <v>24</v>
      </c>
      <c r="AL188" s="16">
        <v>56</v>
      </c>
      <c r="AM188" s="16">
        <v>164</v>
      </c>
      <c r="AN188" s="16">
        <v>408</v>
      </c>
      <c r="AO188" s="15"/>
      <c r="AP188" s="15"/>
      <c r="AQ188" s="15">
        <v>12</v>
      </c>
      <c r="AR188" s="15">
        <v>28</v>
      </c>
      <c r="AS188" s="15">
        <v>84</v>
      </c>
      <c r="AT188" s="15">
        <v>210</v>
      </c>
      <c r="AU188" s="15">
        <v>24</v>
      </c>
      <c r="AV188" s="15">
        <v>60</v>
      </c>
      <c r="AW188" s="15">
        <v>10</v>
      </c>
      <c r="AX188" s="15">
        <v>20</v>
      </c>
      <c r="AY188" s="27">
        <f t="shared" si="11"/>
        <v>24484</v>
      </c>
      <c r="AZ188" s="27">
        <f t="shared" si="12"/>
        <v>61175</v>
      </c>
    </row>
    <row r="189" spans="1:52" x14ac:dyDescent="0.25">
      <c r="A189" s="13">
        <v>228</v>
      </c>
      <c r="B189" s="19" t="s">
        <v>416</v>
      </c>
      <c r="C189" s="26" t="s">
        <v>417</v>
      </c>
      <c r="D189" s="19" t="s">
        <v>42</v>
      </c>
      <c r="E189" s="16">
        <v>128</v>
      </c>
      <c r="F189" s="16">
        <v>320</v>
      </c>
      <c r="G189" s="16">
        <v>2</v>
      </c>
      <c r="H189" s="16">
        <v>2</v>
      </c>
      <c r="I189" s="16">
        <v>6400</v>
      </c>
      <c r="J189" s="16">
        <v>16000</v>
      </c>
      <c r="K189" s="16">
        <v>58</v>
      </c>
      <c r="L189" s="16">
        <v>143</v>
      </c>
      <c r="M189" s="16">
        <v>186</v>
      </c>
      <c r="N189" s="16">
        <v>460</v>
      </c>
      <c r="O189" s="16">
        <v>812</v>
      </c>
      <c r="P189" s="16">
        <v>2027</v>
      </c>
      <c r="Q189" s="16">
        <v>16</v>
      </c>
      <c r="R189" s="16">
        <v>38</v>
      </c>
      <c r="S189" s="16">
        <v>2</v>
      </c>
      <c r="T189" s="16">
        <v>3</v>
      </c>
      <c r="U189" s="16">
        <v>196</v>
      </c>
      <c r="V189" s="16">
        <v>490</v>
      </c>
      <c r="W189" s="16">
        <v>256</v>
      </c>
      <c r="X189" s="16">
        <v>640</v>
      </c>
      <c r="Y189" s="16">
        <v>1928</v>
      </c>
      <c r="Z189" s="16">
        <v>4816</v>
      </c>
      <c r="AA189" s="16"/>
      <c r="AB189" s="16"/>
      <c r="AC189" s="16">
        <v>119</v>
      </c>
      <c r="AD189" s="16">
        <v>293</v>
      </c>
      <c r="AE189" s="16">
        <v>51</v>
      </c>
      <c r="AF189" s="16">
        <v>121</v>
      </c>
      <c r="AG189" s="16">
        <v>4592</v>
      </c>
      <c r="AH189" s="16">
        <v>11479</v>
      </c>
      <c r="AI189" s="16">
        <v>960</v>
      </c>
      <c r="AJ189" s="16">
        <v>2400</v>
      </c>
      <c r="AK189" s="16"/>
      <c r="AL189" s="16"/>
      <c r="AM189" s="16">
        <v>384</v>
      </c>
      <c r="AN189" s="16">
        <v>960</v>
      </c>
      <c r="AO189" s="15">
        <v>174</v>
      </c>
      <c r="AP189" s="15">
        <v>432</v>
      </c>
      <c r="AQ189" s="15"/>
      <c r="AR189" s="15"/>
      <c r="AS189" s="15">
        <v>4</v>
      </c>
      <c r="AT189" s="15">
        <v>10</v>
      </c>
      <c r="AU189" s="15"/>
      <c r="AV189" s="15"/>
      <c r="AW189" s="15"/>
      <c r="AX189" s="15"/>
      <c r="AY189" s="27">
        <f t="shared" si="11"/>
        <v>16268</v>
      </c>
      <c r="AZ189" s="27">
        <f t="shared" si="12"/>
        <v>40634</v>
      </c>
    </row>
    <row r="190" spans="1:52" x14ac:dyDescent="0.25">
      <c r="A190" s="13">
        <v>229</v>
      </c>
      <c r="B190" s="19" t="s">
        <v>418</v>
      </c>
      <c r="C190" s="26" t="s">
        <v>419</v>
      </c>
      <c r="D190" s="19" t="s">
        <v>42</v>
      </c>
      <c r="E190" s="16">
        <v>40</v>
      </c>
      <c r="F190" s="16">
        <v>100</v>
      </c>
      <c r="G190" s="16"/>
      <c r="H190" s="16"/>
      <c r="I190" s="16">
        <v>2200</v>
      </c>
      <c r="J190" s="16">
        <v>5500</v>
      </c>
      <c r="K190" s="16">
        <v>324</v>
      </c>
      <c r="L190" s="16">
        <v>810</v>
      </c>
      <c r="M190" s="16"/>
      <c r="N190" s="16"/>
      <c r="O190" s="16"/>
      <c r="P190" s="16"/>
      <c r="Q190" s="16"/>
      <c r="R190" s="16"/>
      <c r="S190" s="16"/>
      <c r="T190" s="16"/>
      <c r="U190" s="16"/>
      <c r="V190" s="16"/>
      <c r="W190" s="16">
        <v>44</v>
      </c>
      <c r="X190" s="16">
        <v>108</v>
      </c>
      <c r="Y190" s="16"/>
      <c r="Z190" s="16"/>
      <c r="AA190" s="16"/>
      <c r="AB190" s="16"/>
      <c r="AC190" s="16"/>
      <c r="AD190" s="16"/>
      <c r="AE190" s="16"/>
      <c r="AF190" s="16"/>
      <c r="AG190" s="16"/>
      <c r="AH190" s="16"/>
      <c r="AI190" s="16"/>
      <c r="AJ190" s="16"/>
      <c r="AK190" s="16">
        <v>58</v>
      </c>
      <c r="AL190" s="16">
        <v>144</v>
      </c>
      <c r="AM190" s="16">
        <v>384</v>
      </c>
      <c r="AN190" s="16">
        <v>960</v>
      </c>
      <c r="AO190" s="15"/>
      <c r="AP190" s="15"/>
      <c r="AQ190" s="15"/>
      <c r="AR190" s="15"/>
      <c r="AS190" s="15">
        <v>4</v>
      </c>
      <c r="AT190" s="15">
        <v>10</v>
      </c>
      <c r="AU190" s="15"/>
      <c r="AV190" s="15"/>
      <c r="AW190" s="15"/>
      <c r="AX190" s="15"/>
      <c r="AY190" s="27">
        <f t="shared" si="11"/>
        <v>3054</v>
      </c>
      <c r="AZ190" s="27">
        <f t="shared" si="12"/>
        <v>7632</v>
      </c>
    </row>
    <row r="191" spans="1:52" x14ac:dyDescent="0.25">
      <c r="A191" s="13">
        <v>230</v>
      </c>
      <c r="B191" s="19" t="s">
        <v>420</v>
      </c>
      <c r="C191" s="26" t="s">
        <v>421</v>
      </c>
      <c r="D191" s="19" t="s">
        <v>42</v>
      </c>
      <c r="E191" s="16">
        <v>424</v>
      </c>
      <c r="F191" s="16">
        <v>1060</v>
      </c>
      <c r="G191" s="16">
        <v>18</v>
      </c>
      <c r="H191" s="16">
        <v>42</v>
      </c>
      <c r="I191" s="16">
        <v>2830</v>
      </c>
      <c r="J191" s="16">
        <v>7072</v>
      </c>
      <c r="K191" s="16">
        <v>71</v>
      </c>
      <c r="L191" s="16">
        <v>173</v>
      </c>
      <c r="M191" s="16">
        <v>2680</v>
      </c>
      <c r="N191" s="16">
        <v>6700</v>
      </c>
      <c r="O191" s="16">
        <v>13</v>
      </c>
      <c r="P191" s="16">
        <v>28</v>
      </c>
      <c r="Q191" s="16"/>
      <c r="R191" s="16"/>
      <c r="S191" s="16"/>
      <c r="T191" s="16"/>
      <c r="U191" s="16">
        <v>484</v>
      </c>
      <c r="V191" s="16">
        <v>1210</v>
      </c>
      <c r="W191" s="16"/>
      <c r="X191" s="16"/>
      <c r="Y191" s="16"/>
      <c r="Z191" s="16"/>
      <c r="AA191" s="16">
        <v>10</v>
      </c>
      <c r="AB191" s="16">
        <v>24</v>
      </c>
      <c r="AC191" s="16">
        <v>18</v>
      </c>
      <c r="AD191" s="16">
        <v>43</v>
      </c>
      <c r="AE191" s="16"/>
      <c r="AF191" s="16"/>
      <c r="AG191" s="16"/>
      <c r="AH191" s="16"/>
      <c r="AI191" s="16"/>
      <c r="AJ191" s="16"/>
      <c r="AK191" s="16"/>
      <c r="AL191" s="16"/>
      <c r="AM191" s="16"/>
      <c r="AN191" s="16"/>
      <c r="AO191" s="15">
        <v>12348</v>
      </c>
      <c r="AP191" s="15">
        <v>30870</v>
      </c>
      <c r="AQ191" s="15">
        <v>4</v>
      </c>
      <c r="AR191" s="15">
        <v>6</v>
      </c>
      <c r="AS191" s="15"/>
      <c r="AT191" s="15"/>
      <c r="AU191" s="15"/>
      <c r="AV191" s="15"/>
      <c r="AW191" s="15"/>
      <c r="AX191" s="15"/>
      <c r="AY191" s="27">
        <f t="shared" si="11"/>
        <v>18900</v>
      </c>
      <c r="AZ191" s="27">
        <f t="shared" si="12"/>
        <v>47228</v>
      </c>
    </row>
    <row r="192" spans="1:52" x14ac:dyDescent="0.25">
      <c r="A192" s="13">
        <v>231</v>
      </c>
      <c r="B192" s="19" t="s">
        <v>422</v>
      </c>
      <c r="C192" s="26" t="s">
        <v>423</v>
      </c>
      <c r="D192" s="19" t="s">
        <v>42</v>
      </c>
      <c r="E192" s="16">
        <v>90</v>
      </c>
      <c r="F192" s="16">
        <v>224</v>
      </c>
      <c r="G192" s="16">
        <v>2</v>
      </c>
      <c r="H192" s="16">
        <v>2</v>
      </c>
      <c r="I192" s="16">
        <v>4400</v>
      </c>
      <c r="J192" s="16">
        <v>11000</v>
      </c>
      <c r="K192" s="16">
        <v>1006</v>
      </c>
      <c r="L192" s="16">
        <v>2514</v>
      </c>
      <c r="M192" s="16">
        <v>292</v>
      </c>
      <c r="N192" s="16">
        <v>726</v>
      </c>
      <c r="O192" s="16">
        <v>169</v>
      </c>
      <c r="P192" s="16">
        <v>420</v>
      </c>
      <c r="Q192" s="16"/>
      <c r="R192" s="16"/>
      <c r="S192" s="16">
        <v>20</v>
      </c>
      <c r="T192" s="16">
        <v>50</v>
      </c>
      <c r="U192" s="16">
        <v>3652</v>
      </c>
      <c r="V192" s="16">
        <v>9130</v>
      </c>
      <c r="W192" s="16">
        <v>272</v>
      </c>
      <c r="X192" s="16">
        <v>680</v>
      </c>
      <c r="Y192" s="16"/>
      <c r="Z192" s="16"/>
      <c r="AA192" s="16">
        <v>120</v>
      </c>
      <c r="AB192" s="16">
        <v>300</v>
      </c>
      <c r="AC192" s="16">
        <v>44</v>
      </c>
      <c r="AD192" s="16">
        <v>109</v>
      </c>
      <c r="AE192" s="16"/>
      <c r="AF192" s="16"/>
      <c r="AG192" s="16"/>
      <c r="AH192" s="16"/>
      <c r="AI192" s="16">
        <v>48</v>
      </c>
      <c r="AJ192" s="16">
        <v>120</v>
      </c>
      <c r="AK192" s="16"/>
      <c r="AL192" s="16"/>
      <c r="AM192" s="16">
        <v>1920</v>
      </c>
      <c r="AN192" s="16">
        <v>4800</v>
      </c>
      <c r="AO192" s="15">
        <v>800</v>
      </c>
      <c r="AP192" s="15">
        <v>2000</v>
      </c>
      <c r="AQ192" s="15">
        <v>8</v>
      </c>
      <c r="AR192" s="15">
        <v>18</v>
      </c>
      <c r="AS192" s="15"/>
      <c r="AT192" s="15"/>
      <c r="AU192" s="15">
        <v>80</v>
      </c>
      <c r="AV192" s="15">
        <v>200</v>
      </c>
      <c r="AW192" s="15"/>
      <c r="AX192" s="15"/>
      <c r="AY192" s="27">
        <f t="shared" si="11"/>
        <v>12923</v>
      </c>
      <c r="AZ192" s="27">
        <f t="shared" si="12"/>
        <v>32293</v>
      </c>
    </row>
    <row r="193" spans="1:52" x14ac:dyDescent="0.25">
      <c r="A193" s="13">
        <v>232</v>
      </c>
      <c r="B193" s="19" t="s">
        <v>424</v>
      </c>
      <c r="C193" s="26" t="s">
        <v>425</v>
      </c>
      <c r="D193" s="19" t="s">
        <v>42</v>
      </c>
      <c r="E193" s="16">
        <v>130</v>
      </c>
      <c r="F193" s="16">
        <v>324</v>
      </c>
      <c r="G193" s="16"/>
      <c r="H193" s="16"/>
      <c r="I193" s="16">
        <v>4800</v>
      </c>
      <c r="J193" s="16">
        <v>12000</v>
      </c>
      <c r="K193" s="16">
        <v>900</v>
      </c>
      <c r="L193" s="16">
        <v>2246</v>
      </c>
      <c r="M193" s="16">
        <v>2040</v>
      </c>
      <c r="N193" s="16">
        <v>5100</v>
      </c>
      <c r="O193" s="16">
        <v>560</v>
      </c>
      <c r="P193" s="16">
        <v>1400</v>
      </c>
      <c r="Q193" s="16">
        <v>18</v>
      </c>
      <c r="R193" s="16">
        <v>42</v>
      </c>
      <c r="S193" s="16">
        <v>22</v>
      </c>
      <c r="T193" s="16">
        <v>51</v>
      </c>
      <c r="U193" s="16">
        <v>3740</v>
      </c>
      <c r="V193" s="16">
        <v>9350</v>
      </c>
      <c r="W193" s="16">
        <v>144</v>
      </c>
      <c r="X193" s="16">
        <v>360</v>
      </c>
      <c r="Y193" s="16">
        <v>248</v>
      </c>
      <c r="Z193" s="16">
        <v>616</v>
      </c>
      <c r="AA193" s="16">
        <v>90</v>
      </c>
      <c r="AB193" s="16">
        <v>218</v>
      </c>
      <c r="AC193" s="16">
        <v>17</v>
      </c>
      <c r="AD193" s="16">
        <v>40</v>
      </c>
      <c r="AE193" s="16"/>
      <c r="AF193" s="16"/>
      <c r="AG193" s="16"/>
      <c r="AH193" s="16"/>
      <c r="AI193" s="16"/>
      <c r="AJ193" s="16"/>
      <c r="AK193" s="16">
        <v>120</v>
      </c>
      <c r="AL193" s="16">
        <v>300</v>
      </c>
      <c r="AM193" s="16">
        <v>2142</v>
      </c>
      <c r="AN193" s="16">
        <v>5352</v>
      </c>
      <c r="AO193" s="15">
        <v>11164</v>
      </c>
      <c r="AP193" s="15">
        <v>27910</v>
      </c>
      <c r="AQ193" s="15"/>
      <c r="AR193" s="15"/>
      <c r="AS193" s="15">
        <v>2456</v>
      </c>
      <c r="AT193" s="15">
        <v>6140</v>
      </c>
      <c r="AU193" s="15">
        <v>160</v>
      </c>
      <c r="AV193" s="15">
        <v>400</v>
      </c>
      <c r="AW193" s="15"/>
      <c r="AX193" s="15"/>
      <c r="AY193" s="27">
        <f t="shared" ref="AY193:AY243" si="13">SUM(E193+G193+I193+K193+M193+O193+Q193+S193+U193+W193+Y193+AA193+AC193+AE193+AG193+AI193+AK193+AM193+AO193+AQ193+AS193+AU193+AW193)</f>
        <v>28751</v>
      </c>
      <c r="AZ193" s="27">
        <f t="shared" ref="AZ193:AZ243" si="14">SUM(F193+H193+J193+L193+N193+P193+R193+T193+V193+X193+Z193+AB193+AD193+AF193+AH193+AJ193+AL193+AN193+AP193+AR193+AT193+AV193+AX193)</f>
        <v>71849</v>
      </c>
    </row>
    <row r="194" spans="1:52" x14ac:dyDescent="0.25">
      <c r="A194" s="13">
        <v>233</v>
      </c>
      <c r="B194" s="19" t="s">
        <v>426</v>
      </c>
      <c r="C194" s="26" t="s">
        <v>427</v>
      </c>
      <c r="D194" s="19" t="s">
        <v>42</v>
      </c>
      <c r="E194" s="16">
        <v>132</v>
      </c>
      <c r="F194" s="16">
        <v>330</v>
      </c>
      <c r="G194" s="16"/>
      <c r="H194" s="16"/>
      <c r="I194" s="16">
        <v>600</v>
      </c>
      <c r="J194" s="16">
        <v>1500</v>
      </c>
      <c r="K194" s="16">
        <v>72</v>
      </c>
      <c r="L194" s="16">
        <v>180</v>
      </c>
      <c r="M194" s="16">
        <v>1231</v>
      </c>
      <c r="N194" s="16">
        <v>3074</v>
      </c>
      <c r="O194" s="16">
        <v>21</v>
      </c>
      <c r="P194" s="16">
        <v>49</v>
      </c>
      <c r="Q194" s="16"/>
      <c r="R194" s="16"/>
      <c r="S194" s="16"/>
      <c r="T194" s="16"/>
      <c r="U194" s="16">
        <v>44</v>
      </c>
      <c r="V194" s="16">
        <v>110</v>
      </c>
      <c r="W194" s="16"/>
      <c r="X194" s="16"/>
      <c r="Y194" s="16">
        <v>40</v>
      </c>
      <c r="Z194" s="16">
        <v>96</v>
      </c>
      <c r="AA194" s="16">
        <v>44</v>
      </c>
      <c r="AB194" s="16">
        <v>106</v>
      </c>
      <c r="AC194" s="16">
        <v>18</v>
      </c>
      <c r="AD194" s="16">
        <v>43</v>
      </c>
      <c r="AE194" s="16"/>
      <c r="AF194" s="16"/>
      <c r="AG194" s="16"/>
      <c r="AH194" s="16"/>
      <c r="AI194" s="16"/>
      <c r="AJ194" s="16"/>
      <c r="AK194" s="16"/>
      <c r="AL194" s="16"/>
      <c r="AM194" s="16"/>
      <c r="AN194" s="16"/>
      <c r="AO194" s="15">
        <v>8819</v>
      </c>
      <c r="AP194" s="15">
        <v>22046</v>
      </c>
      <c r="AQ194" s="15">
        <v>3</v>
      </c>
      <c r="AR194" s="15">
        <v>3</v>
      </c>
      <c r="AS194" s="15"/>
      <c r="AT194" s="15"/>
      <c r="AU194" s="15">
        <v>40</v>
      </c>
      <c r="AV194" s="15">
        <v>100</v>
      </c>
      <c r="AW194" s="15"/>
      <c r="AX194" s="15"/>
      <c r="AY194" s="27">
        <f t="shared" si="13"/>
        <v>11064</v>
      </c>
      <c r="AZ194" s="27">
        <f t="shared" si="14"/>
        <v>27637</v>
      </c>
    </row>
    <row r="195" spans="1:52" x14ac:dyDescent="0.25">
      <c r="A195" s="13">
        <v>234</v>
      </c>
      <c r="B195" s="19" t="s">
        <v>428</v>
      </c>
      <c r="C195" s="26" t="s">
        <v>429</v>
      </c>
      <c r="D195" s="19" t="s">
        <v>42</v>
      </c>
      <c r="E195" s="16">
        <v>100</v>
      </c>
      <c r="F195" s="16">
        <v>248</v>
      </c>
      <c r="G195" s="16"/>
      <c r="H195" s="16"/>
      <c r="I195" s="16">
        <v>14800</v>
      </c>
      <c r="J195" s="16">
        <v>37000</v>
      </c>
      <c r="K195" s="16">
        <v>410</v>
      </c>
      <c r="L195" s="16">
        <v>1024</v>
      </c>
      <c r="M195" s="16"/>
      <c r="N195" s="16"/>
      <c r="O195" s="16">
        <v>560</v>
      </c>
      <c r="P195" s="16">
        <v>1400</v>
      </c>
      <c r="Q195" s="16"/>
      <c r="R195" s="16"/>
      <c r="S195" s="16"/>
      <c r="T195" s="16"/>
      <c r="U195" s="16">
        <v>3564</v>
      </c>
      <c r="V195" s="16">
        <v>8910</v>
      </c>
      <c r="W195" s="16">
        <v>260</v>
      </c>
      <c r="X195" s="16">
        <v>648</v>
      </c>
      <c r="Y195" s="16">
        <v>320</v>
      </c>
      <c r="Z195" s="16">
        <v>800</v>
      </c>
      <c r="AA195" s="16"/>
      <c r="AB195" s="16"/>
      <c r="AC195" s="16"/>
      <c r="AD195" s="16"/>
      <c r="AE195" s="16">
        <v>98</v>
      </c>
      <c r="AF195" s="16">
        <v>241</v>
      </c>
      <c r="AG195" s="16"/>
      <c r="AH195" s="16"/>
      <c r="AI195" s="16"/>
      <c r="AJ195" s="16"/>
      <c r="AK195" s="16"/>
      <c r="AL195" s="16"/>
      <c r="AM195" s="16">
        <v>96</v>
      </c>
      <c r="AN195" s="16">
        <v>240</v>
      </c>
      <c r="AO195" s="15">
        <v>2035</v>
      </c>
      <c r="AP195" s="15">
        <v>5087</v>
      </c>
      <c r="AQ195" s="15"/>
      <c r="AR195" s="15"/>
      <c r="AS195" s="15">
        <v>860</v>
      </c>
      <c r="AT195" s="15">
        <v>2150</v>
      </c>
      <c r="AU195" s="15"/>
      <c r="AV195" s="15"/>
      <c r="AW195" s="15"/>
      <c r="AX195" s="15"/>
      <c r="AY195" s="27">
        <f t="shared" si="13"/>
        <v>23103</v>
      </c>
      <c r="AZ195" s="27">
        <f t="shared" si="14"/>
        <v>57748</v>
      </c>
    </row>
    <row r="196" spans="1:52" x14ac:dyDescent="0.25">
      <c r="A196" s="13">
        <v>235</v>
      </c>
      <c r="B196" s="19" t="s">
        <v>430</v>
      </c>
      <c r="C196" s="26" t="s">
        <v>431</v>
      </c>
      <c r="D196" s="19" t="s">
        <v>42</v>
      </c>
      <c r="E196" s="16">
        <v>48</v>
      </c>
      <c r="F196" s="16">
        <v>120</v>
      </c>
      <c r="G196" s="16"/>
      <c r="H196" s="16"/>
      <c r="I196" s="16">
        <v>400</v>
      </c>
      <c r="J196" s="16">
        <v>1000</v>
      </c>
      <c r="K196" s="16">
        <v>2</v>
      </c>
      <c r="L196" s="16">
        <v>2</v>
      </c>
      <c r="M196" s="16"/>
      <c r="N196" s="16"/>
      <c r="O196" s="16"/>
      <c r="P196" s="16"/>
      <c r="Q196" s="16"/>
      <c r="R196" s="16"/>
      <c r="S196" s="16"/>
      <c r="T196" s="16"/>
      <c r="U196" s="16"/>
      <c r="V196" s="16"/>
      <c r="W196" s="16"/>
      <c r="X196" s="16"/>
      <c r="Y196" s="16">
        <v>2</v>
      </c>
      <c r="Z196" s="16">
        <v>2</v>
      </c>
      <c r="AA196" s="16"/>
      <c r="AB196" s="16"/>
      <c r="AC196" s="16">
        <v>4</v>
      </c>
      <c r="AD196" s="16">
        <v>6</v>
      </c>
      <c r="AE196" s="16">
        <v>24</v>
      </c>
      <c r="AF196" s="16">
        <v>60</v>
      </c>
      <c r="AG196" s="16"/>
      <c r="AH196" s="16"/>
      <c r="AI196" s="16"/>
      <c r="AJ196" s="16"/>
      <c r="AK196" s="16"/>
      <c r="AL196" s="16"/>
      <c r="AM196" s="16"/>
      <c r="AN196" s="16"/>
      <c r="AO196" s="15">
        <v>2720</v>
      </c>
      <c r="AP196" s="15">
        <v>6800</v>
      </c>
      <c r="AQ196" s="15"/>
      <c r="AR196" s="15"/>
      <c r="AS196" s="15"/>
      <c r="AT196" s="15"/>
      <c r="AU196" s="15">
        <v>40</v>
      </c>
      <c r="AV196" s="15">
        <v>100</v>
      </c>
      <c r="AW196" s="15"/>
      <c r="AX196" s="15"/>
      <c r="AY196" s="27">
        <f t="shared" si="13"/>
        <v>3240</v>
      </c>
      <c r="AZ196" s="27">
        <f t="shared" si="14"/>
        <v>8090</v>
      </c>
    </row>
    <row r="197" spans="1:52" x14ac:dyDescent="0.25">
      <c r="A197" s="13">
        <v>239</v>
      </c>
      <c r="B197" s="19" t="s">
        <v>432</v>
      </c>
      <c r="C197" s="26" t="s">
        <v>433</v>
      </c>
      <c r="D197" s="19" t="s">
        <v>42</v>
      </c>
      <c r="E197" s="16"/>
      <c r="F197" s="16"/>
      <c r="G197" s="16"/>
      <c r="H197" s="16"/>
      <c r="I197" s="16"/>
      <c r="J197" s="16"/>
      <c r="K197" s="16">
        <v>245</v>
      </c>
      <c r="L197" s="16">
        <v>612</v>
      </c>
      <c r="M197" s="16"/>
      <c r="N197" s="16"/>
      <c r="O197" s="16">
        <v>7</v>
      </c>
      <c r="P197" s="16">
        <v>14</v>
      </c>
      <c r="Q197" s="16"/>
      <c r="R197" s="16"/>
      <c r="S197" s="16">
        <v>4</v>
      </c>
      <c r="T197" s="16">
        <v>8</v>
      </c>
      <c r="U197" s="16">
        <v>176</v>
      </c>
      <c r="V197" s="16">
        <v>440</v>
      </c>
      <c r="W197" s="16">
        <v>260</v>
      </c>
      <c r="X197" s="16">
        <v>648</v>
      </c>
      <c r="Y197" s="16"/>
      <c r="Z197" s="16"/>
      <c r="AA197" s="16"/>
      <c r="AB197" s="16"/>
      <c r="AC197" s="16"/>
      <c r="AD197" s="16"/>
      <c r="AE197" s="16"/>
      <c r="AF197" s="16"/>
      <c r="AG197" s="16"/>
      <c r="AH197" s="16"/>
      <c r="AI197" s="16">
        <v>156</v>
      </c>
      <c r="AJ197" s="16">
        <v>390</v>
      </c>
      <c r="AK197" s="16"/>
      <c r="AL197" s="16"/>
      <c r="AM197" s="16">
        <v>1316</v>
      </c>
      <c r="AN197" s="16">
        <v>3288</v>
      </c>
      <c r="AO197" s="15"/>
      <c r="AP197" s="15"/>
      <c r="AQ197" s="15"/>
      <c r="AR197" s="15"/>
      <c r="AS197" s="15">
        <v>18</v>
      </c>
      <c r="AT197" s="15">
        <v>45</v>
      </c>
      <c r="AU197" s="15"/>
      <c r="AV197" s="15"/>
      <c r="AW197" s="15"/>
      <c r="AX197" s="15"/>
      <c r="AY197" s="27">
        <f t="shared" si="13"/>
        <v>2182</v>
      </c>
      <c r="AZ197" s="27">
        <f t="shared" si="14"/>
        <v>5445</v>
      </c>
    </row>
    <row r="198" spans="1:52" x14ac:dyDescent="0.25">
      <c r="A198" s="13">
        <v>240</v>
      </c>
      <c r="B198" s="19" t="s">
        <v>434</v>
      </c>
      <c r="C198" s="26" t="s">
        <v>435</v>
      </c>
      <c r="D198" s="19" t="s">
        <v>42</v>
      </c>
      <c r="E198" s="16">
        <v>80</v>
      </c>
      <c r="F198" s="16">
        <v>200</v>
      </c>
      <c r="G198" s="16">
        <v>224</v>
      </c>
      <c r="H198" s="16">
        <v>556</v>
      </c>
      <c r="I198" s="16">
        <v>13360</v>
      </c>
      <c r="J198" s="16">
        <v>33400</v>
      </c>
      <c r="K198" s="16">
        <v>396</v>
      </c>
      <c r="L198" s="16">
        <v>986</v>
      </c>
      <c r="M198" s="16">
        <v>1348</v>
      </c>
      <c r="N198" s="16">
        <v>3370</v>
      </c>
      <c r="O198" s="16">
        <v>126</v>
      </c>
      <c r="P198" s="16">
        <v>313</v>
      </c>
      <c r="Q198" s="16">
        <v>8</v>
      </c>
      <c r="R198" s="16">
        <v>20</v>
      </c>
      <c r="S198" s="16">
        <v>16</v>
      </c>
      <c r="T198" s="16">
        <v>37</v>
      </c>
      <c r="U198" s="16">
        <v>84</v>
      </c>
      <c r="V198" s="16">
        <v>210</v>
      </c>
      <c r="W198" s="16">
        <v>216</v>
      </c>
      <c r="X198" s="16">
        <v>540</v>
      </c>
      <c r="Y198" s="16">
        <v>884</v>
      </c>
      <c r="Z198" s="16">
        <v>2208</v>
      </c>
      <c r="AA198" s="16">
        <v>242</v>
      </c>
      <c r="AB198" s="16">
        <v>604</v>
      </c>
      <c r="AC198" s="16">
        <v>20</v>
      </c>
      <c r="AD198" s="16">
        <v>49</v>
      </c>
      <c r="AE198" s="16">
        <v>291</v>
      </c>
      <c r="AF198" s="16">
        <v>721</v>
      </c>
      <c r="AG198" s="16">
        <v>20</v>
      </c>
      <c r="AH198" s="16">
        <v>48</v>
      </c>
      <c r="AI198" s="16">
        <v>576</v>
      </c>
      <c r="AJ198" s="16">
        <v>1440</v>
      </c>
      <c r="AK198" s="16">
        <v>244</v>
      </c>
      <c r="AL198" s="16">
        <v>610</v>
      </c>
      <c r="AM198" s="16">
        <v>5022</v>
      </c>
      <c r="AN198" s="16">
        <v>12552</v>
      </c>
      <c r="AO198" s="15">
        <v>856</v>
      </c>
      <c r="AP198" s="15">
        <v>2140</v>
      </c>
      <c r="AQ198" s="15"/>
      <c r="AR198" s="15"/>
      <c r="AS198" s="15">
        <v>240</v>
      </c>
      <c r="AT198" s="15">
        <v>600</v>
      </c>
      <c r="AU198" s="15"/>
      <c r="AV198" s="15"/>
      <c r="AW198" s="15">
        <v>8</v>
      </c>
      <c r="AX198" s="15">
        <v>16</v>
      </c>
      <c r="AY198" s="27">
        <f t="shared" si="13"/>
        <v>24261</v>
      </c>
      <c r="AZ198" s="27">
        <f t="shared" si="14"/>
        <v>60620</v>
      </c>
    </row>
    <row r="199" spans="1:52" x14ac:dyDescent="0.25">
      <c r="A199" s="13">
        <v>241</v>
      </c>
      <c r="B199" s="19" t="s">
        <v>436</v>
      </c>
      <c r="C199" s="26" t="s">
        <v>437</v>
      </c>
      <c r="D199" s="19" t="s">
        <v>42</v>
      </c>
      <c r="E199" s="16">
        <v>80</v>
      </c>
      <c r="F199" s="16">
        <v>200</v>
      </c>
      <c r="G199" s="16">
        <v>240</v>
      </c>
      <c r="H199" s="16">
        <v>600</v>
      </c>
      <c r="I199" s="16">
        <v>2840</v>
      </c>
      <c r="J199" s="16">
        <v>7096</v>
      </c>
      <c r="K199" s="16">
        <v>40</v>
      </c>
      <c r="L199" s="16">
        <v>100</v>
      </c>
      <c r="M199" s="16">
        <v>1260</v>
      </c>
      <c r="N199" s="16">
        <v>3150</v>
      </c>
      <c r="O199" s="16">
        <v>294</v>
      </c>
      <c r="P199" s="16">
        <v>733</v>
      </c>
      <c r="Q199" s="16"/>
      <c r="R199" s="16"/>
      <c r="S199" s="16">
        <v>5</v>
      </c>
      <c r="T199" s="16">
        <v>10</v>
      </c>
      <c r="U199" s="16">
        <v>18</v>
      </c>
      <c r="V199" s="16">
        <v>44</v>
      </c>
      <c r="W199" s="16"/>
      <c r="X199" s="16"/>
      <c r="Y199" s="16"/>
      <c r="Z199" s="16"/>
      <c r="AA199" s="16">
        <v>2</v>
      </c>
      <c r="AB199" s="16">
        <v>2</v>
      </c>
      <c r="AC199" s="16"/>
      <c r="AD199" s="16"/>
      <c r="AE199" s="16">
        <v>96</v>
      </c>
      <c r="AF199" s="16">
        <v>240</v>
      </c>
      <c r="AG199" s="16"/>
      <c r="AH199" s="16"/>
      <c r="AI199" s="16">
        <v>144</v>
      </c>
      <c r="AJ199" s="16">
        <v>360</v>
      </c>
      <c r="AK199" s="16">
        <v>16</v>
      </c>
      <c r="AL199" s="16">
        <v>40</v>
      </c>
      <c r="AM199" s="16">
        <v>48</v>
      </c>
      <c r="AN199" s="16">
        <v>120</v>
      </c>
      <c r="AO199" s="15">
        <v>1294</v>
      </c>
      <c r="AP199" s="15">
        <v>3228</v>
      </c>
      <c r="AQ199" s="15"/>
      <c r="AR199" s="15"/>
      <c r="AS199" s="15">
        <v>40</v>
      </c>
      <c r="AT199" s="15">
        <v>100</v>
      </c>
      <c r="AU199" s="15"/>
      <c r="AV199" s="15"/>
      <c r="AW199" s="15"/>
      <c r="AX199" s="15"/>
      <c r="AY199" s="27">
        <f t="shared" si="13"/>
        <v>6417</v>
      </c>
      <c r="AZ199" s="27">
        <f t="shared" si="14"/>
        <v>16023</v>
      </c>
    </row>
    <row r="200" spans="1:52" x14ac:dyDescent="0.25">
      <c r="A200" s="13">
        <v>242</v>
      </c>
      <c r="B200" s="19" t="s">
        <v>438</v>
      </c>
      <c r="C200" s="26" t="s">
        <v>439</v>
      </c>
      <c r="D200" s="19" t="s">
        <v>42</v>
      </c>
      <c r="E200" s="16">
        <v>24</v>
      </c>
      <c r="F200" s="16">
        <v>60</v>
      </c>
      <c r="G200" s="16">
        <v>12</v>
      </c>
      <c r="H200" s="16">
        <v>30</v>
      </c>
      <c r="I200" s="16">
        <v>1228</v>
      </c>
      <c r="J200" s="16">
        <v>3070</v>
      </c>
      <c r="K200" s="16">
        <v>3480</v>
      </c>
      <c r="L200" s="16">
        <v>8700</v>
      </c>
      <c r="M200" s="16"/>
      <c r="N200" s="16"/>
      <c r="O200" s="16">
        <v>673</v>
      </c>
      <c r="P200" s="16">
        <v>1680</v>
      </c>
      <c r="Q200" s="16"/>
      <c r="R200" s="16"/>
      <c r="S200" s="16"/>
      <c r="T200" s="16"/>
      <c r="U200" s="16">
        <v>9</v>
      </c>
      <c r="V200" s="16">
        <v>22</v>
      </c>
      <c r="W200" s="16">
        <v>22</v>
      </c>
      <c r="X200" s="16">
        <v>54</v>
      </c>
      <c r="Y200" s="16">
        <v>100</v>
      </c>
      <c r="Z200" s="16">
        <v>250</v>
      </c>
      <c r="AA200" s="16"/>
      <c r="AB200" s="16"/>
      <c r="AC200" s="16"/>
      <c r="AD200" s="16"/>
      <c r="AE200" s="16"/>
      <c r="AF200" s="16"/>
      <c r="AG200" s="16">
        <v>64</v>
      </c>
      <c r="AH200" s="16">
        <v>160</v>
      </c>
      <c r="AI200" s="16">
        <v>864</v>
      </c>
      <c r="AJ200" s="16">
        <v>2160</v>
      </c>
      <c r="AK200" s="16">
        <v>8</v>
      </c>
      <c r="AL200" s="16">
        <v>20</v>
      </c>
      <c r="AM200" s="16"/>
      <c r="AN200" s="16"/>
      <c r="AO200" s="15">
        <v>640</v>
      </c>
      <c r="AP200" s="15">
        <v>1600</v>
      </c>
      <c r="AQ200" s="15"/>
      <c r="AR200" s="15"/>
      <c r="AS200" s="15"/>
      <c r="AT200" s="15"/>
      <c r="AU200" s="15"/>
      <c r="AV200" s="15"/>
      <c r="AW200" s="15"/>
      <c r="AX200" s="15"/>
      <c r="AY200" s="27">
        <f t="shared" si="13"/>
        <v>7124</v>
      </c>
      <c r="AZ200" s="27">
        <f t="shared" si="14"/>
        <v>17806</v>
      </c>
    </row>
    <row r="201" spans="1:52" x14ac:dyDescent="0.25">
      <c r="A201" s="13">
        <v>244</v>
      </c>
      <c r="B201" s="19" t="s">
        <v>440</v>
      </c>
      <c r="C201" s="26" t="s">
        <v>441</v>
      </c>
      <c r="D201" s="19" t="s">
        <v>42</v>
      </c>
      <c r="E201" s="16">
        <v>400</v>
      </c>
      <c r="F201" s="16">
        <v>1000</v>
      </c>
      <c r="G201" s="16">
        <v>16</v>
      </c>
      <c r="H201" s="16">
        <v>40</v>
      </c>
      <c r="I201" s="16">
        <v>9000</v>
      </c>
      <c r="J201" s="16">
        <v>22500</v>
      </c>
      <c r="K201" s="16">
        <v>1040</v>
      </c>
      <c r="L201" s="16">
        <v>2600</v>
      </c>
      <c r="M201" s="16">
        <v>1050</v>
      </c>
      <c r="N201" s="16">
        <v>2620</v>
      </c>
      <c r="O201" s="16"/>
      <c r="P201" s="16"/>
      <c r="Q201" s="16"/>
      <c r="R201" s="16"/>
      <c r="S201" s="16">
        <v>8</v>
      </c>
      <c r="T201" s="16">
        <v>18</v>
      </c>
      <c r="U201" s="16">
        <v>44</v>
      </c>
      <c r="V201" s="16">
        <v>110</v>
      </c>
      <c r="W201" s="16"/>
      <c r="X201" s="16"/>
      <c r="Y201" s="16">
        <v>48</v>
      </c>
      <c r="Z201" s="16">
        <v>120</v>
      </c>
      <c r="AA201" s="16"/>
      <c r="AB201" s="16"/>
      <c r="AC201" s="16">
        <v>202</v>
      </c>
      <c r="AD201" s="16">
        <v>501</v>
      </c>
      <c r="AE201" s="16"/>
      <c r="AF201" s="16"/>
      <c r="AG201" s="16">
        <v>2640</v>
      </c>
      <c r="AH201" s="16">
        <v>6600</v>
      </c>
      <c r="AI201" s="16">
        <v>688</v>
      </c>
      <c r="AJ201" s="16">
        <v>1720</v>
      </c>
      <c r="AK201" s="16"/>
      <c r="AL201" s="16"/>
      <c r="AM201" s="16"/>
      <c r="AN201" s="16"/>
      <c r="AO201" s="15">
        <v>640</v>
      </c>
      <c r="AP201" s="15">
        <v>1600</v>
      </c>
      <c r="AQ201" s="15"/>
      <c r="AR201" s="15"/>
      <c r="AS201" s="15">
        <v>160</v>
      </c>
      <c r="AT201" s="15">
        <v>400</v>
      </c>
      <c r="AU201" s="15"/>
      <c r="AV201" s="15"/>
      <c r="AW201" s="15"/>
      <c r="AX201" s="15"/>
      <c r="AY201" s="27">
        <f t="shared" si="13"/>
        <v>15936</v>
      </c>
      <c r="AZ201" s="27">
        <f t="shared" si="14"/>
        <v>39829</v>
      </c>
    </row>
    <row r="202" spans="1:52" x14ac:dyDescent="0.25">
      <c r="A202" s="13">
        <v>245</v>
      </c>
      <c r="B202" s="19" t="s">
        <v>442</v>
      </c>
      <c r="C202" s="26" t="s">
        <v>443</v>
      </c>
      <c r="D202" s="19" t="s">
        <v>42</v>
      </c>
      <c r="E202" s="16"/>
      <c r="F202" s="16"/>
      <c r="G202" s="16">
        <v>348</v>
      </c>
      <c r="H202" s="16">
        <v>870</v>
      </c>
      <c r="I202" s="16">
        <v>4128</v>
      </c>
      <c r="J202" s="16">
        <v>10320</v>
      </c>
      <c r="K202" s="16">
        <v>14</v>
      </c>
      <c r="L202" s="16">
        <v>32</v>
      </c>
      <c r="M202" s="16">
        <v>8719</v>
      </c>
      <c r="N202" s="16">
        <v>21792</v>
      </c>
      <c r="O202" s="16">
        <v>449</v>
      </c>
      <c r="P202" s="16">
        <v>1120</v>
      </c>
      <c r="Q202" s="16"/>
      <c r="R202" s="16"/>
      <c r="S202" s="16"/>
      <c r="T202" s="16"/>
      <c r="U202" s="16">
        <v>220</v>
      </c>
      <c r="V202" s="16">
        <v>550</v>
      </c>
      <c r="W202" s="16"/>
      <c r="X202" s="16"/>
      <c r="Y202" s="16"/>
      <c r="Z202" s="16"/>
      <c r="AA202" s="16">
        <v>95</v>
      </c>
      <c r="AB202" s="16">
        <v>235</v>
      </c>
      <c r="AC202" s="16"/>
      <c r="AD202" s="16"/>
      <c r="AE202" s="16"/>
      <c r="AF202" s="16"/>
      <c r="AG202" s="16"/>
      <c r="AH202" s="16"/>
      <c r="AI202" s="16"/>
      <c r="AJ202" s="16"/>
      <c r="AK202" s="16">
        <v>8</v>
      </c>
      <c r="AL202" s="16">
        <v>20</v>
      </c>
      <c r="AM202" s="16"/>
      <c r="AN202" s="16"/>
      <c r="AO202" s="15"/>
      <c r="AP202" s="15"/>
      <c r="AQ202" s="15"/>
      <c r="AR202" s="15"/>
      <c r="AS202" s="15"/>
      <c r="AT202" s="15"/>
      <c r="AU202" s="15"/>
      <c r="AV202" s="15"/>
      <c r="AW202" s="15"/>
      <c r="AX202" s="15"/>
      <c r="AY202" s="27">
        <f t="shared" si="13"/>
        <v>13981</v>
      </c>
      <c r="AZ202" s="27">
        <f t="shared" si="14"/>
        <v>34939</v>
      </c>
    </row>
    <row r="203" spans="1:52" x14ac:dyDescent="0.25">
      <c r="A203" s="13">
        <v>246</v>
      </c>
      <c r="B203" s="19" t="s">
        <v>444</v>
      </c>
      <c r="C203" s="26" t="s">
        <v>445</v>
      </c>
      <c r="D203" s="19" t="s">
        <v>42</v>
      </c>
      <c r="E203" s="16"/>
      <c r="F203" s="16"/>
      <c r="G203" s="16">
        <v>80</v>
      </c>
      <c r="H203" s="16">
        <v>200</v>
      </c>
      <c r="I203" s="16">
        <v>240</v>
      </c>
      <c r="J203" s="16">
        <v>600</v>
      </c>
      <c r="K203" s="16"/>
      <c r="L203" s="16"/>
      <c r="M203" s="16">
        <v>2444</v>
      </c>
      <c r="N203" s="16">
        <v>6110</v>
      </c>
      <c r="O203" s="16"/>
      <c r="P203" s="16"/>
      <c r="Q203" s="16"/>
      <c r="R203" s="16"/>
      <c r="S203" s="16"/>
      <c r="T203" s="16"/>
      <c r="U203" s="16">
        <v>44</v>
      </c>
      <c r="V203" s="16">
        <v>110</v>
      </c>
      <c r="W203" s="16"/>
      <c r="X203" s="16"/>
      <c r="Y203" s="16"/>
      <c r="Z203" s="16"/>
      <c r="AA203" s="16"/>
      <c r="AB203" s="16"/>
      <c r="AC203" s="16"/>
      <c r="AD203" s="16"/>
      <c r="AE203" s="16">
        <v>24</v>
      </c>
      <c r="AF203" s="16">
        <v>60</v>
      </c>
      <c r="AG203" s="16"/>
      <c r="AH203" s="16"/>
      <c r="AI203" s="16">
        <v>480</v>
      </c>
      <c r="AJ203" s="16">
        <v>1200</v>
      </c>
      <c r="AK203" s="16">
        <v>8</v>
      </c>
      <c r="AL203" s="16">
        <v>20</v>
      </c>
      <c r="AM203" s="16"/>
      <c r="AN203" s="16"/>
      <c r="AO203" s="15"/>
      <c r="AP203" s="15"/>
      <c r="AQ203" s="15"/>
      <c r="AR203" s="15"/>
      <c r="AS203" s="15"/>
      <c r="AT203" s="15"/>
      <c r="AU203" s="15"/>
      <c r="AV203" s="15"/>
      <c r="AW203" s="15"/>
      <c r="AX203" s="15"/>
      <c r="AY203" s="27">
        <f t="shared" si="13"/>
        <v>3320</v>
      </c>
      <c r="AZ203" s="27">
        <f t="shared" si="14"/>
        <v>8300</v>
      </c>
    </row>
    <row r="204" spans="1:52" x14ac:dyDescent="0.25">
      <c r="A204" s="13">
        <v>247</v>
      </c>
      <c r="B204" s="19" t="s">
        <v>446</v>
      </c>
      <c r="C204" s="26" t="s">
        <v>447</v>
      </c>
      <c r="D204" s="19" t="s">
        <v>42</v>
      </c>
      <c r="E204" s="16">
        <v>20</v>
      </c>
      <c r="F204" s="16">
        <v>50</v>
      </c>
      <c r="G204" s="16"/>
      <c r="H204" s="16"/>
      <c r="I204" s="16"/>
      <c r="J204" s="16"/>
      <c r="K204" s="16"/>
      <c r="L204" s="16"/>
      <c r="M204" s="16">
        <v>489</v>
      </c>
      <c r="N204" s="16">
        <v>1219</v>
      </c>
      <c r="O204" s="16"/>
      <c r="P204" s="16"/>
      <c r="Q204" s="16">
        <v>18</v>
      </c>
      <c r="R204" s="16">
        <v>42</v>
      </c>
      <c r="S204" s="16"/>
      <c r="T204" s="16"/>
      <c r="U204" s="16"/>
      <c r="V204" s="16"/>
      <c r="W204" s="16"/>
      <c r="X204" s="16"/>
      <c r="Y204" s="16"/>
      <c r="Z204" s="16"/>
      <c r="AA204" s="16"/>
      <c r="AB204" s="16"/>
      <c r="AC204" s="16">
        <v>176</v>
      </c>
      <c r="AD204" s="16">
        <v>440</v>
      </c>
      <c r="AE204" s="16"/>
      <c r="AF204" s="16"/>
      <c r="AG204" s="16">
        <v>40</v>
      </c>
      <c r="AH204" s="16">
        <v>100</v>
      </c>
      <c r="AI204" s="16"/>
      <c r="AJ204" s="16"/>
      <c r="AK204" s="16"/>
      <c r="AL204" s="16"/>
      <c r="AM204" s="16">
        <v>96</v>
      </c>
      <c r="AN204" s="16">
        <v>240</v>
      </c>
      <c r="AO204" s="15"/>
      <c r="AP204" s="15"/>
      <c r="AQ204" s="15">
        <v>10</v>
      </c>
      <c r="AR204" s="15">
        <v>24</v>
      </c>
      <c r="AS204" s="15"/>
      <c r="AT204" s="15"/>
      <c r="AU204" s="15"/>
      <c r="AV204" s="15"/>
      <c r="AW204" s="15"/>
      <c r="AX204" s="15"/>
      <c r="AY204" s="27">
        <f t="shared" si="13"/>
        <v>849</v>
      </c>
      <c r="AZ204" s="27">
        <f t="shared" si="14"/>
        <v>2115</v>
      </c>
    </row>
    <row r="205" spans="1:52" x14ac:dyDescent="0.25">
      <c r="A205" s="13">
        <v>248</v>
      </c>
      <c r="B205" s="19" t="s">
        <v>448</v>
      </c>
      <c r="C205" s="26" t="s">
        <v>449</v>
      </c>
      <c r="D205" s="19" t="s">
        <v>42</v>
      </c>
      <c r="E205" s="16">
        <v>40</v>
      </c>
      <c r="F205" s="16">
        <v>100</v>
      </c>
      <c r="G205" s="16"/>
      <c r="H205" s="16"/>
      <c r="I205" s="16"/>
      <c r="J205" s="16"/>
      <c r="K205" s="16">
        <v>2</v>
      </c>
      <c r="L205" s="16">
        <v>5</v>
      </c>
      <c r="M205" s="16"/>
      <c r="N205" s="16"/>
      <c r="O205" s="16"/>
      <c r="P205" s="16"/>
      <c r="Q205" s="16"/>
      <c r="R205" s="16"/>
      <c r="S205" s="16"/>
      <c r="T205" s="16"/>
      <c r="U205" s="16"/>
      <c r="V205" s="16"/>
      <c r="W205" s="16">
        <v>8</v>
      </c>
      <c r="X205" s="16">
        <v>18</v>
      </c>
      <c r="Y205" s="16"/>
      <c r="Z205" s="16"/>
      <c r="AA205" s="16"/>
      <c r="AB205" s="16"/>
      <c r="AC205" s="16">
        <v>436</v>
      </c>
      <c r="AD205" s="16">
        <v>1087</v>
      </c>
      <c r="AE205" s="16"/>
      <c r="AF205" s="16"/>
      <c r="AG205" s="16"/>
      <c r="AH205" s="16"/>
      <c r="AI205" s="16"/>
      <c r="AJ205" s="16"/>
      <c r="AK205" s="16"/>
      <c r="AL205" s="16"/>
      <c r="AM205" s="16">
        <v>48</v>
      </c>
      <c r="AN205" s="16">
        <v>120</v>
      </c>
      <c r="AO205" s="15"/>
      <c r="AP205" s="15"/>
      <c r="AQ205" s="15">
        <v>10</v>
      </c>
      <c r="AR205" s="15">
        <v>24</v>
      </c>
      <c r="AS205" s="15"/>
      <c r="AT205" s="15"/>
      <c r="AU205" s="15"/>
      <c r="AV205" s="15"/>
      <c r="AW205" s="15">
        <v>8</v>
      </c>
      <c r="AX205" s="15">
        <v>20</v>
      </c>
      <c r="AY205" s="27">
        <f t="shared" si="13"/>
        <v>552</v>
      </c>
      <c r="AZ205" s="27">
        <f t="shared" si="14"/>
        <v>1374</v>
      </c>
    </row>
    <row r="206" spans="1:52" x14ac:dyDescent="0.25">
      <c r="A206" s="13">
        <v>249</v>
      </c>
      <c r="B206" s="19" t="s">
        <v>450</v>
      </c>
      <c r="C206" s="26" t="s">
        <v>451</v>
      </c>
      <c r="D206" s="19" t="s">
        <v>42</v>
      </c>
      <c r="E206" s="16">
        <v>12</v>
      </c>
      <c r="F206" s="16">
        <v>30</v>
      </c>
      <c r="G206" s="16"/>
      <c r="H206" s="16"/>
      <c r="I206" s="16"/>
      <c r="J206" s="16"/>
      <c r="K206" s="16"/>
      <c r="L206" s="16"/>
      <c r="M206" s="16"/>
      <c r="N206" s="16"/>
      <c r="O206" s="16"/>
      <c r="P206" s="16"/>
      <c r="Q206" s="16">
        <v>70</v>
      </c>
      <c r="R206" s="16">
        <v>174</v>
      </c>
      <c r="S206" s="16"/>
      <c r="T206" s="16"/>
      <c r="U206" s="16"/>
      <c r="V206" s="16"/>
      <c r="W206" s="16">
        <v>46</v>
      </c>
      <c r="X206" s="16">
        <v>114</v>
      </c>
      <c r="Y206" s="16"/>
      <c r="Z206" s="16"/>
      <c r="AA206" s="16"/>
      <c r="AB206" s="16"/>
      <c r="AC206" s="16">
        <v>176</v>
      </c>
      <c r="AD206" s="16">
        <v>440</v>
      </c>
      <c r="AE206" s="16"/>
      <c r="AF206" s="16"/>
      <c r="AG206" s="16"/>
      <c r="AH206" s="16"/>
      <c r="AI206" s="16">
        <v>24</v>
      </c>
      <c r="AJ206" s="16">
        <v>60</v>
      </c>
      <c r="AK206" s="16">
        <v>32</v>
      </c>
      <c r="AL206" s="16">
        <v>80</v>
      </c>
      <c r="AM206" s="16">
        <v>96</v>
      </c>
      <c r="AN206" s="16">
        <v>240</v>
      </c>
      <c r="AO206" s="15"/>
      <c r="AP206" s="15"/>
      <c r="AQ206" s="15">
        <v>18</v>
      </c>
      <c r="AR206" s="15">
        <v>44</v>
      </c>
      <c r="AS206" s="15"/>
      <c r="AT206" s="15"/>
      <c r="AU206" s="15"/>
      <c r="AV206" s="15"/>
      <c r="AW206" s="15">
        <v>4</v>
      </c>
      <c r="AX206" s="15">
        <v>6</v>
      </c>
      <c r="AY206" s="27">
        <f t="shared" si="13"/>
        <v>478</v>
      </c>
      <c r="AZ206" s="27">
        <f t="shared" si="14"/>
        <v>1188</v>
      </c>
    </row>
    <row r="207" spans="1:52" x14ac:dyDescent="0.25">
      <c r="A207" s="13">
        <v>250</v>
      </c>
      <c r="B207" s="19" t="s">
        <v>452</v>
      </c>
      <c r="C207" s="26" t="s">
        <v>453</v>
      </c>
      <c r="D207" s="19" t="s">
        <v>42</v>
      </c>
      <c r="E207" s="16">
        <v>600</v>
      </c>
      <c r="F207" s="16">
        <v>1500</v>
      </c>
      <c r="G207" s="16">
        <v>290</v>
      </c>
      <c r="H207" s="16">
        <v>722</v>
      </c>
      <c r="I207" s="16">
        <v>1840</v>
      </c>
      <c r="J207" s="16">
        <v>4600</v>
      </c>
      <c r="K207" s="16">
        <v>278</v>
      </c>
      <c r="L207" s="16">
        <v>694</v>
      </c>
      <c r="M207" s="16">
        <v>7088</v>
      </c>
      <c r="N207" s="16">
        <v>17718</v>
      </c>
      <c r="O207" s="16">
        <v>477</v>
      </c>
      <c r="P207" s="16">
        <v>1190</v>
      </c>
      <c r="Q207" s="16">
        <v>220</v>
      </c>
      <c r="R207" s="16">
        <v>546</v>
      </c>
      <c r="S207" s="16">
        <v>40</v>
      </c>
      <c r="T207" s="16">
        <v>96</v>
      </c>
      <c r="U207" s="16">
        <v>2087</v>
      </c>
      <c r="V207" s="16">
        <v>5215</v>
      </c>
      <c r="W207" s="16">
        <v>32</v>
      </c>
      <c r="X207" s="16">
        <v>80</v>
      </c>
      <c r="Y207" s="16">
        <v>104</v>
      </c>
      <c r="Z207" s="16">
        <v>260</v>
      </c>
      <c r="AA207" s="16">
        <v>16</v>
      </c>
      <c r="AB207" s="16">
        <v>40</v>
      </c>
      <c r="AC207" s="16">
        <v>435</v>
      </c>
      <c r="AD207" s="16">
        <v>1085</v>
      </c>
      <c r="AE207" s="16">
        <v>19</v>
      </c>
      <c r="AF207" s="16">
        <v>46</v>
      </c>
      <c r="AG207" s="16">
        <v>1040</v>
      </c>
      <c r="AH207" s="16">
        <v>2600</v>
      </c>
      <c r="AI207" s="16">
        <v>576</v>
      </c>
      <c r="AJ207" s="16">
        <v>1440</v>
      </c>
      <c r="AK207" s="16">
        <v>200</v>
      </c>
      <c r="AL207" s="16">
        <v>500</v>
      </c>
      <c r="AM207" s="16">
        <v>280</v>
      </c>
      <c r="AN207" s="16">
        <v>696</v>
      </c>
      <c r="AO207" s="15">
        <v>1560</v>
      </c>
      <c r="AP207" s="15">
        <v>3900</v>
      </c>
      <c r="AQ207" s="15">
        <v>60</v>
      </c>
      <c r="AR207" s="15">
        <v>148</v>
      </c>
      <c r="AS207" s="15"/>
      <c r="AT207" s="15"/>
      <c r="AU207" s="15">
        <v>600</v>
      </c>
      <c r="AV207" s="15">
        <v>1500</v>
      </c>
      <c r="AW207" s="15"/>
      <c r="AX207" s="15"/>
      <c r="AY207" s="27">
        <f t="shared" si="13"/>
        <v>17842</v>
      </c>
      <c r="AZ207" s="27">
        <f t="shared" si="14"/>
        <v>44576</v>
      </c>
    </row>
    <row r="208" spans="1:52" x14ac:dyDescent="0.25">
      <c r="A208" s="13">
        <v>251</v>
      </c>
      <c r="B208" s="19" t="s">
        <v>454</v>
      </c>
      <c r="C208" s="26" t="s">
        <v>455</v>
      </c>
      <c r="D208" s="19" t="s">
        <v>42</v>
      </c>
      <c r="E208" s="16">
        <v>100</v>
      </c>
      <c r="F208" s="16">
        <v>248</v>
      </c>
      <c r="G208" s="16">
        <v>408</v>
      </c>
      <c r="H208" s="16">
        <v>1016</v>
      </c>
      <c r="I208" s="16">
        <v>536</v>
      </c>
      <c r="J208" s="16">
        <v>1340</v>
      </c>
      <c r="K208" s="16"/>
      <c r="L208" s="16"/>
      <c r="M208" s="16">
        <v>1035</v>
      </c>
      <c r="N208" s="16">
        <v>2584</v>
      </c>
      <c r="O208" s="16"/>
      <c r="P208" s="16"/>
      <c r="Q208" s="16">
        <v>62</v>
      </c>
      <c r="R208" s="16">
        <v>152</v>
      </c>
      <c r="S208" s="16">
        <v>48</v>
      </c>
      <c r="T208" s="16">
        <v>120</v>
      </c>
      <c r="U208" s="16">
        <v>1980</v>
      </c>
      <c r="V208" s="16">
        <v>4950</v>
      </c>
      <c r="W208" s="16">
        <v>27</v>
      </c>
      <c r="X208" s="16">
        <v>65</v>
      </c>
      <c r="Y208" s="16">
        <v>36</v>
      </c>
      <c r="Z208" s="16">
        <v>86</v>
      </c>
      <c r="AA208" s="16">
        <v>26</v>
      </c>
      <c r="AB208" s="16">
        <v>64</v>
      </c>
      <c r="AC208" s="16">
        <v>172</v>
      </c>
      <c r="AD208" s="16">
        <v>429</v>
      </c>
      <c r="AE208" s="16">
        <v>48</v>
      </c>
      <c r="AF208" s="16">
        <v>120</v>
      </c>
      <c r="AG208" s="16">
        <v>72</v>
      </c>
      <c r="AH208" s="16">
        <v>180</v>
      </c>
      <c r="AI208" s="16">
        <v>116</v>
      </c>
      <c r="AJ208" s="16">
        <v>288</v>
      </c>
      <c r="AK208" s="16">
        <v>12</v>
      </c>
      <c r="AL208" s="16">
        <v>30</v>
      </c>
      <c r="AM208" s="16"/>
      <c r="AN208" s="16"/>
      <c r="AO208" s="15">
        <v>109</v>
      </c>
      <c r="AP208" s="15">
        <v>271</v>
      </c>
      <c r="AQ208" s="15">
        <v>420</v>
      </c>
      <c r="AR208" s="15">
        <v>1050</v>
      </c>
      <c r="AS208" s="15">
        <v>4</v>
      </c>
      <c r="AT208" s="15">
        <v>10</v>
      </c>
      <c r="AU208" s="15">
        <v>85</v>
      </c>
      <c r="AV208" s="15">
        <v>212</v>
      </c>
      <c r="AW208" s="15">
        <v>40</v>
      </c>
      <c r="AX208" s="15">
        <v>100</v>
      </c>
      <c r="AY208" s="27">
        <f t="shared" si="13"/>
        <v>5336</v>
      </c>
      <c r="AZ208" s="27">
        <f t="shared" si="14"/>
        <v>13315</v>
      </c>
    </row>
    <row r="209" spans="1:52" x14ac:dyDescent="0.25">
      <c r="A209" s="13">
        <v>252</v>
      </c>
      <c r="B209" s="19" t="s">
        <v>456</v>
      </c>
      <c r="C209" s="26" t="s">
        <v>457</v>
      </c>
      <c r="D209" s="19" t="s">
        <v>42</v>
      </c>
      <c r="E209" s="16">
        <v>60</v>
      </c>
      <c r="F209" s="16">
        <v>148</v>
      </c>
      <c r="G209" s="16">
        <v>8</v>
      </c>
      <c r="H209" s="16">
        <v>12</v>
      </c>
      <c r="I209" s="16">
        <v>1360</v>
      </c>
      <c r="J209" s="16">
        <v>3400</v>
      </c>
      <c r="K209" s="16">
        <v>26</v>
      </c>
      <c r="L209" s="16">
        <v>62</v>
      </c>
      <c r="M209" s="16">
        <v>623</v>
      </c>
      <c r="N209" s="16">
        <v>1554</v>
      </c>
      <c r="O209" s="16"/>
      <c r="P209" s="16"/>
      <c r="Q209" s="16"/>
      <c r="R209" s="16"/>
      <c r="S209" s="16">
        <v>65</v>
      </c>
      <c r="T209" s="16">
        <v>160</v>
      </c>
      <c r="U209" s="16">
        <v>1848</v>
      </c>
      <c r="V209" s="16">
        <v>4620</v>
      </c>
      <c r="W209" s="16"/>
      <c r="X209" s="16"/>
      <c r="Y209" s="16">
        <v>148</v>
      </c>
      <c r="Z209" s="16">
        <v>370</v>
      </c>
      <c r="AA209" s="16">
        <v>16</v>
      </c>
      <c r="AB209" s="16">
        <v>40</v>
      </c>
      <c r="AC209" s="16">
        <v>7</v>
      </c>
      <c r="AD209" s="16">
        <v>15</v>
      </c>
      <c r="AE209" s="16">
        <v>48</v>
      </c>
      <c r="AF209" s="16">
        <v>120</v>
      </c>
      <c r="AG209" s="16"/>
      <c r="AH209" s="16"/>
      <c r="AI209" s="16">
        <v>40</v>
      </c>
      <c r="AJ209" s="16">
        <v>96</v>
      </c>
      <c r="AK209" s="16"/>
      <c r="AL209" s="16"/>
      <c r="AM209" s="16">
        <v>480</v>
      </c>
      <c r="AN209" s="16">
        <v>1200</v>
      </c>
      <c r="AO209" s="15">
        <v>96</v>
      </c>
      <c r="AP209" s="15">
        <v>240</v>
      </c>
      <c r="AQ209" s="15"/>
      <c r="AR209" s="15"/>
      <c r="AS209" s="15"/>
      <c r="AT209" s="15"/>
      <c r="AU209" s="15">
        <v>32</v>
      </c>
      <c r="AV209" s="15">
        <v>80</v>
      </c>
      <c r="AW209" s="15">
        <v>160</v>
      </c>
      <c r="AX209" s="15">
        <v>400</v>
      </c>
      <c r="AY209" s="27">
        <f t="shared" si="13"/>
        <v>5017</v>
      </c>
      <c r="AZ209" s="27">
        <f t="shared" si="14"/>
        <v>12517</v>
      </c>
    </row>
    <row r="210" spans="1:52" x14ac:dyDescent="0.25">
      <c r="A210" s="13">
        <v>253</v>
      </c>
      <c r="B210" s="19" t="s">
        <v>458</v>
      </c>
      <c r="C210" s="26" t="s">
        <v>459</v>
      </c>
      <c r="D210" s="19" t="s">
        <v>42</v>
      </c>
      <c r="E210" s="16">
        <v>40</v>
      </c>
      <c r="F210" s="16">
        <v>100</v>
      </c>
      <c r="G210" s="16">
        <v>24</v>
      </c>
      <c r="H210" s="16">
        <v>54</v>
      </c>
      <c r="I210" s="16"/>
      <c r="J210" s="16"/>
      <c r="K210" s="16"/>
      <c r="L210" s="16"/>
      <c r="M210" s="16">
        <v>730</v>
      </c>
      <c r="N210" s="16">
        <v>1825</v>
      </c>
      <c r="O210" s="16"/>
      <c r="P210" s="16"/>
      <c r="Q210" s="16">
        <v>36</v>
      </c>
      <c r="R210" s="16">
        <v>90</v>
      </c>
      <c r="S210" s="16"/>
      <c r="T210" s="16"/>
      <c r="U210" s="16"/>
      <c r="V210" s="16"/>
      <c r="W210" s="16">
        <v>8</v>
      </c>
      <c r="X210" s="16">
        <v>18</v>
      </c>
      <c r="Y210" s="16"/>
      <c r="Z210" s="16"/>
      <c r="AA210" s="16"/>
      <c r="AB210" s="16"/>
      <c r="AC210" s="16">
        <v>7</v>
      </c>
      <c r="AD210" s="16">
        <v>15</v>
      </c>
      <c r="AE210" s="16"/>
      <c r="AF210" s="16"/>
      <c r="AG210" s="16">
        <v>240</v>
      </c>
      <c r="AH210" s="16">
        <v>600</v>
      </c>
      <c r="AI210" s="16"/>
      <c r="AJ210" s="16"/>
      <c r="AK210" s="16"/>
      <c r="AL210" s="16"/>
      <c r="AM210" s="16">
        <v>480</v>
      </c>
      <c r="AN210" s="16">
        <v>1200</v>
      </c>
      <c r="AO210" s="15">
        <v>32</v>
      </c>
      <c r="AP210" s="15">
        <v>80</v>
      </c>
      <c r="AQ210" s="15">
        <v>12</v>
      </c>
      <c r="AR210" s="15">
        <v>26</v>
      </c>
      <c r="AS210" s="15"/>
      <c r="AT210" s="15"/>
      <c r="AU210" s="15"/>
      <c r="AV210" s="15"/>
      <c r="AW210" s="15"/>
      <c r="AX210" s="15"/>
      <c r="AY210" s="27">
        <f t="shared" si="13"/>
        <v>1609</v>
      </c>
      <c r="AZ210" s="27">
        <f t="shared" si="14"/>
        <v>4008</v>
      </c>
    </row>
    <row r="211" spans="1:52" x14ac:dyDescent="0.25">
      <c r="A211" s="13">
        <v>254</v>
      </c>
      <c r="B211" s="19" t="s">
        <v>460</v>
      </c>
      <c r="C211" s="26" t="s">
        <v>461</v>
      </c>
      <c r="D211" s="19" t="s">
        <v>42</v>
      </c>
      <c r="E211" s="16">
        <v>16</v>
      </c>
      <c r="F211" s="16">
        <v>40</v>
      </c>
      <c r="G211" s="16"/>
      <c r="H211" s="16"/>
      <c r="I211" s="16">
        <v>570</v>
      </c>
      <c r="J211" s="16">
        <v>1424</v>
      </c>
      <c r="K211" s="16">
        <v>168</v>
      </c>
      <c r="L211" s="16">
        <v>416</v>
      </c>
      <c r="M211" s="16">
        <v>348</v>
      </c>
      <c r="N211" s="16">
        <v>870</v>
      </c>
      <c r="O211" s="16">
        <v>7</v>
      </c>
      <c r="P211" s="16">
        <v>17</v>
      </c>
      <c r="Q211" s="16">
        <v>16</v>
      </c>
      <c r="R211" s="16">
        <v>38</v>
      </c>
      <c r="S211" s="16">
        <v>40</v>
      </c>
      <c r="T211" s="16">
        <v>100</v>
      </c>
      <c r="U211" s="16">
        <v>53</v>
      </c>
      <c r="V211" s="16">
        <v>132</v>
      </c>
      <c r="W211" s="16"/>
      <c r="X211" s="16"/>
      <c r="Y211" s="16"/>
      <c r="Z211" s="16"/>
      <c r="AA211" s="16">
        <v>4</v>
      </c>
      <c r="AB211" s="16">
        <v>10</v>
      </c>
      <c r="AC211" s="16">
        <v>7</v>
      </c>
      <c r="AD211" s="16">
        <v>15</v>
      </c>
      <c r="AE211" s="16">
        <v>11</v>
      </c>
      <c r="AF211" s="16">
        <v>25</v>
      </c>
      <c r="AG211" s="16">
        <v>4</v>
      </c>
      <c r="AH211" s="16">
        <v>8</v>
      </c>
      <c r="AI211" s="16">
        <v>208</v>
      </c>
      <c r="AJ211" s="16">
        <v>520</v>
      </c>
      <c r="AK211" s="16"/>
      <c r="AL211" s="16"/>
      <c r="AM211" s="16">
        <v>20</v>
      </c>
      <c r="AN211" s="16">
        <v>48</v>
      </c>
      <c r="AO211" s="15">
        <v>24</v>
      </c>
      <c r="AP211" s="15">
        <v>60</v>
      </c>
      <c r="AQ211" s="15">
        <v>72</v>
      </c>
      <c r="AR211" s="15">
        <v>180</v>
      </c>
      <c r="AS211" s="15"/>
      <c r="AT211" s="15"/>
      <c r="AU211" s="15"/>
      <c r="AV211" s="15"/>
      <c r="AW211" s="15"/>
      <c r="AX211" s="15"/>
      <c r="AY211" s="27">
        <f t="shared" si="13"/>
        <v>1568</v>
      </c>
      <c r="AZ211" s="27">
        <f t="shared" si="14"/>
        <v>3903</v>
      </c>
    </row>
    <row r="212" spans="1:52" x14ac:dyDescent="0.25">
      <c r="A212" s="13">
        <v>255</v>
      </c>
      <c r="B212" s="19" t="s">
        <v>462</v>
      </c>
      <c r="C212" s="26" t="s">
        <v>463</v>
      </c>
      <c r="D212" s="19" t="s">
        <v>42</v>
      </c>
      <c r="E212" s="16">
        <v>48</v>
      </c>
      <c r="F212" s="16">
        <v>120</v>
      </c>
      <c r="G212" s="16"/>
      <c r="H212" s="16"/>
      <c r="I212" s="16">
        <v>3456</v>
      </c>
      <c r="J212" s="16">
        <v>8640</v>
      </c>
      <c r="K212" s="16">
        <v>12</v>
      </c>
      <c r="L212" s="16">
        <v>30</v>
      </c>
      <c r="M212" s="16"/>
      <c r="N212" s="16"/>
      <c r="O212" s="16">
        <v>257</v>
      </c>
      <c r="P212" s="16">
        <v>640</v>
      </c>
      <c r="Q212" s="16">
        <v>70</v>
      </c>
      <c r="R212" s="16">
        <v>174</v>
      </c>
      <c r="S212" s="16">
        <v>12</v>
      </c>
      <c r="T212" s="16">
        <v>27</v>
      </c>
      <c r="U212" s="16">
        <v>100</v>
      </c>
      <c r="V212" s="16">
        <v>250</v>
      </c>
      <c r="W212" s="16"/>
      <c r="X212" s="16"/>
      <c r="Y212" s="16">
        <v>4</v>
      </c>
      <c r="Z212" s="16">
        <v>10</v>
      </c>
      <c r="AA212" s="16">
        <v>20</v>
      </c>
      <c r="AB212" s="16">
        <v>50</v>
      </c>
      <c r="AC212" s="16">
        <v>7</v>
      </c>
      <c r="AD212" s="16">
        <v>15</v>
      </c>
      <c r="AE212" s="16">
        <v>12</v>
      </c>
      <c r="AF212" s="16">
        <v>30</v>
      </c>
      <c r="AG212" s="16">
        <v>240</v>
      </c>
      <c r="AH212" s="16">
        <v>600</v>
      </c>
      <c r="AI212" s="16"/>
      <c r="AJ212" s="16"/>
      <c r="AK212" s="16">
        <v>52</v>
      </c>
      <c r="AL212" s="16">
        <v>130</v>
      </c>
      <c r="AM212" s="16">
        <v>48</v>
      </c>
      <c r="AN212" s="16">
        <v>120</v>
      </c>
      <c r="AO212" s="15">
        <v>480</v>
      </c>
      <c r="AP212" s="15">
        <v>1200</v>
      </c>
      <c r="AQ212" s="15">
        <v>12</v>
      </c>
      <c r="AR212" s="15">
        <v>30</v>
      </c>
      <c r="AS212" s="15"/>
      <c r="AT212" s="15"/>
      <c r="AU212" s="15">
        <v>240</v>
      </c>
      <c r="AV212" s="15">
        <v>600</v>
      </c>
      <c r="AW212" s="15"/>
      <c r="AX212" s="15"/>
      <c r="AY212" s="27">
        <f t="shared" si="13"/>
        <v>5070</v>
      </c>
      <c r="AZ212" s="27">
        <f t="shared" si="14"/>
        <v>12666</v>
      </c>
    </row>
    <row r="213" spans="1:52" x14ac:dyDescent="0.25">
      <c r="A213" s="13">
        <v>256</v>
      </c>
      <c r="B213" s="19" t="s">
        <v>464</v>
      </c>
      <c r="C213" s="26" t="s">
        <v>465</v>
      </c>
      <c r="D213" s="19" t="s">
        <v>42</v>
      </c>
      <c r="E213" s="16">
        <v>4</v>
      </c>
      <c r="F213" s="16">
        <v>10</v>
      </c>
      <c r="G213" s="16"/>
      <c r="H213" s="16"/>
      <c r="I213" s="16">
        <v>116</v>
      </c>
      <c r="J213" s="16">
        <v>290</v>
      </c>
      <c r="K213" s="16">
        <v>24</v>
      </c>
      <c r="L213" s="16">
        <v>60</v>
      </c>
      <c r="M213" s="16"/>
      <c r="N213" s="16"/>
      <c r="O213" s="16">
        <v>24</v>
      </c>
      <c r="P213" s="16">
        <v>57</v>
      </c>
      <c r="Q213" s="16">
        <v>8</v>
      </c>
      <c r="R213" s="16">
        <v>20</v>
      </c>
      <c r="S213" s="16">
        <v>2</v>
      </c>
      <c r="T213" s="16">
        <v>4</v>
      </c>
      <c r="U213" s="16">
        <v>95</v>
      </c>
      <c r="V213" s="16">
        <v>235</v>
      </c>
      <c r="W213" s="16">
        <v>8</v>
      </c>
      <c r="X213" s="16">
        <v>18</v>
      </c>
      <c r="Y213" s="16"/>
      <c r="Z213" s="16"/>
      <c r="AA213" s="16"/>
      <c r="AB213" s="16"/>
      <c r="AC213" s="16">
        <v>24</v>
      </c>
      <c r="AD213" s="16">
        <v>57</v>
      </c>
      <c r="AE213" s="16">
        <v>6</v>
      </c>
      <c r="AF213" s="16">
        <v>13</v>
      </c>
      <c r="AG213" s="16">
        <v>60</v>
      </c>
      <c r="AH213" s="16">
        <v>150</v>
      </c>
      <c r="AI213" s="16">
        <v>10</v>
      </c>
      <c r="AJ213" s="16">
        <v>24</v>
      </c>
      <c r="AK213" s="16">
        <v>44</v>
      </c>
      <c r="AL213" s="16">
        <v>110</v>
      </c>
      <c r="AM213" s="16">
        <v>10</v>
      </c>
      <c r="AN213" s="16">
        <v>24</v>
      </c>
      <c r="AO213" s="15"/>
      <c r="AP213" s="15"/>
      <c r="AQ213" s="15"/>
      <c r="AR213" s="15"/>
      <c r="AS213" s="15"/>
      <c r="AT213" s="15"/>
      <c r="AU213" s="15">
        <v>64</v>
      </c>
      <c r="AV213" s="15">
        <v>160</v>
      </c>
      <c r="AW213" s="15"/>
      <c r="AX213" s="15"/>
      <c r="AY213" s="27">
        <f t="shared" si="13"/>
        <v>499</v>
      </c>
      <c r="AZ213" s="27">
        <f t="shared" si="14"/>
        <v>1232</v>
      </c>
    </row>
    <row r="214" spans="1:52" x14ac:dyDescent="0.25">
      <c r="A214" s="13">
        <v>257</v>
      </c>
      <c r="B214" s="19" t="s">
        <v>466</v>
      </c>
      <c r="C214" s="26" t="s">
        <v>467</v>
      </c>
      <c r="D214" s="19" t="s">
        <v>42</v>
      </c>
      <c r="E214" s="16">
        <v>12</v>
      </c>
      <c r="F214" s="16">
        <v>30</v>
      </c>
      <c r="G214" s="16"/>
      <c r="H214" s="16"/>
      <c r="I214" s="16">
        <v>1236</v>
      </c>
      <c r="J214" s="16">
        <v>3088</v>
      </c>
      <c r="K214" s="16">
        <v>144</v>
      </c>
      <c r="L214" s="16">
        <v>360</v>
      </c>
      <c r="M214" s="16">
        <v>743</v>
      </c>
      <c r="N214" s="16">
        <v>1854</v>
      </c>
      <c r="O214" s="16">
        <v>51</v>
      </c>
      <c r="P214" s="16">
        <v>125</v>
      </c>
      <c r="Q214" s="16">
        <v>36</v>
      </c>
      <c r="R214" s="16">
        <v>86</v>
      </c>
      <c r="S214" s="16">
        <v>160</v>
      </c>
      <c r="T214" s="16">
        <v>396</v>
      </c>
      <c r="U214" s="16">
        <v>232</v>
      </c>
      <c r="V214" s="16">
        <v>580</v>
      </c>
      <c r="W214" s="16"/>
      <c r="X214" s="16"/>
      <c r="Y214" s="16">
        <v>2</v>
      </c>
      <c r="Z214" s="16">
        <v>4</v>
      </c>
      <c r="AA214" s="16">
        <v>66</v>
      </c>
      <c r="AB214" s="16">
        <v>164</v>
      </c>
      <c r="AC214" s="16">
        <v>189</v>
      </c>
      <c r="AD214" s="16">
        <v>469</v>
      </c>
      <c r="AE214" s="16">
        <v>12</v>
      </c>
      <c r="AF214" s="16">
        <v>30</v>
      </c>
      <c r="AG214" s="16">
        <v>320</v>
      </c>
      <c r="AH214" s="16">
        <v>800</v>
      </c>
      <c r="AI214" s="16"/>
      <c r="AJ214" s="16"/>
      <c r="AK214" s="16">
        <v>48</v>
      </c>
      <c r="AL214" s="16">
        <v>120</v>
      </c>
      <c r="AM214" s="16">
        <v>48</v>
      </c>
      <c r="AN214" s="16">
        <v>120</v>
      </c>
      <c r="AO214" s="15">
        <v>56</v>
      </c>
      <c r="AP214" s="15">
        <v>140</v>
      </c>
      <c r="AQ214" s="15"/>
      <c r="AR214" s="15"/>
      <c r="AS214" s="15"/>
      <c r="AT214" s="15"/>
      <c r="AU214" s="15">
        <v>40</v>
      </c>
      <c r="AV214" s="15">
        <v>100</v>
      </c>
      <c r="AW214" s="15"/>
      <c r="AX214" s="15"/>
      <c r="AY214" s="27">
        <f t="shared" si="13"/>
        <v>3395</v>
      </c>
      <c r="AZ214" s="27">
        <f t="shared" si="14"/>
        <v>8466</v>
      </c>
    </row>
    <row r="215" spans="1:52" x14ac:dyDescent="0.25">
      <c r="A215" s="13">
        <v>258</v>
      </c>
      <c r="B215" s="19" t="s">
        <v>468</v>
      </c>
      <c r="C215" s="26" t="s">
        <v>469</v>
      </c>
      <c r="D215" s="19" t="s">
        <v>42</v>
      </c>
      <c r="E215" s="16">
        <v>16</v>
      </c>
      <c r="F215" s="16">
        <v>40</v>
      </c>
      <c r="G215" s="16"/>
      <c r="H215" s="16"/>
      <c r="I215" s="16">
        <v>4</v>
      </c>
      <c r="J215" s="16">
        <v>10</v>
      </c>
      <c r="K215" s="16">
        <v>12</v>
      </c>
      <c r="L215" s="16">
        <v>30</v>
      </c>
      <c r="M215" s="16">
        <v>702</v>
      </c>
      <c r="N215" s="16">
        <v>1750</v>
      </c>
      <c r="O215" s="16">
        <v>9</v>
      </c>
      <c r="P215" s="16">
        <v>21</v>
      </c>
      <c r="Q215" s="16">
        <v>18</v>
      </c>
      <c r="R215" s="16">
        <v>42</v>
      </c>
      <c r="S215" s="16">
        <v>29</v>
      </c>
      <c r="T215" s="16">
        <v>70</v>
      </c>
      <c r="U215" s="16">
        <v>56</v>
      </c>
      <c r="V215" s="16">
        <v>140</v>
      </c>
      <c r="W215" s="16"/>
      <c r="X215" s="16"/>
      <c r="Y215" s="16"/>
      <c r="Z215" s="16"/>
      <c r="AA215" s="16"/>
      <c r="AB215" s="16"/>
      <c r="AC215" s="16">
        <v>236</v>
      </c>
      <c r="AD215" s="16">
        <v>590</v>
      </c>
      <c r="AE215" s="16"/>
      <c r="AF215" s="16"/>
      <c r="AG215" s="16"/>
      <c r="AH215" s="16"/>
      <c r="AI215" s="16">
        <v>30</v>
      </c>
      <c r="AJ215" s="16">
        <v>72</v>
      </c>
      <c r="AK215" s="16">
        <v>40</v>
      </c>
      <c r="AL215" s="16">
        <v>100</v>
      </c>
      <c r="AM215" s="16">
        <v>96</v>
      </c>
      <c r="AN215" s="16">
        <v>240</v>
      </c>
      <c r="AO215" s="15">
        <v>18</v>
      </c>
      <c r="AP215" s="15">
        <v>42</v>
      </c>
      <c r="AQ215" s="15"/>
      <c r="AR215" s="15"/>
      <c r="AS215" s="15"/>
      <c r="AT215" s="15"/>
      <c r="AU215" s="15"/>
      <c r="AV215" s="15"/>
      <c r="AW215" s="15"/>
      <c r="AX215" s="15"/>
      <c r="AY215" s="27">
        <f t="shared" si="13"/>
        <v>1266</v>
      </c>
      <c r="AZ215" s="27">
        <f t="shared" si="14"/>
        <v>3147</v>
      </c>
    </row>
    <row r="216" spans="1:52" x14ac:dyDescent="0.25">
      <c r="A216" s="13">
        <v>259</v>
      </c>
      <c r="B216" s="19" t="s">
        <v>470</v>
      </c>
      <c r="C216" s="26" t="s">
        <v>471</v>
      </c>
      <c r="D216" s="19" t="s">
        <v>42</v>
      </c>
      <c r="E216" s="16">
        <v>8</v>
      </c>
      <c r="F216" s="16">
        <v>20</v>
      </c>
      <c r="G216" s="16">
        <v>2</v>
      </c>
      <c r="H216" s="16">
        <v>4</v>
      </c>
      <c r="I216" s="16">
        <v>664</v>
      </c>
      <c r="J216" s="16">
        <v>1660</v>
      </c>
      <c r="K216" s="16">
        <v>17</v>
      </c>
      <c r="L216" s="16">
        <v>42</v>
      </c>
      <c r="M216" s="16">
        <v>1154</v>
      </c>
      <c r="N216" s="16">
        <v>2880</v>
      </c>
      <c r="O216" s="16">
        <v>9</v>
      </c>
      <c r="P216" s="16">
        <v>21</v>
      </c>
      <c r="Q216" s="16">
        <v>26</v>
      </c>
      <c r="R216" s="16">
        <v>64</v>
      </c>
      <c r="S216" s="16"/>
      <c r="T216" s="16"/>
      <c r="U216" s="16">
        <v>69</v>
      </c>
      <c r="V216" s="16">
        <v>169</v>
      </c>
      <c r="W216" s="16"/>
      <c r="X216" s="16"/>
      <c r="Y216" s="16"/>
      <c r="Z216" s="16"/>
      <c r="AA216" s="16">
        <v>8</v>
      </c>
      <c r="AB216" s="16">
        <v>20</v>
      </c>
      <c r="AC216" s="16">
        <v>18</v>
      </c>
      <c r="AD216" s="16">
        <v>43</v>
      </c>
      <c r="AE216" s="16">
        <v>48</v>
      </c>
      <c r="AF216" s="16">
        <v>120</v>
      </c>
      <c r="AG216" s="16"/>
      <c r="AH216" s="16"/>
      <c r="AI216" s="16">
        <v>14</v>
      </c>
      <c r="AJ216" s="16">
        <v>32</v>
      </c>
      <c r="AK216" s="16">
        <v>56</v>
      </c>
      <c r="AL216" s="16">
        <v>140</v>
      </c>
      <c r="AM216" s="16">
        <v>96</v>
      </c>
      <c r="AN216" s="16">
        <v>240</v>
      </c>
      <c r="AO216" s="15">
        <v>40</v>
      </c>
      <c r="AP216" s="15">
        <v>100</v>
      </c>
      <c r="AQ216" s="15">
        <v>10</v>
      </c>
      <c r="AR216" s="15">
        <v>24</v>
      </c>
      <c r="AS216" s="15"/>
      <c r="AT216" s="15"/>
      <c r="AU216" s="15"/>
      <c r="AV216" s="15"/>
      <c r="AW216" s="15"/>
      <c r="AX216" s="15"/>
      <c r="AY216" s="27">
        <f t="shared" si="13"/>
        <v>2239</v>
      </c>
      <c r="AZ216" s="27">
        <f t="shared" si="14"/>
        <v>5579</v>
      </c>
    </row>
    <row r="217" spans="1:52" x14ac:dyDescent="0.25">
      <c r="A217" s="13">
        <v>260</v>
      </c>
      <c r="B217" s="19" t="s">
        <v>472</v>
      </c>
      <c r="C217" s="26" t="s">
        <v>473</v>
      </c>
      <c r="D217" s="19" t="s">
        <v>42</v>
      </c>
      <c r="E217" s="16">
        <v>70</v>
      </c>
      <c r="F217" s="16">
        <v>172</v>
      </c>
      <c r="G217" s="16">
        <v>12</v>
      </c>
      <c r="H217" s="16">
        <v>26</v>
      </c>
      <c r="I217" s="16">
        <v>2240</v>
      </c>
      <c r="J217" s="16">
        <v>5600</v>
      </c>
      <c r="K217" s="16">
        <v>445</v>
      </c>
      <c r="L217" s="16">
        <v>1111</v>
      </c>
      <c r="M217" s="16">
        <v>1234</v>
      </c>
      <c r="N217" s="16">
        <v>3080</v>
      </c>
      <c r="O217" s="16">
        <v>126</v>
      </c>
      <c r="P217" s="16">
        <v>310</v>
      </c>
      <c r="Q217" s="16">
        <v>8</v>
      </c>
      <c r="R217" s="16">
        <v>20</v>
      </c>
      <c r="S217" s="16">
        <v>20</v>
      </c>
      <c r="T217" s="16">
        <v>48</v>
      </c>
      <c r="U217" s="16">
        <v>95</v>
      </c>
      <c r="V217" s="16">
        <v>235</v>
      </c>
      <c r="W217" s="16"/>
      <c r="X217" s="16"/>
      <c r="Y217" s="16">
        <v>104</v>
      </c>
      <c r="Z217" s="16">
        <v>256</v>
      </c>
      <c r="AA217" s="16">
        <v>24</v>
      </c>
      <c r="AB217" s="16">
        <v>58</v>
      </c>
      <c r="AC217" s="16">
        <v>328</v>
      </c>
      <c r="AD217" s="16">
        <v>819</v>
      </c>
      <c r="AE217" s="16"/>
      <c r="AF217" s="16"/>
      <c r="AG217" s="16">
        <v>1</v>
      </c>
      <c r="AH217" s="16">
        <v>2</v>
      </c>
      <c r="AI217" s="16">
        <v>96</v>
      </c>
      <c r="AJ217" s="16">
        <v>240</v>
      </c>
      <c r="AK217" s="16">
        <v>104</v>
      </c>
      <c r="AL217" s="16">
        <v>260</v>
      </c>
      <c r="AM217" s="16">
        <v>288</v>
      </c>
      <c r="AN217" s="16">
        <v>720</v>
      </c>
      <c r="AO217" s="15">
        <v>102</v>
      </c>
      <c r="AP217" s="15">
        <v>255</v>
      </c>
      <c r="AQ217" s="15">
        <v>28</v>
      </c>
      <c r="AR217" s="15">
        <v>66</v>
      </c>
      <c r="AS217" s="15"/>
      <c r="AT217" s="15"/>
      <c r="AU217" s="15">
        <v>632</v>
      </c>
      <c r="AV217" s="15">
        <v>1580</v>
      </c>
      <c r="AW217" s="15">
        <v>16</v>
      </c>
      <c r="AX217" s="15">
        <v>40</v>
      </c>
      <c r="AY217" s="27">
        <f t="shared" si="13"/>
        <v>5973</v>
      </c>
      <c r="AZ217" s="27">
        <f t="shared" si="14"/>
        <v>14898</v>
      </c>
    </row>
    <row r="218" spans="1:52" x14ac:dyDescent="0.25">
      <c r="A218" s="13">
        <v>261</v>
      </c>
      <c r="B218" s="19" t="s">
        <v>474</v>
      </c>
      <c r="C218" s="26" t="s">
        <v>475</v>
      </c>
      <c r="D218" s="19" t="s">
        <v>42</v>
      </c>
      <c r="E218" s="16">
        <v>14</v>
      </c>
      <c r="F218" s="16">
        <v>35</v>
      </c>
      <c r="G218" s="16"/>
      <c r="H218" s="16"/>
      <c r="I218" s="16"/>
      <c r="J218" s="16"/>
      <c r="K218" s="16"/>
      <c r="L218" s="16"/>
      <c r="M218" s="16"/>
      <c r="N218" s="16"/>
      <c r="O218" s="16">
        <v>15</v>
      </c>
      <c r="P218" s="16">
        <v>35</v>
      </c>
      <c r="Q218" s="16">
        <v>18</v>
      </c>
      <c r="R218" s="16">
        <v>42</v>
      </c>
      <c r="S218" s="16"/>
      <c r="T218" s="16"/>
      <c r="U218" s="16">
        <v>18</v>
      </c>
      <c r="V218" s="16">
        <v>44</v>
      </c>
      <c r="W218" s="16">
        <v>11</v>
      </c>
      <c r="X218" s="16">
        <v>25</v>
      </c>
      <c r="Y218" s="16"/>
      <c r="Z218" s="16"/>
      <c r="AA218" s="16"/>
      <c r="AB218" s="16"/>
      <c r="AC218" s="16"/>
      <c r="AD218" s="16"/>
      <c r="AE218" s="16"/>
      <c r="AF218" s="16"/>
      <c r="AG218" s="16"/>
      <c r="AH218" s="16"/>
      <c r="AI218" s="16">
        <v>4</v>
      </c>
      <c r="AJ218" s="16">
        <v>8</v>
      </c>
      <c r="AK218" s="16"/>
      <c r="AL218" s="16"/>
      <c r="AM218" s="16">
        <v>10</v>
      </c>
      <c r="AN218" s="16">
        <v>24</v>
      </c>
      <c r="AO218" s="15"/>
      <c r="AP218" s="15"/>
      <c r="AQ218" s="15"/>
      <c r="AR218" s="15"/>
      <c r="AS218" s="15"/>
      <c r="AT218" s="15"/>
      <c r="AU218" s="15"/>
      <c r="AV218" s="15"/>
      <c r="AW218" s="15"/>
      <c r="AX218" s="15"/>
      <c r="AY218" s="27">
        <f t="shared" si="13"/>
        <v>90</v>
      </c>
      <c r="AZ218" s="27">
        <f t="shared" si="14"/>
        <v>213</v>
      </c>
    </row>
    <row r="219" spans="1:52" x14ac:dyDescent="0.25">
      <c r="A219" s="13">
        <v>262</v>
      </c>
      <c r="B219" s="19" t="s">
        <v>476</v>
      </c>
      <c r="C219" s="26" t="s">
        <v>477</v>
      </c>
      <c r="D219" s="19" t="s">
        <v>43</v>
      </c>
      <c r="E219" s="16">
        <v>80</v>
      </c>
      <c r="F219" s="16">
        <v>200</v>
      </c>
      <c r="G219" s="16"/>
      <c r="H219" s="16"/>
      <c r="I219" s="16">
        <v>952</v>
      </c>
      <c r="J219" s="16">
        <v>2380</v>
      </c>
      <c r="K219" s="16">
        <v>6</v>
      </c>
      <c r="L219" s="16">
        <v>12</v>
      </c>
      <c r="M219" s="16">
        <v>368</v>
      </c>
      <c r="N219" s="16">
        <v>920</v>
      </c>
      <c r="O219" s="16">
        <v>148</v>
      </c>
      <c r="P219" s="16">
        <v>364</v>
      </c>
      <c r="Q219" s="16"/>
      <c r="R219" s="16"/>
      <c r="S219" s="16">
        <v>1</v>
      </c>
      <c r="T219" s="16">
        <v>1</v>
      </c>
      <c r="U219" s="16">
        <v>180</v>
      </c>
      <c r="V219" s="16">
        <v>446</v>
      </c>
      <c r="W219" s="16">
        <v>560</v>
      </c>
      <c r="X219" s="16">
        <v>1400</v>
      </c>
      <c r="Y219" s="16">
        <v>64</v>
      </c>
      <c r="Z219" s="16">
        <v>160</v>
      </c>
      <c r="AA219" s="16">
        <v>9</v>
      </c>
      <c r="AB219" s="16">
        <v>20</v>
      </c>
      <c r="AC219" s="16">
        <v>493</v>
      </c>
      <c r="AD219" s="16">
        <v>1230</v>
      </c>
      <c r="AE219" s="16">
        <v>518</v>
      </c>
      <c r="AF219" s="16">
        <v>1295</v>
      </c>
      <c r="AG219" s="16"/>
      <c r="AH219" s="16"/>
      <c r="AI219" s="16">
        <v>622</v>
      </c>
      <c r="AJ219" s="16">
        <v>1550</v>
      </c>
      <c r="AK219" s="16">
        <v>160</v>
      </c>
      <c r="AL219" s="16">
        <v>400</v>
      </c>
      <c r="AM219" s="16"/>
      <c r="AN219" s="16"/>
      <c r="AO219" s="15">
        <v>254</v>
      </c>
      <c r="AP219" s="15">
        <v>632</v>
      </c>
      <c r="AQ219" s="15"/>
      <c r="AR219" s="15"/>
      <c r="AS219" s="15"/>
      <c r="AT219" s="15"/>
      <c r="AU219" s="15"/>
      <c r="AV219" s="15"/>
      <c r="AW219" s="15"/>
      <c r="AX219" s="15"/>
      <c r="AY219" s="27">
        <f t="shared" si="13"/>
        <v>4415</v>
      </c>
      <c r="AZ219" s="27">
        <f t="shared" si="14"/>
        <v>11010</v>
      </c>
    </row>
    <row r="220" spans="1:52" x14ac:dyDescent="0.25">
      <c r="A220" s="13">
        <v>263</v>
      </c>
      <c r="B220" s="19" t="s">
        <v>478</v>
      </c>
      <c r="C220" s="26" t="s">
        <v>479</v>
      </c>
      <c r="D220" s="19" t="s">
        <v>42</v>
      </c>
      <c r="E220" s="16">
        <v>48</v>
      </c>
      <c r="F220" s="16">
        <v>120</v>
      </c>
      <c r="G220" s="16">
        <v>60</v>
      </c>
      <c r="H220" s="16">
        <v>150</v>
      </c>
      <c r="I220" s="16">
        <v>300</v>
      </c>
      <c r="J220" s="16">
        <v>748</v>
      </c>
      <c r="K220" s="16"/>
      <c r="L220" s="16"/>
      <c r="M220" s="16">
        <v>576</v>
      </c>
      <c r="N220" s="16">
        <v>1440</v>
      </c>
      <c r="O220" s="16">
        <v>532</v>
      </c>
      <c r="P220" s="16">
        <v>1328</v>
      </c>
      <c r="Q220" s="16"/>
      <c r="R220" s="16"/>
      <c r="S220" s="16">
        <v>3</v>
      </c>
      <c r="T220" s="16">
        <v>5</v>
      </c>
      <c r="U220" s="16">
        <v>304</v>
      </c>
      <c r="V220" s="16">
        <v>756</v>
      </c>
      <c r="W220" s="16">
        <v>100</v>
      </c>
      <c r="X220" s="16">
        <v>250</v>
      </c>
      <c r="Y220" s="16">
        <v>360</v>
      </c>
      <c r="Z220" s="16">
        <v>896</v>
      </c>
      <c r="AA220" s="16">
        <v>27</v>
      </c>
      <c r="AB220" s="16">
        <v>65</v>
      </c>
      <c r="AC220" s="16"/>
      <c r="AD220" s="16"/>
      <c r="AE220" s="16"/>
      <c r="AF220" s="16"/>
      <c r="AG220" s="16"/>
      <c r="AH220" s="16"/>
      <c r="AI220" s="16">
        <v>4</v>
      </c>
      <c r="AJ220" s="16">
        <v>8</v>
      </c>
      <c r="AK220" s="16">
        <v>8</v>
      </c>
      <c r="AL220" s="16">
        <v>20</v>
      </c>
      <c r="AM220" s="16"/>
      <c r="AN220" s="16"/>
      <c r="AO220" s="15"/>
      <c r="AP220" s="15"/>
      <c r="AQ220" s="15"/>
      <c r="AR220" s="15"/>
      <c r="AS220" s="15"/>
      <c r="AT220" s="15"/>
      <c r="AU220" s="15"/>
      <c r="AV220" s="15"/>
      <c r="AW220" s="15"/>
      <c r="AX220" s="15"/>
      <c r="AY220" s="27">
        <f t="shared" si="13"/>
        <v>2322</v>
      </c>
      <c r="AZ220" s="27">
        <f t="shared" si="14"/>
        <v>5786</v>
      </c>
    </row>
    <row r="221" spans="1:52" x14ac:dyDescent="0.25">
      <c r="A221" s="13">
        <v>264</v>
      </c>
      <c r="B221" s="19" t="s">
        <v>480</v>
      </c>
      <c r="C221" s="26" t="s">
        <v>481</v>
      </c>
      <c r="D221" s="19" t="s">
        <v>42</v>
      </c>
      <c r="E221" s="16">
        <v>6</v>
      </c>
      <c r="F221" s="16">
        <v>12</v>
      </c>
      <c r="G221" s="16"/>
      <c r="H221" s="16"/>
      <c r="I221" s="16"/>
      <c r="J221" s="16"/>
      <c r="K221" s="16">
        <v>200</v>
      </c>
      <c r="L221" s="16">
        <v>500</v>
      </c>
      <c r="M221" s="16">
        <v>8</v>
      </c>
      <c r="N221" s="16">
        <v>20</v>
      </c>
      <c r="O221" s="16">
        <v>54</v>
      </c>
      <c r="P221" s="16">
        <v>133</v>
      </c>
      <c r="Q221" s="16"/>
      <c r="R221" s="16"/>
      <c r="S221" s="16"/>
      <c r="T221" s="16"/>
      <c r="U221" s="16">
        <v>180</v>
      </c>
      <c r="V221" s="16">
        <v>450</v>
      </c>
      <c r="W221" s="16">
        <v>27</v>
      </c>
      <c r="X221" s="16">
        <v>66</v>
      </c>
      <c r="Y221" s="16">
        <v>14</v>
      </c>
      <c r="Z221" s="16">
        <v>32</v>
      </c>
      <c r="AA221" s="16"/>
      <c r="AB221" s="16"/>
      <c r="AC221" s="16">
        <v>128</v>
      </c>
      <c r="AD221" s="16">
        <v>320</v>
      </c>
      <c r="AE221" s="16"/>
      <c r="AF221" s="16"/>
      <c r="AG221" s="16"/>
      <c r="AH221" s="16"/>
      <c r="AI221" s="16">
        <v>176</v>
      </c>
      <c r="AJ221" s="16">
        <v>440</v>
      </c>
      <c r="AK221" s="16"/>
      <c r="AL221" s="16"/>
      <c r="AM221" s="16"/>
      <c r="AN221" s="16"/>
      <c r="AO221" s="15">
        <v>26</v>
      </c>
      <c r="AP221" s="15">
        <v>62</v>
      </c>
      <c r="AQ221" s="15"/>
      <c r="AR221" s="15"/>
      <c r="AS221" s="15"/>
      <c r="AT221" s="15"/>
      <c r="AU221" s="15">
        <v>32</v>
      </c>
      <c r="AV221" s="15">
        <v>80</v>
      </c>
      <c r="AW221" s="15"/>
      <c r="AX221" s="15"/>
      <c r="AY221" s="27">
        <f t="shared" si="13"/>
        <v>851</v>
      </c>
      <c r="AZ221" s="27">
        <f t="shared" si="14"/>
        <v>2115</v>
      </c>
    </row>
    <row r="222" spans="1:52" x14ac:dyDescent="0.25">
      <c r="A222" s="13">
        <v>266</v>
      </c>
      <c r="B222" s="19" t="s">
        <v>482</v>
      </c>
      <c r="C222" s="26" t="s">
        <v>483</v>
      </c>
      <c r="D222" s="19" t="s">
        <v>43</v>
      </c>
      <c r="E222" s="16">
        <v>1704</v>
      </c>
      <c r="F222" s="16">
        <v>4260</v>
      </c>
      <c r="G222" s="16">
        <v>16</v>
      </c>
      <c r="H222" s="16">
        <v>40</v>
      </c>
      <c r="I222" s="16">
        <v>4195</v>
      </c>
      <c r="J222" s="16">
        <v>10484</v>
      </c>
      <c r="K222" s="16">
        <v>50</v>
      </c>
      <c r="L222" s="16">
        <v>124</v>
      </c>
      <c r="M222" s="16">
        <v>404</v>
      </c>
      <c r="N222" s="16">
        <v>1010</v>
      </c>
      <c r="O222" s="16">
        <v>6848</v>
      </c>
      <c r="P222" s="16">
        <v>17115</v>
      </c>
      <c r="Q222" s="16"/>
      <c r="R222" s="16"/>
      <c r="S222" s="16">
        <v>400</v>
      </c>
      <c r="T222" s="16">
        <v>1000</v>
      </c>
      <c r="U222" s="16">
        <v>1176</v>
      </c>
      <c r="V222" s="16">
        <v>2938</v>
      </c>
      <c r="W222" s="16">
        <v>3080</v>
      </c>
      <c r="X222" s="16">
        <v>7700</v>
      </c>
      <c r="Y222" s="16">
        <v>2978</v>
      </c>
      <c r="Z222" s="16">
        <v>7442</v>
      </c>
      <c r="AA222" s="16">
        <v>64</v>
      </c>
      <c r="AB222" s="16">
        <v>160</v>
      </c>
      <c r="AC222" s="16">
        <v>644</v>
      </c>
      <c r="AD222" s="16">
        <v>1610</v>
      </c>
      <c r="AE222" s="16">
        <v>5472</v>
      </c>
      <c r="AF222" s="16">
        <v>13678</v>
      </c>
      <c r="AG222" s="16"/>
      <c r="AH222" s="16"/>
      <c r="AI222" s="16">
        <v>1301</v>
      </c>
      <c r="AJ222" s="16">
        <v>3248</v>
      </c>
      <c r="AK222" s="16">
        <v>56</v>
      </c>
      <c r="AL222" s="16">
        <v>140</v>
      </c>
      <c r="AM222" s="16"/>
      <c r="AN222" s="16"/>
      <c r="AO222" s="15">
        <v>2112</v>
      </c>
      <c r="AP222" s="15">
        <v>5280</v>
      </c>
      <c r="AQ222" s="15"/>
      <c r="AR222" s="15"/>
      <c r="AS222" s="15"/>
      <c r="AT222" s="15"/>
      <c r="AU222" s="15"/>
      <c r="AV222" s="15"/>
      <c r="AW222" s="15"/>
      <c r="AX222" s="15"/>
      <c r="AY222" s="27">
        <f t="shared" si="13"/>
        <v>30500</v>
      </c>
      <c r="AZ222" s="27">
        <f t="shared" si="14"/>
        <v>76229</v>
      </c>
    </row>
    <row r="223" spans="1:52" x14ac:dyDescent="0.25">
      <c r="A223" s="13">
        <v>267</v>
      </c>
      <c r="B223" s="19" t="s">
        <v>484</v>
      </c>
      <c r="C223" s="26" t="s">
        <v>485</v>
      </c>
      <c r="D223" s="19" t="s">
        <v>42</v>
      </c>
      <c r="E223" s="16"/>
      <c r="F223" s="16"/>
      <c r="G223" s="16">
        <v>220</v>
      </c>
      <c r="H223" s="16">
        <v>550</v>
      </c>
      <c r="I223" s="16">
        <v>5800</v>
      </c>
      <c r="J223" s="16">
        <v>14500</v>
      </c>
      <c r="K223" s="16"/>
      <c r="L223" s="16"/>
      <c r="M223" s="16"/>
      <c r="N223" s="16"/>
      <c r="O223" s="16">
        <v>2080</v>
      </c>
      <c r="P223" s="16">
        <v>5200</v>
      </c>
      <c r="Q223" s="16"/>
      <c r="R223" s="16"/>
      <c r="S223" s="16">
        <v>200</v>
      </c>
      <c r="T223" s="16">
        <v>500</v>
      </c>
      <c r="U223" s="16">
        <v>52</v>
      </c>
      <c r="V223" s="16">
        <v>128</v>
      </c>
      <c r="W223" s="16">
        <v>400</v>
      </c>
      <c r="X223" s="16">
        <v>1000</v>
      </c>
      <c r="Y223" s="16">
        <v>2366</v>
      </c>
      <c r="Z223" s="16">
        <v>5914</v>
      </c>
      <c r="AA223" s="16">
        <v>97</v>
      </c>
      <c r="AB223" s="16">
        <v>242</v>
      </c>
      <c r="AC223" s="16">
        <v>1320</v>
      </c>
      <c r="AD223" s="16">
        <v>3300</v>
      </c>
      <c r="AE223" s="16">
        <v>11394</v>
      </c>
      <c r="AF223" s="16">
        <v>28481</v>
      </c>
      <c r="AG223" s="16"/>
      <c r="AH223" s="16"/>
      <c r="AI223" s="16">
        <v>797</v>
      </c>
      <c r="AJ223" s="16">
        <v>1991</v>
      </c>
      <c r="AK223" s="16"/>
      <c r="AL223" s="16"/>
      <c r="AM223" s="16"/>
      <c r="AN223" s="16"/>
      <c r="AO223" s="15"/>
      <c r="AP223" s="15"/>
      <c r="AQ223" s="15"/>
      <c r="AR223" s="15"/>
      <c r="AS223" s="15"/>
      <c r="AT223" s="15"/>
      <c r="AU223" s="15"/>
      <c r="AV223" s="15"/>
      <c r="AW223" s="15"/>
      <c r="AX223" s="15"/>
      <c r="AY223" s="27">
        <f t="shared" si="13"/>
        <v>24726</v>
      </c>
      <c r="AZ223" s="27">
        <f t="shared" si="14"/>
        <v>61806</v>
      </c>
    </row>
    <row r="224" spans="1:52" x14ac:dyDescent="0.25">
      <c r="A224" s="13">
        <v>270</v>
      </c>
      <c r="B224" s="19" t="s">
        <v>486</v>
      </c>
      <c r="C224" s="26" t="s">
        <v>487</v>
      </c>
      <c r="D224" s="19" t="s">
        <v>42</v>
      </c>
      <c r="E224" s="16"/>
      <c r="F224" s="16"/>
      <c r="G224" s="16">
        <v>16</v>
      </c>
      <c r="H224" s="16">
        <v>36</v>
      </c>
      <c r="I224" s="16">
        <v>280</v>
      </c>
      <c r="J224" s="16">
        <v>700</v>
      </c>
      <c r="K224" s="16">
        <v>200</v>
      </c>
      <c r="L224" s="16">
        <v>500</v>
      </c>
      <c r="M224" s="16"/>
      <c r="N224" s="16"/>
      <c r="O224" s="16"/>
      <c r="P224" s="16"/>
      <c r="Q224" s="16"/>
      <c r="R224" s="16"/>
      <c r="S224" s="16"/>
      <c r="T224" s="16"/>
      <c r="U224" s="16">
        <v>120</v>
      </c>
      <c r="V224" s="16">
        <v>300</v>
      </c>
      <c r="W224" s="16"/>
      <c r="X224" s="16"/>
      <c r="Y224" s="16"/>
      <c r="Z224" s="16"/>
      <c r="AA224" s="16"/>
      <c r="AB224" s="16"/>
      <c r="AC224" s="16"/>
      <c r="AD224" s="16"/>
      <c r="AE224" s="16"/>
      <c r="AF224" s="16"/>
      <c r="AG224" s="16"/>
      <c r="AH224" s="16"/>
      <c r="AI224" s="16">
        <v>144</v>
      </c>
      <c r="AJ224" s="16">
        <v>360</v>
      </c>
      <c r="AK224" s="16"/>
      <c r="AL224" s="16"/>
      <c r="AM224" s="16"/>
      <c r="AN224" s="16"/>
      <c r="AO224" s="15"/>
      <c r="AP224" s="15"/>
      <c r="AQ224" s="15"/>
      <c r="AR224" s="15"/>
      <c r="AS224" s="15"/>
      <c r="AT224" s="15"/>
      <c r="AU224" s="15"/>
      <c r="AV224" s="15"/>
      <c r="AW224" s="15"/>
      <c r="AX224" s="15"/>
      <c r="AY224" s="27">
        <f t="shared" si="13"/>
        <v>760</v>
      </c>
      <c r="AZ224" s="27">
        <f t="shared" si="14"/>
        <v>1896</v>
      </c>
    </row>
    <row r="225" spans="1:52" x14ac:dyDescent="0.25">
      <c r="A225" s="13">
        <v>271</v>
      </c>
      <c r="B225" s="19" t="s">
        <v>488</v>
      </c>
      <c r="C225" s="26" t="s">
        <v>489</v>
      </c>
      <c r="D225" s="19" t="s">
        <v>42</v>
      </c>
      <c r="E225" s="16"/>
      <c r="F225" s="16"/>
      <c r="G225" s="16">
        <v>260</v>
      </c>
      <c r="H225" s="16">
        <v>646</v>
      </c>
      <c r="I225" s="16"/>
      <c r="J225" s="16"/>
      <c r="K225" s="16">
        <v>38</v>
      </c>
      <c r="L225" s="16">
        <v>93</v>
      </c>
      <c r="M225" s="16"/>
      <c r="N225" s="16"/>
      <c r="O225" s="16">
        <v>15</v>
      </c>
      <c r="P225" s="16">
        <v>35</v>
      </c>
      <c r="Q225" s="16">
        <v>16</v>
      </c>
      <c r="R225" s="16">
        <v>38</v>
      </c>
      <c r="S225" s="16">
        <v>2</v>
      </c>
      <c r="T225" s="16">
        <v>4</v>
      </c>
      <c r="U225" s="16">
        <v>22</v>
      </c>
      <c r="V225" s="16">
        <v>55</v>
      </c>
      <c r="W225" s="16">
        <v>20</v>
      </c>
      <c r="X225" s="16">
        <v>48</v>
      </c>
      <c r="Y225" s="16"/>
      <c r="Z225" s="16"/>
      <c r="AA225" s="16">
        <v>32</v>
      </c>
      <c r="AB225" s="16">
        <v>74</v>
      </c>
      <c r="AC225" s="16"/>
      <c r="AD225" s="16"/>
      <c r="AE225" s="16">
        <v>13</v>
      </c>
      <c r="AF225" s="16">
        <v>32</v>
      </c>
      <c r="AG225" s="16"/>
      <c r="AH225" s="16"/>
      <c r="AI225" s="16"/>
      <c r="AJ225" s="16"/>
      <c r="AK225" s="16">
        <v>44</v>
      </c>
      <c r="AL225" s="16">
        <v>110</v>
      </c>
      <c r="AM225" s="16">
        <v>20</v>
      </c>
      <c r="AN225" s="16">
        <v>48</v>
      </c>
      <c r="AO225" s="15">
        <v>82</v>
      </c>
      <c r="AP225" s="15">
        <v>204</v>
      </c>
      <c r="AQ225" s="15">
        <v>10</v>
      </c>
      <c r="AR225" s="15">
        <v>24</v>
      </c>
      <c r="AS225" s="15">
        <v>16</v>
      </c>
      <c r="AT225" s="15">
        <v>40</v>
      </c>
      <c r="AU225" s="15"/>
      <c r="AV225" s="15"/>
      <c r="AW225" s="15"/>
      <c r="AX225" s="15"/>
      <c r="AY225" s="27">
        <f t="shared" si="13"/>
        <v>590</v>
      </c>
      <c r="AZ225" s="27">
        <f t="shared" si="14"/>
        <v>1451</v>
      </c>
    </row>
    <row r="226" spans="1:52" x14ac:dyDescent="0.25">
      <c r="A226" s="13">
        <v>272</v>
      </c>
      <c r="B226" s="19" t="s">
        <v>490</v>
      </c>
      <c r="C226" s="26" t="s">
        <v>491</v>
      </c>
      <c r="D226" s="19" t="s">
        <v>42</v>
      </c>
      <c r="E226" s="16">
        <v>10</v>
      </c>
      <c r="F226" s="16">
        <v>24</v>
      </c>
      <c r="G226" s="16">
        <v>100</v>
      </c>
      <c r="H226" s="16">
        <v>250</v>
      </c>
      <c r="I226" s="16">
        <v>778</v>
      </c>
      <c r="J226" s="16">
        <v>1944</v>
      </c>
      <c r="K226" s="16">
        <v>1869</v>
      </c>
      <c r="L226" s="16">
        <v>4669</v>
      </c>
      <c r="M226" s="16">
        <v>740</v>
      </c>
      <c r="N226" s="16">
        <v>1848</v>
      </c>
      <c r="O226" s="16">
        <v>102</v>
      </c>
      <c r="P226" s="16">
        <v>252</v>
      </c>
      <c r="Q226" s="16">
        <v>122</v>
      </c>
      <c r="R226" s="16">
        <v>302</v>
      </c>
      <c r="S226" s="16">
        <v>40</v>
      </c>
      <c r="T226" s="16">
        <v>96</v>
      </c>
      <c r="U226" s="16">
        <v>220</v>
      </c>
      <c r="V226" s="16">
        <v>550</v>
      </c>
      <c r="W226" s="16"/>
      <c r="X226" s="16"/>
      <c r="Y226" s="16">
        <v>48</v>
      </c>
      <c r="Z226" s="16">
        <v>120</v>
      </c>
      <c r="AA226" s="16">
        <v>8</v>
      </c>
      <c r="AB226" s="16">
        <v>20</v>
      </c>
      <c r="AC226" s="16">
        <v>30</v>
      </c>
      <c r="AD226" s="16">
        <v>72</v>
      </c>
      <c r="AE226" s="16"/>
      <c r="AF226" s="16"/>
      <c r="AG226" s="16"/>
      <c r="AH226" s="16"/>
      <c r="AI226" s="16">
        <v>10</v>
      </c>
      <c r="AJ226" s="16">
        <v>24</v>
      </c>
      <c r="AK226" s="16">
        <v>8</v>
      </c>
      <c r="AL226" s="16">
        <v>18</v>
      </c>
      <c r="AM226" s="16"/>
      <c r="AN226" s="16"/>
      <c r="AO226" s="15">
        <v>10</v>
      </c>
      <c r="AP226" s="15">
        <v>24</v>
      </c>
      <c r="AQ226" s="15"/>
      <c r="AR226" s="15"/>
      <c r="AS226" s="15">
        <v>16</v>
      </c>
      <c r="AT226" s="15">
        <v>40</v>
      </c>
      <c r="AU226" s="15">
        <v>150</v>
      </c>
      <c r="AV226" s="15">
        <v>375</v>
      </c>
      <c r="AW226" s="15">
        <v>16</v>
      </c>
      <c r="AX226" s="15">
        <v>40</v>
      </c>
      <c r="AY226" s="27">
        <f t="shared" si="13"/>
        <v>4277</v>
      </c>
      <c r="AZ226" s="27">
        <f t="shared" si="14"/>
        <v>10668</v>
      </c>
    </row>
    <row r="227" spans="1:52" x14ac:dyDescent="0.25">
      <c r="A227" s="13">
        <v>274</v>
      </c>
      <c r="B227" s="19" t="s">
        <v>492</v>
      </c>
      <c r="C227" s="26" t="s">
        <v>493</v>
      </c>
      <c r="D227" s="19" t="s">
        <v>42</v>
      </c>
      <c r="E227" s="16">
        <v>40</v>
      </c>
      <c r="F227" s="16">
        <v>96</v>
      </c>
      <c r="G227" s="16"/>
      <c r="H227" s="16"/>
      <c r="I227" s="16"/>
      <c r="J227" s="16"/>
      <c r="K227" s="16">
        <v>24</v>
      </c>
      <c r="L227" s="16">
        <v>60</v>
      </c>
      <c r="M227" s="16"/>
      <c r="N227" s="16"/>
      <c r="O227" s="16">
        <v>15</v>
      </c>
      <c r="P227" s="16">
        <v>35</v>
      </c>
      <c r="Q227" s="16"/>
      <c r="R227" s="16"/>
      <c r="S227" s="16"/>
      <c r="T227" s="16"/>
      <c r="U227" s="16">
        <v>352</v>
      </c>
      <c r="V227" s="16">
        <v>880</v>
      </c>
      <c r="W227" s="16"/>
      <c r="X227" s="16"/>
      <c r="Y227" s="16">
        <v>16</v>
      </c>
      <c r="Z227" s="16">
        <v>40</v>
      </c>
      <c r="AA227" s="16"/>
      <c r="AB227" s="16"/>
      <c r="AC227" s="16">
        <v>44</v>
      </c>
      <c r="AD227" s="16">
        <v>110</v>
      </c>
      <c r="AE227" s="16"/>
      <c r="AF227" s="16"/>
      <c r="AG227" s="16"/>
      <c r="AH227" s="16"/>
      <c r="AI227" s="16"/>
      <c r="AJ227" s="16"/>
      <c r="AK227" s="16"/>
      <c r="AL227" s="16"/>
      <c r="AM227" s="16"/>
      <c r="AN227" s="16"/>
      <c r="AO227" s="15"/>
      <c r="AP227" s="15"/>
      <c r="AQ227" s="15"/>
      <c r="AR227" s="15"/>
      <c r="AS227" s="15"/>
      <c r="AT227" s="15"/>
      <c r="AU227" s="15"/>
      <c r="AV227" s="15"/>
      <c r="AW227" s="15">
        <v>86</v>
      </c>
      <c r="AX227" s="15">
        <v>214</v>
      </c>
      <c r="AY227" s="27">
        <f t="shared" si="13"/>
        <v>577</v>
      </c>
      <c r="AZ227" s="27">
        <f t="shared" si="14"/>
        <v>1435</v>
      </c>
    </row>
    <row r="228" spans="1:52" x14ac:dyDescent="0.25">
      <c r="A228" s="13">
        <v>275</v>
      </c>
      <c r="B228" s="19" t="s">
        <v>494</v>
      </c>
      <c r="C228" s="26" t="s">
        <v>495</v>
      </c>
      <c r="D228" s="19" t="s">
        <v>42</v>
      </c>
      <c r="E228" s="16">
        <v>320</v>
      </c>
      <c r="F228" s="16">
        <v>800</v>
      </c>
      <c r="G228" s="16"/>
      <c r="H228" s="16"/>
      <c r="I228" s="16"/>
      <c r="J228" s="16"/>
      <c r="K228" s="16">
        <v>224</v>
      </c>
      <c r="L228" s="16">
        <v>560</v>
      </c>
      <c r="M228" s="16"/>
      <c r="N228" s="16"/>
      <c r="O228" s="16">
        <v>169</v>
      </c>
      <c r="P228" s="16">
        <v>420</v>
      </c>
      <c r="Q228" s="16"/>
      <c r="R228" s="16"/>
      <c r="S228" s="16"/>
      <c r="T228" s="16"/>
      <c r="U228" s="16">
        <v>352</v>
      </c>
      <c r="V228" s="16">
        <v>880</v>
      </c>
      <c r="W228" s="16"/>
      <c r="X228" s="16"/>
      <c r="Y228" s="16">
        <v>4</v>
      </c>
      <c r="Z228" s="16">
        <v>10</v>
      </c>
      <c r="AA228" s="16"/>
      <c r="AB228" s="16"/>
      <c r="AC228" s="16">
        <v>14</v>
      </c>
      <c r="AD228" s="16">
        <v>33</v>
      </c>
      <c r="AE228" s="16"/>
      <c r="AF228" s="16"/>
      <c r="AG228" s="16">
        <v>8</v>
      </c>
      <c r="AH228" s="16">
        <v>20</v>
      </c>
      <c r="AI228" s="16">
        <v>216</v>
      </c>
      <c r="AJ228" s="16">
        <v>540</v>
      </c>
      <c r="AK228" s="16">
        <v>728</v>
      </c>
      <c r="AL228" s="16">
        <v>1820</v>
      </c>
      <c r="AM228" s="16"/>
      <c r="AN228" s="16"/>
      <c r="AO228" s="15">
        <v>20</v>
      </c>
      <c r="AP228" s="15">
        <v>50</v>
      </c>
      <c r="AQ228" s="15"/>
      <c r="AR228" s="15"/>
      <c r="AS228" s="15"/>
      <c r="AT228" s="15"/>
      <c r="AU228" s="15"/>
      <c r="AV228" s="15"/>
      <c r="AW228" s="15">
        <v>40</v>
      </c>
      <c r="AX228" s="15">
        <v>100</v>
      </c>
      <c r="AY228" s="27">
        <f t="shared" si="13"/>
        <v>2095</v>
      </c>
      <c r="AZ228" s="27">
        <f t="shared" si="14"/>
        <v>5233</v>
      </c>
    </row>
    <row r="229" spans="1:52" x14ac:dyDescent="0.25">
      <c r="A229" s="13">
        <v>277</v>
      </c>
      <c r="B229" s="19" t="s">
        <v>496</v>
      </c>
      <c r="C229" s="26" t="s">
        <v>497</v>
      </c>
      <c r="D229" s="19" t="s">
        <v>42</v>
      </c>
      <c r="E229" s="16">
        <v>4</v>
      </c>
      <c r="F229" s="16">
        <v>10</v>
      </c>
      <c r="G229" s="16"/>
      <c r="H229" s="16"/>
      <c r="I229" s="16"/>
      <c r="J229" s="16"/>
      <c r="K229" s="16"/>
      <c r="L229" s="16"/>
      <c r="M229" s="16"/>
      <c r="N229" s="16"/>
      <c r="O229" s="16"/>
      <c r="P229" s="16"/>
      <c r="Q229" s="16"/>
      <c r="R229" s="16"/>
      <c r="S229" s="16">
        <v>3</v>
      </c>
      <c r="T229" s="16">
        <v>6</v>
      </c>
      <c r="U229" s="16">
        <v>44</v>
      </c>
      <c r="V229" s="16">
        <v>110</v>
      </c>
      <c r="W229" s="16"/>
      <c r="X229" s="16"/>
      <c r="Y229" s="16"/>
      <c r="Z229" s="16"/>
      <c r="AA229" s="16"/>
      <c r="AB229" s="16"/>
      <c r="AC229" s="16"/>
      <c r="AD229" s="16"/>
      <c r="AE229" s="16"/>
      <c r="AF229" s="16"/>
      <c r="AG229" s="16"/>
      <c r="AH229" s="16"/>
      <c r="AI229" s="16"/>
      <c r="AJ229" s="16"/>
      <c r="AK229" s="16"/>
      <c r="AL229" s="16"/>
      <c r="AM229" s="16"/>
      <c r="AN229" s="16"/>
      <c r="AO229" s="15"/>
      <c r="AP229" s="15"/>
      <c r="AQ229" s="15"/>
      <c r="AR229" s="15"/>
      <c r="AS229" s="15">
        <v>64</v>
      </c>
      <c r="AT229" s="15">
        <v>160</v>
      </c>
      <c r="AU229" s="15"/>
      <c r="AV229" s="15"/>
      <c r="AW229" s="15"/>
      <c r="AX229" s="15"/>
      <c r="AY229" s="27">
        <f t="shared" si="13"/>
        <v>115</v>
      </c>
      <c r="AZ229" s="27">
        <f t="shared" si="14"/>
        <v>286</v>
      </c>
    </row>
    <row r="230" spans="1:52" x14ac:dyDescent="0.25">
      <c r="A230" s="13">
        <v>278</v>
      </c>
      <c r="B230" s="19" t="s">
        <v>498</v>
      </c>
      <c r="C230" s="26" t="s">
        <v>499</v>
      </c>
      <c r="D230" s="19" t="s">
        <v>42</v>
      </c>
      <c r="E230" s="16">
        <v>4</v>
      </c>
      <c r="F230" s="16">
        <v>10</v>
      </c>
      <c r="G230" s="16"/>
      <c r="H230" s="16"/>
      <c r="I230" s="16"/>
      <c r="J230" s="16"/>
      <c r="K230" s="16"/>
      <c r="L230" s="16"/>
      <c r="M230" s="16"/>
      <c r="N230" s="16"/>
      <c r="O230" s="16"/>
      <c r="P230" s="16"/>
      <c r="Q230" s="16"/>
      <c r="R230" s="16"/>
      <c r="S230" s="16">
        <v>3</v>
      </c>
      <c r="T230" s="16">
        <v>6</v>
      </c>
      <c r="U230" s="16">
        <v>44</v>
      </c>
      <c r="V230" s="16">
        <v>110</v>
      </c>
      <c r="W230" s="16"/>
      <c r="X230" s="16"/>
      <c r="Y230" s="16"/>
      <c r="Z230" s="16"/>
      <c r="AA230" s="16"/>
      <c r="AB230" s="16"/>
      <c r="AC230" s="16"/>
      <c r="AD230" s="16"/>
      <c r="AE230" s="16"/>
      <c r="AF230" s="16"/>
      <c r="AG230" s="16"/>
      <c r="AH230" s="16"/>
      <c r="AI230" s="16"/>
      <c r="AJ230" s="16"/>
      <c r="AK230" s="16"/>
      <c r="AL230" s="16"/>
      <c r="AM230" s="16"/>
      <c r="AN230" s="16"/>
      <c r="AO230" s="15"/>
      <c r="AP230" s="15"/>
      <c r="AQ230" s="15"/>
      <c r="AR230" s="15"/>
      <c r="AS230" s="15"/>
      <c r="AT230" s="15"/>
      <c r="AU230" s="15"/>
      <c r="AV230" s="15"/>
      <c r="AW230" s="15"/>
      <c r="AX230" s="15"/>
      <c r="AY230" s="27">
        <f t="shared" si="13"/>
        <v>51</v>
      </c>
      <c r="AZ230" s="27">
        <f t="shared" si="14"/>
        <v>126</v>
      </c>
    </row>
    <row r="231" spans="1:52" x14ac:dyDescent="0.25">
      <c r="A231" s="13">
        <v>279</v>
      </c>
      <c r="B231" s="19" t="s">
        <v>500</v>
      </c>
      <c r="C231" s="26" t="s">
        <v>501</v>
      </c>
      <c r="D231" s="19" t="s">
        <v>42</v>
      </c>
      <c r="E231" s="16">
        <v>8</v>
      </c>
      <c r="F231" s="16">
        <v>20</v>
      </c>
      <c r="G231" s="16"/>
      <c r="H231" s="16"/>
      <c r="I231" s="16">
        <v>1600</v>
      </c>
      <c r="J231" s="16">
        <v>4000</v>
      </c>
      <c r="K231" s="16">
        <v>200</v>
      </c>
      <c r="L231" s="16">
        <v>500</v>
      </c>
      <c r="M231" s="16"/>
      <c r="N231" s="16"/>
      <c r="O231" s="16"/>
      <c r="P231" s="16"/>
      <c r="Q231" s="16">
        <v>8</v>
      </c>
      <c r="R231" s="16">
        <v>18</v>
      </c>
      <c r="S231" s="16">
        <v>17</v>
      </c>
      <c r="T231" s="16">
        <v>40</v>
      </c>
      <c r="U231" s="16">
        <v>44</v>
      </c>
      <c r="V231" s="16">
        <v>110</v>
      </c>
      <c r="W231" s="16">
        <v>141</v>
      </c>
      <c r="X231" s="16">
        <v>352</v>
      </c>
      <c r="Y231" s="16">
        <v>160</v>
      </c>
      <c r="Z231" s="16">
        <v>400</v>
      </c>
      <c r="AA231" s="16"/>
      <c r="AB231" s="16"/>
      <c r="AC231" s="16"/>
      <c r="AD231" s="16"/>
      <c r="AE231" s="16"/>
      <c r="AF231" s="16"/>
      <c r="AG231" s="16"/>
      <c r="AH231" s="16"/>
      <c r="AI231" s="16"/>
      <c r="AJ231" s="16"/>
      <c r="AK231" s="16"/>
      <c r="AL231" s="16"/>
      <c r="AM231" s="16">
        <v>576</v>
      </c>
      <c r="AN231" s="16">
        <v>1440</v>
      </c>
      <c r="AO231" s="15"/>
      <c r="AP231" s="15"/>
      <c r="AQ231" s="15"/>
      <c r="AR231" s="15"/>
      <c r="AS231" s="15"/>
      <c r="AT231" s="15"/>
      <c r="AU231" s="15">
        <v>40</v>
      </c>
      <c r="AV231" s="15">
        <v>100</v>
      </c>
      <c r="AW231" s="15">
        <v>10</v>
      </c>
      <c r="AX231" s="15">
        <v>24</v>
      </c>
      <c r="AY231" s="27">
        <f t="shared" si="13"/>
        <v>2804</v>
      </c>
      <c r="AZ231" s="27">
        <f t="shared" si="14"/>
        <v>7004</v>
      </c>
    </row>
    <row r="232" spans="1:52" x14ac:dyDescent="0.25">
      <c r="A232" s="13">
        <v>280</v>
      </c>
      <c r="B232" s="19" t="s">
        <v>502</v>
      </c>
      <c r="C232" s="26" t="s">
        <v>503</v>
      </c>
      <c r="D232" s="19" t="s">
        <v>42</v>
      </c>
      <c r="E232" s="16">
        <v>8</v>
      </c>
      <c r="F232" s="16">
        <v>20</v>
      </c>
      <c r="G232" s="16"/>
      <c r="H232" s="16"/>
      <c r="I232" s="16">
        <v>1000</v>
      </c>
      <c r="J232" s="16">
        <v>2500</v>
      </c>
      <c r="K232" s="16">
        <v>1364</v>
      </c>
      <c r="L232" s="16">
        <v>3410</v>
      </c>
      <c r="M232" s="16"/>
      <c r="N232" s="16"/>
      <c r="O232" s="16">
        <v>68</v>
      </c>
      <c r="P232" s="16">
        <v>168</v>
      </c>
      <c r="Q232" s="16">
        <v>60</v>
      </c>
      <c r="R232" s="16">
        <v>146</v>
      </c>
      <c r="S232" s="16"/>
      <c r="T232" s="16"/>
      <c r="U232" s="16"/>
      <c r="V232" s="16"/>
      <c r="W232" s="16"/>
      <c r="X232" s="16"/>
      <c r="Y232" s="16"/>
      <c r="Z232" s="16"/>
      <c r="AA232" s="16"/>
      <c r="AB232" s="16"/>
      <c r="AC232" s="16">
        <v>4</v>
      </c>
      <c r="AD232" s="16">
        <v>7</v>
      </c>
      <c r="AE232" s="16">
        <v>144</v>
      </c>
      <c r="AF232" s="16">
        <v>360</v>
      </c>
      <c r="AG232" s="16"/>
      <c r="AH232" s="16"/>
      <c r="AI232" s="16">
        <v>104</v>
      </c>
      <c r="AJ232" s="16">
        <v>260</v>
      </c>
      <c r="AK232" s="16">
        <v>2</v>
      </c>
      <c r="AL232" s="16">
        <v>4</v>
      </c>
      <c r="AM232" s="16"/>
      <c r="AN232" s="16"/>
      <c r="AO232" s="15"/>
      <c r="AP232" s="15"/>
      <c r="AQ232" s="15">
        <v>120</v>
      </c>
      <c r="AR232" s="15">
        <v>300</v>
      </c>
      <c r="AS232" s="15"/>
      <c r="AT232" s="15"/>
      <c r="AU232" s="15"/>
      <c r="AV232" s="15"/>
      <c r="AW232" s="15"/>
      <c r="AX232" s="15"/>
      <c r="AY232" s="27">
        <f t="shared" si="13"/>
        <v>2874</v>
      </c>
      <c r="AZ232" s="27">
        <f t="shared" si="14"/>
        <v>7175</v>
      </c>
    </row>
    <row r="233" spans="1:52" x14ac:dyDescent="0.25">
      <c r="A233" s="13">
        <v>281</v>
      </c>
      <c r="B233" s="19" t="s">
        <v>504</v>
      </c>
      <c r="C233" s="26" t="s">
        <v>505</v>
      </c>
      <c r="D233" s="19" t="s">
        <v>42</v>
      </c>
      <c r="E233" s="16">
        <v>40</v>
      </c>
      <c r="F233" s="16">
        <v>100</v>
      </c>
      <c r="G233" s="16">
        <v>1552</v>
      </c>
      <c r="H233" s="16">
        <v>3876</v>
      </c>
      <c r="I233" s="16">
        <v>18</v>
      </c>
      <c r="J233" s="16">
        <v>44</v>
      </c>
      <c r="K233" s="16">
        <v>78</v>
      </c>
      <c r="L233" s="16">
        <v>193</v>
      </c>
      <c r="M233" s="16">
        <v>552</v>
      </c>
      <c r="N233" s="16">
        <v>1378</v>
      </c>
      <c r="O233" s="16">
        <v>153</v>
      </c>
      <c r="P233" s="16">
        <v>380</v>
      </c>
      <c r="Q233" s="16">
        <v>40</v>
      </c>
      <c r="R233" s="16">
        <v>100</v>
      </c>
      <c r="S233" s="16">
        <v>24</v>
      </c>
      <c r="T233" s="16">
        <v>56</v>
      </c>
      <c r="U233" s="16">
        <v>714</v>
      </c>
      <c r="V233" s="16">
        <v>1784</v>
      </c>
      <c r="W233" s="16">
        <v>128</v>
      </c>
      <c r="X233" s="16">
        <v>320</v>
      </c>
      <c r="Y233" s="16">
        <v>2</v>
      </c>
      <c r="Z233" s="16">
        <v>2</v>
      </c>
      <c r="AA233" s="16">
        <v>482</v>
      </c>
      <c r="AB233" s="16">
        <v>1202</v>
      </c>
      <c r="AC233" s="16">
        <v>396</v>
      </c>
      <c r="AD233" s="16">
        <v>990</v>
      </c>
      <c r="AE233" s="16">
        <v>96</v>
      </c>
      <c r="AF233" s="16">
        <v>240</v>
      </c>
      <c r="AG233" s="16">
        <v>80</v>
      </c>
      <c r="AH233" s="16">
        <v>200</v>
      </c>
      <c r="AI233" s="16">
        <v>768</v>
      </c>
      <c r="AJ233" s="16">
        <v>1920</v>
      </c>
      <c r="AK233" s="16">
        <v>160</v>
      </c>
      <c r="AL233" s="16">
        <v>400</v>
      </c>
      <c r="AM233" s="16">
        <v>20</v>
      </c>
      <c r="AN233" s="16">
        <v>48</v>
      </c>
      <c r="AO233" s="15">
        <v>4</v>
      </c>
      <c r="AP233" s="15">
        <v>10</v>
      </c>
      <c r="AQ233" s="15">
        <v>14</v>
      </c>
      <c r="AR233" s="15">
        <v>34</v>
      </c>
      <c r="AS233" s="15">
        <v>16</v>
      </c>
      <c r="AT233" s="15">
        <v>40</v>
      </c>
      <c r="AU233" s="15">
        <v>204</v>
      </c>
      <c r="AV233" s="15">
        <v>508</v>
      </c>
      <c r="AW233" s="15">
        <v>54</v>
      </c>
      <c r="AX233" s="15">
        <v>132</v>
      </c>
      <c r="AY233" s="27">
        <f t="shared" si="13"/>
        <v>5595</v>
      </c>
      <c r="AZ233" s="27">
        <f t="shared" si="14"/>
        <v>13957</v>
      </c>
    </row>
    <row r="234" spans="1:52" x14ac:dyDescent="0.25">
      <c r="A234" s="13">
        <v>282</v>
      </c>
      <c r="B234" s="19" t="s">
        <v>506</v>
      </c>
      <c r="C234" s="26" t="s">
        <v>507</v>
      </c>
      <c r="D234" s="19" t="s">
        <v>42</v>
      </c>
      <c r="E234" s="16">
        <v>1600</v>
      </c>
      <c r="F234" s="16">
        <v>4000</v>
      </c>
      <c r="G234" s="16">
        <v>14400</v>
      </c>
      <c r="H234" s="16">
        <v>36000</v>
      </c>
      <c r="I234" s="16">
        <v>28146</v>
      </c>
      <c r="J234" s="16">
        <v>70362</v>
      </c>
      <c r="K234" s="16">
        <v>14436</v>
      </c>
      <c r="L234" s="16">
        <v>36090</v>
      </c>
      <c r="M234" s="16">
        <v>7455</v>
      </c>
      <c r="N234" s="16">
        <v>18635</v>
      </c>
      <c r="O234" s="16">
        <v>10972</v>
      </c>
      <c r="P234" s="16">
        <v>27427</v>
      </c>
      <c r="Q234" s="16">
        <v>10457</v>
      </c>
      <c r="R234" s="16">
        <v>26139</v>
      </c>
      <c r="S234" s="16">
        <v>1440</v>
      </c>
      <c r="T234" s="16">
        <v>3600</v>
      </c>
      <c r="U234" s="16">
        <v>851</v>
      </c>
      <c r="V234" s="16">
        <v>2125</v>
      </c>
      <c r="W234" s="16">
        <v>3120</v>
      </c>
      <c r="X234" s="16">
        <v>7800</v>
      </c>
      <c r="Y234" s="16">
        <v>2896</v>
      </c>
      <c r="Z234" s="16">
        <v>7240</v>
      </c>
      <c r="AA234" s="16">
        <v>1723</v>
      </c>
      <c r="AB234" s="16">
        <v>4305</v>
      </c>
      <c r="AC234" s="16">
        <v>4132</v>
      </c>
      <c r="AD234" s="16">
        <v>10329</v>
      </c>
      <c r="AE234" s="16">
        <v>7544</v>
      </c>
      <c r="AF234" s="16">
        <v>18858</v>
      </c>
      <c r="AG234" s="16">
        <v>1928</v>
      </c>
      <c r="AH234" s="16">
        <v>4820</v>
      </c>
      <c r="AI234" s="16">
        <v>13040</v>
      </c>
      <c r="AJ234" s="16">
        <v>32600</v>
      </c>
      <c r="AK234" s="16">
        <v>84</v>
      </c>
      <c r="AL234" s="16">
        <v>208</v>
      </c>
      <c r="AM234" s="16">
        <v>800</v>
      </c>
      <c r="AN234" s="16">
        <v>2000</v>
      </c>
      <c r="AO234" s="15">
        <v>5610</v>
      </c>
      <c r="AP234" s="15">
        <v>14025</v>
      </c>
      <c r="AQ234" s="15">
        <v>5413</v>
      </c>
      <c r="AR234" s="15">
        <v>13530</v>
      </c>
      <c r="AS234" s="15">
        <v>28</v>
      </c>
      <c r="AT234" s="15">
        <v>70</v>
      </c>
      <c r="AU234" s="15">
        <v>5668</v>
      </c>
      <c r="AV234" s="15">
        <v>14168</v>
      </c>
      <c r="AW234" s="15">
        <v>890</v>
      </c>
      <c r="AX234" s="15">
        <v>2222</v>
      </c>
      <c r="AY234" s="27">
        <f t="shared" si="13"/>
        <v>142633</v>
      </c>
      <c r="AZ234" s="27">
        <f t="shared" si="14"/>
        <v>356553</v>
      </c>
    </row>
    <row r="235" spans="1:52" x14ac:dyDescent="0.25">
      <c r="A235" s="13">
        <v>284</v>
      </c>
      <c r="B235" s="19" t="s">
        <v>508</v>
      </c>
      <c r="C235" s="26" t="s">
        <v>509</v>
      </c>
      <c r="D235" s="19" t="s">
        <v>42</v>
      </c>
      <c r="E235" s="16">
        <v>88</v>
      </c>
      <c r="F235" s="16">
        <v>220</v>
      </c>
      <c r="G235" s="16"/>
      <c r="H235" s="16"/>
      <c r="I235" s="16">
        <v>3572</v>
      </c>
      <c r="J235" s="16">
        <v>8930</v>
      </c>
      <c r="K235" s="16">
        <v>376</v>
      </c>
      <c r="L235" s="16">
        <v>940</v>
      </c>
      <c r="M235" s="16">
        <v>1019</v>
      </c>
      <c r="N235" s="16">
        <v>2546</v>
      </c>
      <c r="O235" s="16">
        <v>420</v>
      </c>
      <c r="P235" s="16">
        <v>1050</v>
      </c>
      <c r="Q235" s="16"/>
      <c r="R235" s="16"/>
      <c r="S235" s="16">
        <v>9</v>
      </c>
      <c r="T235" s="16">
        <v>18</v>
      </c>
      <c r="U235" s="16">
        <v>348</v>
      </c>
      <c r="V235" s="16">
        <v>869</v>
      </c>
      <c r="W235" s="16">
        <v>324</v>
      </c>
      <c r="X235" s="16">
        <v>810</v>
      </c>
      <c r="Y235" s="16">
        <v>320</v>
      </c>
      <c r="Z235" s="16">
        <v>800</v>
      </c>
      <c r="AA235" s="16">
        <v>10</v>
      </c>
      <c r="AB235" s="16">
        <v>24</v>
      </c>
      <c r="AC235" s="16">
        <v>57</v>
      </c>
      <c r="AD235" s="16">
        <v>141</v>
      </c>
      <c r="AE235" s="16"/>
      <c r="AF235" s="16"/>
      <c r="AG235" s="16">
        <v>1440</v>
      </c>
      <c r="AH235" s="16">
        <v>3600</v>
      </c>
      <c r="AI235" s="16">
        <v>40</v>
      </c>
      <c r="AJ235" s="16">
        <v>100</v>
      </c>
      <c r="AK235" s="16">
        <v>452</v>
      </c>
      <c r="AL235" s="16">
        <v>1130</v>
      </c>
      <c r="AM235" s="16">
        <v>2592</v>
      </c>
      <c r="AN235" s="16">
        <v>6480</v>
      </c>
      <c r="AO235" s="15">
        <v>5058</v>
      </c>
      <c r="AP235" s="15">
        <v>12638</v>
      </c>
      <c r="AQ235" s="15">
        <v>430</v>
      </c>
      <c r="AR235" s="15">
        <v>1074</v>
      </c>
      <c r="AS235" s="15"/>
      <c r="AT235" s="15"/>
      <c r="AU235" s="15">
        <v>40</v>
      </c>
      <c r="AV235" s="15">
        <v>100</v>
      </c>
      <c r="AW235" s="15"/>
      <c r="AX235" s="15"/>
      <c r="AY235" s="27">
        <f t="shared" si="13"/>
        <v>16595</v>
      </c>
      <c r="AZ235" s="27">
        <f t="shared" si="14"/>
        <v>41470</v>
      </c>
    </row>
    <row r="236" spans="1:52" x14ac:dyDescent="0.25">
      <c r="A236" s="13">
        <v>286</v>
      </c>
      <c r="B236" s="19" t="s">
        <v>510</v>
      </c>
      <c r="C236" s="26" t="s">
        <v>511</v>
      </c>
      <c r="D236" s="19" t="s">
        <v>42</v>
      </c>
      <c r="E236" s="16"/>
      <c r="F236" s="16"/>
      <c r="G236" s="16">
        <v>60</v>
      </c>
      <c r="H236" s="16">
        <v>150</v>
      </c>
      <c r="I236" s="16">
        <v>320</v>
      </c>
      <c r="J236" s="16">
        <v>800</v>
      </c>
      <c r="K236" s="16">
        <v>20</v>
      </c>
      <c r="L236" s="16">
        <v>50</v>
      </c>
      <c r="M236" s="16">
        <v>362</v>
      </c>
      <c r="N236" s="16">
        <v>904</v>
      </c>
      <c r="O236" s="16"/>
      <c r="P236" s="16"/>
      <c r="Q236" s="16">
        <v>32</v>
      </c>
      <c r="R236" s="16">
        <v>80</v>
      </c>
      <c r="S236" s="16">
        <v>5</v>
      </c>
      <c r="T236" s="16">
        <v>10</v>
      </c>
      <c r="U236" s="16"/>
      <c r="V236" s="16"/>
      <c r="W236" s="16"/>
      <c r="X236" s="16"/>
      <c r="Y236" s="16"/>
      <c r="Z236" s="16"/>
      <c r="AA236" s="16">
        <v>80</v>
      </c>
      <c r="AB236" s="16">
        <v>200</v>
      </c>
      <c r="AC236" s="16"/>
      <c r="AD236" s="16"/>
      <c r="AE236" s="16"/>
      <c r="AF236" s="16"/>
      <c r="AG236" s="16"/>
      <c r="AH236" s="16"/>
      <c r="AI236" s="16">
        <v>976</v>
      </c>
      <c r="AJ236" s="16">
        <v>2440</v>
      </c>
      <c r="AK236" s="16"/>
      <c r="AL236" s="16"/>
      <c r="AM236" s="16"/>
      <c r="AN236" s="16"/>
      <c r="AO236" s="15">
        <v>48</v>
      </c>
      <c r="AP236" s="15">
        <v>120</v>
      </c>
      <c r="AQ236" s="15">
        <v>40</v>
      </c>
      <c r="AR236" s="15">
        <v>100</v>
      </c>
      <c r="AS236" s="15"/>
      <c r="AT236" s="15"/>
      <c r="AU236" s="15"/>
      <c r="AV236" s="15"/>
      <c r="AW236" s="15"/>
      <c r="AX236" s="15"/>
      <c r="AY236" s="27">
        <f t="shared" si="13"/>
        <v>1943</v>
      </c>
      <c r="AZ236" s="27">
        <f t="shared" si="14"/>
        <v>4854</v>
      </c>
    </row>
    <row r="237" spans="1:52" x14ac:dyDescent="0.25">
      <c r="A237" s="13">
        <v>288</v>
      </c>
      <c r="B237" s="19" t="s">
        <v>512</v>
      </c>
      <c r="C237" s="26" t="s">
        <v>513</v>
      </c>
      <c r="D237" s="19" t="s">
        <v>42</v>
      </c>
      <c r="E237" s="16"/>
      <c r="F237" s="16"/>
      <c r="G237" s="16">
        <v>40</v>
      </c>
      <c r="H237" s="16">
        <v>100</v>
      </c>
      <c r="I237" s="16"/>
      <c r="J237" s="16"/>
      <c r="K237" s="16"/>
      <c r="L237" s="16"/>
      <c r="M237" s="16"/>
      <c r="N237" s="16"/>
      <c r="O237" s="16"/>
      <c r="P237" s="16"/>
      <c r="Q237" s="16">
        <v>48</v>
      </c>
      <c r="R237" s="16">
        <v>120</v>
      </c>
      <c r="S237" s="16">
        <v>2</v>
      </c>
      <c r="T237" s="16">
        <v>2</v>
      </c>
      <c r="U237" s="16"/>
      <c r="V237" s="16"/>
      <c r="W237" s="16"/>
      <c r="X237" s="16"/>
      <c r="Y237" s="16"/>
      <c r="Z237" s="16"/>
      <c r="AA237" s="16"/>
      <c r="AB237" s="16"/>
      <c r="AC237" s="16">
        <v>18</v>
      </c>
      <c r="AD237" s="16">
        <v>44</v>
      </c>
      <c r="AE237" s="16"/>
      <c r="AF237" s="16"/>
      <c r="AG237" s="16"/>
      <c r="AH237" s="16"/>
      <c r="AI237" s="16"/>
      <c r="AJ237" s="16"/>
      <c r="AK237" s="16"/>
      <c r="AL237" s="16"/>
      <c r="AM237" s="16"/>
      <c r="AN237" s="16"/>
      <c r="AO237" s="15">
        <v>24</v>
      </c>
      <c r="AP237" s="15">
        <v>60</v>
      </c>
      <c r="AQ237" s="15"/>
      <c r="AR237" s="15"/>
      <c r="AS237" s="15"/>
      <c r="AT237" s="15"/>
      <c r="AU237" s="15"/>
      <c r="AV237" s="15"/>
      <c r="AW237" s="15"/>
      <c r="AX237" s="15"/>
      <c r="AY237" s="27">
        <f t="shared" si="13"/>
        <v>132</v>
      </c>
      <c r="AZ237" s="27">
        <f t="shared" si="14"/>
        <v>326</v>
      </c>
    </row>
    <row r="238" spans="1:52" x14ac:dyDescent="0.25">
      <c r="A238" s="13">
        <v>291</v>
      </c>
      <c r="B238" s="19" t="s">
        <v>514</v>
      </c>
      <c r="C238" s="26" t="s">
        <v>515</v>
      </c>
      <c r="D238" s="19" t="s">
        <v>42</v>
      </c>
      <c r="E238" s="16"/>
      <c r="F238" s="16"/>
      <c r="G238" s="16">
        <v>80</v>
      </c>
      <c r="H238" s="16">
        <v>200</v>
      </c>
      <c r="I238" s="16"/>
      <c r="J238" s="16"/>
      <c r="K238" s="16"/>
      <c r="L238" s="16"/>
      <c r="M238" s="16"/>
      <c r="N238" s="16"/>
      <c r="O238" s="16"/>
      <c r="P238" s="16"/>
      <c r="Q238" s="16"/>
      <c r="R238" s="16"/>
      <c r="S238" s="16">
        <v>2</v>
      </c>
      <c r="T238" s="16">
        <v>2</v>
      </c>
      <c r="U238" s="16"/>
      <c r="V238" s="16"/>
      <c r="W238" s="16"/>
      <c r="X238" s="16"/>
      <c r="Y238" s="16"/>
      <c r="Z238" s="16"/>
      <c r="AA238" s="16"/>
      <c r="AB238" s="16"/>
      <c r="AC238" s="16">
        <v>18</v>
      </c>
      <c r="AD238" s="16">
        <v>44</v>
      </c>
      <c r="AE238" s="16"/>
      <c r="AF238" s="16"/>
      <c r="AG238" s="16"/>
      <c r="AH238" s="16"/>
      <c r="AI238" s="16"/>
      <c r="AJ238" s="16"/>
      <c r="AK238" s="16"/>
      <c r="AL238" s="16"/>
      <c r="AM238" s="16"/>
      <c r="AN238" s="16"/>
      <c r="AO238" s="15"/>
      <c r="AP238" s="15"/>
      <c r="AQ238" s="15"/>
      <c r="AR238" s="15"/>
      <c r="AS238" s="15"/>
      <c r="AT238" s="15"/>
      <c r="AU238" s="15"/>
      <c r="AV238" s="15"/>
      <c r="AW238" s="15">
        <v>8</v>
      </c>
      <c r="AX238" s="15">
        <v>20</v>
      </c>
      <c r="AY238" s="27">
        <f t="shared" si="13"/>
        <v>108</v>
      </c>
      <c r="AZ238" s="27">
        <f t="shared" si="14"/>
        <v>266</v>
      </c>
    </row>
    <row r="239" spans="1:52" x14ac:dyDescent="0.25">
      <c r="A239" s="13">
        <v>292</v>
      </c>
      <c r="B239" s="19" t="s">
        <v>516</v>
      </c>
      <c r="C239" s="26" t="s">
        <v>517</v>
      </c>
      <c r="D239" s="19" t="s">
        <v>42</v>
      </c>
      <c r="E239" s="16">
        <v>7500</v>
      </c>
      <c r="F239" s="16">
        <v>18750</v>
      </c>
      <c r="G239" s="16">
        <v>1200</v>
      </c>
      <c r="H239" s="16">
        <v>3000</v>
      </c>
      <c r="I239" s="16">
        <v>14400</v>
      </c>
      <c r="J239" s="16">
        <v>36000</v>
      </c>
      <c r="K239" s="16">
        <v>7380</v>
      </c>
      <c r="L239" s="16">
        <v>18449</v>
      </c>
      <c r="M239" s="16">
        <v>76177</v>
      </c>
      <c r="N239" s="16">
        <v>190442</v>
      </c>
      <c r="O239" s="16">
        <v>2073</v>
      </c>
      <c r="P239" s="16">
        <v>5180</v>
      </c>
      <c r="Q239" s="16">
        <v>195</v>
      </c>
      <c r="R239" s="16">
        <v>485</v>
      </c>
      <c r="S239" s="16">
        <v>860</v>
      </c>
      <c r="T239" s="16">
        <v>2150</v>
      </c>
      <c r="U239" s="16">
        <v>516</v>
      </c>
      <c r="V239" s="16">
        <v>1290</v>
      </c>
      <c r="W239" s="16">
        <v>1680</v>
      </c>
      <c r="X239" s="16">
        <v>4200</v>
      </c>
      <c r="Y239" s="16">
        <v>1280</v>
      </c>
      <c r="Z239" s="16">
        <v>3200</v>
      </c>
      <c r="AA239" s="16">
        <v>323</v>
      </c>
      <c r="AB239" s="16">
        <v>805</v>
      </c>
      <c r="AC239" s="16">
        <v>3355</v>
      </c>
      <c r="AD239" s="16">
        <v>8386</v>
      </c>
      <c r="AE239" s="16">
        <v>11520</v>
      </c>
      <c r="AF239" s="16">
        <v>28800</v>
      </c>
      <c r="AG239" s="16">
        <v>2766</v>
      </c>
      <c r="AH239" s="16">
        <v>6912</v>
      </c>
      <c r="AI239" s="16">
        <v>8480</v>
      </c>
      <c r="AJ239" s="16">
        <v>21200</v>
      </c>
      <c r="AK239" s="16">
        <v>48048</v>
      </c>
      <c r="AL239" s="16">
        <v>120120</v>
      </c>
      <c r="AM239" s="16"/>
      <c r="AN239" s="16"/>
      <c r="AO239" s="15">
        <v>6600</v>
      </c>
      <c r="AP239" s="15">
        <v>16500</v>
      </c>
      <c r="AQ239" s="15">
        <v>4346</v>
      </c>
      <c r="AR239" s="15">
        <v>10864</v>
      </c>
      <c r="AS239" s="15">
        <v>20</v>
      </c>
      <c r="AT239" s="15">
        <v>48</v>
      </c>
      <c r="AU239" s="15"/>
      <c r="AV239" s="15"/>
      <c r="AW239" s="15"/>
      <c r="AX239" s="15"/>
      <c r="AY239" s="27">
        <f t="shared" si="13"/>
        <v>198719</v>
      </c>
      <c r="AZ239" s="27">
        <f t="shared" si="14"/>
        <v>496781</v>
      </c>
    </row>
    <row r="240" spans="1:52" x14ac:dyDescent="0.25">
      <c r="A240" s="13">
        <v>293</v>
      </c>
      <c r="B240" s="19" t="s">
        <v>518</v>
      </c>
      <c r="C240" s="26" t="s">
        <v>519</v>
      </c>
      <c r="D240" s="19" t="s">
        <v>42</v>
      </c>
      <c r="E240" s="16">
        <v>1284</v>
      </c>
      <c r="F240" s="16">
        <v>3210</v>
      </c>
      <c r="G240" s="16"/>
      <c r="H240" s="16"/>
      <c r="I240" s="16">
        <v>1536</v>
      </c>
      <c r="J240" s="16">
        <v>3840</v>
      </c>
      <c r="K240" s="16">
        <v>9667</v>
      </c>
      <c r="L240" s="16">
        <v>24166</v>
      </c>
      <c r="M240" s="16">
        <v>40000</v>
      </c>
      <c r="N240" s="16">
        <v>100000</v>
      </c>
      <c r="O240" s="16">
        <v>4985</v>
      </c>
      <c r="P240" s="16">
        <v>12460</v>
      </c>
      <c r="Q240" s="16">
        <v>82</v>
      </c>
      <c r="R240" s="16">
        <v>202</v>
      </c>
      <c r="S240" s="16">
        <v>860</v>
      </c>
      <c r="T240" s="16">
        <v>2150</v>
      </c>
      <c r="U240" s="16"/>
      <c r="V240" s="16"/>
      <c r="W240" s="16">
        <v>1840</v>
      </c>
      <c r="X240" s="16">
        <v>4600</v>
      </c>
      <c r="Y240" s="16">
        <v>896</v>
      </c>
      <c r="Z240" s="16">
        <v>2240</v>
      </c>
      <c r="AA240" s="16">
        <v>240</v>
      </c>
      <c r="AB240" s="16">
        <v>600</v>
      </c>
      <c r="AC240" s="16">
        <v>7532</v>
      </c>
      <c r="AD240" s="16">
        <v>18829</v>
      </c>
      <c r="AE240" s="16">
        <v>480</v>
      </c>
      <c r="AF240" s="16">
        <v>1200</v>
      </c>
      <c r="AG240" s="16">
        <v>232</v>
      </c>
      <c r="AH240" s="16">
        <v>576</v>
      </c>
      <c r="AI240" s="16">
        <v>800</v>
      </c>
      <c r="AJ240" s="16">
        <v>2000</v>
      </c>
      <c r="AK240" s="16">
        <v>96</v>
      </c>
      <c r="AL240" s="16">
        <v>240</v>
      </c>
      <c r="AM240" s="16"/>
      <c r="AN240" s="16"/>
      <c r="AO240" s="15">
        <v>19488</v>
      </c>
      <c r="AP240" s="15">
        <v>48720</v>
      </c>
      <c r="AQ240" s="15">
        <v>360</v>
      </c>
      <c r="AR240" s="15">
        <v>900</v>
      </c>
      <c r="AS240" s="15"/>
      <c r="AT240" s="15"/>
      <c r="AU240" s="15"/>
      <c r="AV240" s="15"/>
      <c r="AW240" s="15">
        <v>88</v>
      </c>
      <c r="AX240" s="15">
        <v>220</v>
      </c>
      <c r="AY240" s="27">
        <f t="shared" si="13"/>
        <v>90466</v>
      </c>
      <c r="AZ240" s="27">
        <f t="shared" si="14"/>
        <v>226153</v>
      </c>
    </row>
    <row r="241" spans="1:52" x14ac:dyDescent="0.25">
      <c r="A241" s="13">
        <v>294</v>
      </c>
      <c r="B241" s="19" t="s">
        <v>520</v>
      </c>
      <c r="C241" s="26" t="s">
        <v>521</v>
      </c>
      <c r="D241" s="19" t="s">
        <v>42</v>
      </c>
      <c r="E241" s="16">
        <v>2580</v>
      </c>
      <c r="F241" s="16">
        <v>6450</v>
      </c>
      <c r="G241" s="16">
        <v>4800</v>
      </c>
      <c r="H241" s="16">
        <v>12000</v>
      </c>
      <c r="I241" s="16">
        <v>11520</v>
      </c>
      <c r="J241" s="16">
        <v>28800</v>
      </c>
      <c r="K241" s="16">
        <v>1910</v>
      </c>
      <c r="L241" s="16">
        <v>4773</v>
      </c>
      <c r="M241" s="16">
        <v>39326</v>
      </c>
      <c r="N241" s="16">
        <v>98313</v>
      </c>
      <c r="O241" s="16">
        <v>840</v>
      </c>
      <c r="P241" s="16">
        <v>2100</v>
      </c>
      <c r="Q241" s="16">
        <v>1153</v>
      </c>
      <c r="R241" s="16">
        <v>2877</v>
      </c>
      <c r="S241" s="16">
        <v>430</v>
      </c>
      <c r="T241" s="16">
        <v>1075</v>
      </c>
      <c r="U241" s="16">
        <v>264</v>
      </c>
      <c r="V241" s="16">
        <v>660</v>
      </c>
      <c r="W241" s="16">
        <v>144</v>
      </c>
      <c r="X241" s="16">
        <v>360</v>
      </c>
      <c r="Y241" s="16">
        <v>234</v>
      </c>
      <c r="Z241" s="16">
        <v>584</v>
      </c>
      <c r="AA241" s="16">
        <v>300</v>
      </c>
      <c r="AB241" s="16">
        <v>750</v>
      </c>
      <c r="AC241" s="16">
        <v>1102</v>
      </c>
      <c r="AD241" s="16">
        <v>2753</v>
      </c>
      <c r="AE241" s="16"/>
      <c r="AF241" s="16"/>
      <c r="AG241" s="16">
        <v>520</v>
      </c>
      <c r="AH241" s="16">
        <v>1296</v>
      </c>
      <c r="AI241" s="16">
        <v>80</v>
      </c>
      <c r="AJ241" s="16">
        <v>200</v>
      </c>
      <c r="AK241" s="16">
        <v>2800</v>
      </c>
      <c r="AL241" s="16">
        <v>7000</v>
      </c>
      <c r="AM241" s="16">
        <v>24</v>
      </c>
      <c r="AN241" s="16">
        <v>60</v>
      </c>
      <c r="AO241" s="15">
        <v>5600</v>
      </c>
      <c r="AP241" s="15">
        <v>14000</v>
      </c>
      <c r="AQ241" s="15">
        <v>3260</v>
      </c>
      <c r="AR241" s="15">
        <v>8150</v>
      </c>
      <c r="AS241" s="15"/>
      <c r="AT241" s="15"/>
      <c r="AU241" s="15"/>
      <c r="AV241" s="15"/>
      <c r="AW241" s="15">
        <v>8</v>
      </c>
      <c r="AX241" s="15">
        <v>20</v>
      </c>
      <c r="AY241" s="27">
        <f t="shared" si="13"/>
        <v>76895</v>
      </c>
      <c r="AZ241" s="27">
        <f t="shared" si="14"/>
        <v>192221</v>
      </c>
    </row>
    <row r="242" spans="1:52" x14ac:dyDescent="0.25">
      <c r="A242" s="13">
        <v>295</v>
      </c>
      <c r="B242" s="19" t="s">
        <v>522</v>
      </c>
      <c r="C242" s="26" t="s">
        <v>523</v>
      </c>
      <c r="D242" s="19" t="s">
        <v>42</v>
      </c>
      <c r="E242" s="16"/>
      <c r="F242" s="16"/>
      <c r="G242" s="16"/>
      <c r="H242" s="16"/>
      <c r="I242" s="16"/>
      <c r="J242" s="16"/>
      <c r="K242" s="16">
        <v>1147</v>
      </c>
      <c r="L242" s="16">
        <v>2865</v>
      </c>
      <c r="M242" s="16"/>
      <c r="N242" s="16"/>
      <c r="O242" s="16">
        <v>729</v>
      </c>
      <c r="P242" s="16">
        <v>1820</v>
      </c>
      <c r="Q242" s="16">
        <v>82</v>
      </c>
      <c r="R242" s="16">
        <v>202</v>
      </c>
      <c r="S242" s="16">
        <v>234</v>
      </c>
      <c r="T242" s="16">
        <v>582</v>
      </c>
      <c r="U242" s="16">
        <v>440</v>
      </c>
      <c r="V242" s="16">
        <v>1100</v>
      </c>
      <c r="W242" s="16">
        <v>360</v>
      </c>
      <c r="X242" s="16">
        <v>900</v>
      </c>
      <c r="Y242" s="16">
        <v>46</v>
      </c>
      <c r="Z242" s="16">
        <v>112</v>
      </c>
      <c r="AA242" s="16">
        <v>120</v>
      </c>
      <c r="AB242" s="16">
        <v>300</v>
      </c>
      <c r="AC242" s="16">
        <v>893</v>
      </c>
      <c r="AD242" s="16">
        <v>2231</v>
      </c>
      <c r="AE242" s="16"/>
      <c r="AF242" s="16"/>
      <c r="AG242" s="16">
        <v>144</v>
      </c>
      <c r="AH242" s="16">
        <v>360</v>
      </c>
      <c r="AI242" s="16">
        <v>80</v>
      </c>
      <c r="AJ242" s="16">
        <v>200</v>
      </c>
      <c r="AK242" s="16"/>
      <c r="AL242" s="16"/>
      <c r="AM242" s="16"/>
      <c r="AN242" s="16"/>
      <c r="AO242" s="15">
        <v>3220</v>
      </c>
      <c r="AP242" s="15">
        <v>8050</v>
      </c>
      <c r="AQ242" s="15">
        <v>320</v>
      </c>
      <c r="AR242" s="15">
        <v>800</v>
      </c>
      <c r="AS242" s="15"/>
      <c r="AT242" s="15"/>
      <c r="AU242" s="15"/>
      <c r="AV242" s="15"/>
      <c r="AW242" s="15"/>
      <c r="AX242" s="15"/>
      <c r="AY242" s="27">
        <f t="shared" si="13"/>
        <v>7815</v>
      </c>
      <c r="AZ242" s="27">
        <f t="shared" si="14"/>
        <v>19522</v>
      </c>
    </row>
    <row r="243" spans="1:52" x14ac:dyDescent="0.25">
      <c r="A243" s="13">
        <v>296</v>
      </c>
      <c r="B243" s="19" t="s">
        <v>524</v>
      </c>
      <c r="C243" s="26" t="s">
        <v>525</v>
      </c>
      <c r="D243" s="19" t="s">
        <v>42</v>
      </c>
      <c r="E243" s="16">
        <v>17208</v>
      </c>
      <c r="F243" s="16">
        <v>43020</v>
      </c>
      <c r="G243" s="16">
        <v>40000</v>
      </c>
      <c r="H243" s="16">
        <v>100000</v>
      </c>
      <c r="I243" s="16">
        <v>184320</v>
      </c>
      <c r="J243" s="16">
        <v>460800</v>
      </c>
      <c r="K243" s="16">
        <v>20650</v>
      </c>
      <c r="L243" s="16">
        <v>51624</v>
      </c>
      <c r="M243" s="16">
        <v>89596</v>
      </c>
      <c r="N243" s="16">
        <v>223987</v>
      </c>
      <c r="O243" s="16">
        <v>23800</v>
      </c>
      <c r="P243" s="16">
        <v>59500</v>
      </c>
      <c r="Q243" s="16">
        <v>20171</v>
      </c>
      <c r="R243" s="16">
        <v>50421</v>
      </c>
      <c r="S243" s="16">
        <v>37805</v>
      </c>
      <c r="T243" s="16">
        <v>94512</v>
      </c>
      <c r="U243" s="16">
        <v>1980</v>
      </c>
      <c r="V243" s="16">
        <v>4948</v>
      </c>
      <c r="W243" s="16">
        <v>19800</v>
      </c>
      <c r="X243" s="16">
        <v>49500</v>
      </c>
      <c r="Y243" s="16">
        <v>31360</v>
      </c>
      <c r="Z243" s="16">
        <v>78400</v>
      </c>
      <c r="AA243" s="16">
        <v>8020</v>
      </c>
      <c r="AB243" s="16">
        <v>20050</v>
      </c>
      <c r="AC243" s="16">
        <v>26155</v>
      </c>
      <c r="AD243" s="16">
        <v>65386</v>
      </c>
      <c r="AE243" s="16">
        <v>67201</v>
      </c>
      <c r="AF243" s="16">
        <v>168000</v>
      </c>
      <c r="AG243" s="16">
        <v>38400</v>
      </c>
      <c r="AH243" s="16">
        <v>96000</v>
      </c>
      <c r="AI243" s="16">
        <v>32000</v>
      </c>
      <c r="AJ243" s="16">
        <v>80000</v>
      </c>
      <c r="AK243" s="16">
        <v>160136</v>
      </c>
      <c r="AL243" s="16">
        <v>400338</v>
      </c>
      <c r="AM243" s="16">
        <v>96000</v>
      </c>
      <c r="AN243" s="16">
        <v>240000</v>
      </c>
      <c r="AO243" s="15">
        <v>35200</v>
      </c>
      <c r="AP243" s="15">
        <v>88000</v>
      </c>
      <c r="AQ243" s="15">
        <v>13018</v>
      </c>
      <c r="AR243" s="15">
        <v>32544</v>
      </c>
      <c r="AS243" s="15">
        <v>180</v>
      </c>
      <c r="AT243" s="15">
        <v>450</v>
      </c>
      <c r="AU243" s="15"/>
      <c r="AV243" s="15"/>
      <c r="AW243" s="15">
        <v>1140</v>
      </c>
      <c r="AX243" s="15">
        <v>2846</v>
      </c>
      <c r="AY243" s="27">
        <f t="shared" si="13"/>
        <v>964140</v>
      </c>
      <c r="AZ243" s="27">
        <f t="shared" si="14"/>
        <v>2410326</v>
      </c>
    </row>
    <row r="244" spans="1:52" x14ac:dyDescent="0.25">
      <c r="A244" s="13">
        <v>297</v>
      </c>
      <c r="B244" s="19" t="s">
        <v>526</v>
      </c>
      <c r="C244" s="26" t="s">
        <v>527</v>
      </c>
      <c r="D244" s="19" t="s">
        <v>42</v>
      </c>
      <c r="E244" s="16">
        <v>10428</v>
      </c>
      <c r="F244" s="16">
        <v>26070</v>
      </c>
      <c r="G244" s="16">
        <v>44224</v>
      </c>
      <c r="H244" s="16">
        <v>110560</v>
      </c>
      <c r="I244" s="16">
        <v>110400</v>
      </c>
      <c r="J244" s="16">
        <v>276000</v>
      </c>
      <c r="K244" s="16">
        <v>14834</v>
      </c>
      <c r="L244" s="16">
        <v>37083</v>
      </c>
      <c r="M244" s="16">
        <v>71396</v>
      </c>
      <c r="N244" s="16">
        <v>178484</v>
      </c>
      <c r="O244" s="16">
        <v>17220</v>
      </c>
      <c r="P244" s="16">
        <v>43050</v>
      </c>
      <c r="Q244" s="16">
        <v>16294</v>
      </c>
      <c r="R244" s="16">
        <v>40732</v>
      </c>
      <c r="S244" s="16">
        <v>26295</v>
      </c>
      <c r="T244" s="16">
        <v>65736</v>
      </c>
      <c r="U244" s="16">
        <v>9522</v>
      </c>
      <c r="V244" s="16">
        <v>23804</v>
      </c>
      <c r="W244" s="16">
        <v>15128</v>
      </c>
      <c r="X244" s="16">
        <v>37820</v>
      </c>
      <c r="Y244" s="16">
        <v>10880</v>
      </c>
      <c r="Z244" s="16">
        <v>27200</v>
      </c>
      <c r="AA244" s="16">
        <v>4400</v>
      </c>
      <c r="AB244" s="16">
        <v>11000</v>
      </c>
      <c r="AC244" s="16">
        <v>17121</v>
      </c>
      <c r="AD244" s="16">
        <v>42802</v>
      </c>
      <c r="AE244" s="16">
        <v>44801</v>
      </c>
      <c r="AF244" s="16">
        <v>111999</v>
      </c>
      <c r="AG244" s="16">
        <v>4608</v>
      </c>
      <c r="AH244" s="16">
        <v>11520</v>
      </c>
      <c r="AI244" s="16">
        <v>8000</v>
      </c>
      <c r="AJ244" s="16">
        <v>20000</v>
      </c>
      <c r="AK244" s="16">
        <v>80088</v>
      </c>
      <c r="AL244" s="16">
        <v>200218</v>
      </c>
      <c r="AM244" s="16">
        <v>24000</v>
      </c>
      <c r="AN244" s="16">
        <v>60000</v>
      </c>
      <c r="AO244" s="15">
        <v>56106</v>
      </c>
      <c r="AP244" s="15">
        <v>140264</v>
      </c>
      <c r="AQ244" s="15">
        <v>7863</v>
      </c>
      <c r="AR244" s="15">
        <v>19655</v>
      </c>
      <c r="AS244" s="15">
        <v>320</v>
      </c>
      <c r="AT244" s="15">
        <v>800</v>
      </c>
      <c r="AU244" s="15"/>
      <c r="AV244" s="15"/>
      <c r="AW244" s="15">
        <v>2330</v>
      </c>
      <c r="AX244" s="15">
        <v>5824</v>
      </c>
      <c r="AY244" s="27">
        <f t="shared" ref="AY244:AY283" si="15">SUM(E244+G244+I244+K244+M244+O244+Q244+S244+U244+W244+Y244+AA244+AC244+AE244+AG244+AI244+AK244+AM244+AO244+AQ244+AS244+AU244+AW244)</f>
        <v>596258</v>
      </c>
      <c r="AZ244" s="27">
        <f t="shared" ref="AZ244:AZ283" si="16">SUM(F244+H244+J244+L244+N244+P244+R244+T244+V244+X244+Z244+AB244+AD244+AF244+AH244+AJ244+AL244+AN244+AP244+AR244+AT244+AV244+AX244)</f>
        <v>1490621</v>
      </c>
    </row>
    <row r="245" spans="1:52" x14ac:dyDescent="0.25">
      <c r="A245" s="13">
        <v>298</v>
      </c>
      <c r="B245" s="19" t="s">
        <v>528</v>
      </c>
      <c r="C245" s="26" t="s">
        <v>529</v>
      </c>
      <c r="D245" s="19" t="s">
        <v>42</v>
      </c>
      <c r="E245" s="16">
        <v>5676</v>
      </c>
      <c r="F245" s="16">
        <v>14190</v>
      </c>
      <c r="G245" s="16"/>
      <c r="H245" s="16"/>
      <c r="I245" s="16">
        <v>115200</v>
      </c>
      <c r="J245" s="16">
        <v>288000</v>
      </c>
      <c r="K245" s="16">
        <v>20878</v>
      </c>
      <c r="L245" s="16">
        <v>52193</v>
      </c>
      <c r="M245" s="16">
        <v>36320</v>
      </c>
      <c r="N245" s="16">
        <v>90800</v>
      </c>
      <c r="O245" s="16">
        <v>16089</v>
      </c>
      <c r="P245" s="16">
        <v>40220</v>
      </c>
      <c r="Q245" s="16">
        <v>8132</v>
      </c>
      <c r="R245" s="16">
        <v>20330</v>
      </c>
      <c r="S245" s="16">
        <v>5260</v>
      </c>
      <c r="T245" s="16">
        <v>13148</v>
      </c>
      <c r="U245" s="16">
        <v>10454</v>
      </c>
      <c r="V245" s="16">
        <v>26135</v>
      </c>
      <c r="W245" s="16">
        <v>13120</v>
      </c>
      <c r="X245" s="16">
        <v>32800</v>
      </c>
      <c r="Y245" s="16">
        <v>10880</v>
      </c>
      <c r="Z245" s="16">
        <v>27200</v>
      </c>
      <c r="AA245" s="16">
        <v>2400</v>
      </c>
      <c r="AB245" s="16">
        <v>6000</v>
      </c>
      <c r="AC245" s="16">
        <v>14419</v>
      </c>
      <c r="AD245" s="16">
        <v>36047</v>
      </c>
      <c r="AE245" s="16">
        <v>64000</v>
      </c>
      <c r="AF245" s="16">
        <v>160000</v>
      </c>
      <c r="AG245" s="16">
        <v>11640</v>
      </c>
      <c r="AH245" s="16">
        <v>29100</v>
      </c>
      <c r="AI245" s="16">
        <v>12000</v>
      </c>
      <c r="AJ245" s="16">
        <v>30000</v>
      </c>
      <c r="AK245" s="16">
        <v>23288</v>
      </c>
      <c r="AL245" s="16">
        <v>58218</v>
      </c>
      <c r="AM245" s="16">
        <v>120000</v>
      </c>
      <c r="AN245" s="16">
        <v>300000</v>
      </c>
      <c r="AO245" s="15">
        <v>14055</v>
      </c>
      <c r="AP245" s="15">
        <v>35136</v>
      </c>
      <c r="AQ245" s="15">
        <v>5928</v>
      </c>
      <c r="AR245" s="15">
        <v>14818</v>
      </c>
      <c r="AS245" s="15">
        <v>340</v>
      </c>
      <c r="AT245" s="15">
        <v>850</v>
      </c>
      <c r="AU245" s="15"/>
      <c r="AV245" s="15"/>
      <c r="AW245" s="15">
        <v>2490</v>
      </c>
      <c r="AX245" s="15">
        <v>6224</v>
      </c>
      <c r="AY245" s="27">
        <f t="shared" si="15"/>
        <v>512569</v>
      </c>
      <c r="AZ245" s="27">
        <f t="shared" si="16"/>
        <v>1281409</v>
      </c>
    </row>
    <row r="246" spans="1:52" x14ac:dyDescent="0.25">
      <c r="A246" s="13">
        <v>299</v>
      </c>
      <c r="B246" s="19" t="s">
        <v>530</v>
      </c>
      <c r="C246" s="26" t="s">
        <v>531</v>
      </c>
      <c r="D246" s="19" t="s">
        <v>42</v>
      </c>
      <c r="E246" s="16">
        <v>10548</v>
      </c>
      <c r="F246" s="16">
        <v>26370</v>
      </c>
      <c r="G246" s="16">
        <v>48000</v>
      </c>
      <c r="H246" s="16">
        <v>120000</v>
      </c>
      <c r="I246" s="16">
        <v>27360</v>
      </c>
      <c r="J246" s="16">
        <v>68400</v>
      </c>
      <c r="K246" s="16">
        <v>230</v>
      </c>
      <c r="L246" s="16">
        <v>574</v>
      </c>
      <c r="M246" s="16">
        <v>50088</v>
      </c>
      <c r="N246" s="16">
        <v>125216</v>
      </c>
      <c r="O246" s="16">
        <v>3360</v>
      </c>
      <c r="P246" s="16">
        <v>8400</v>
      </c>
      <c r="Q246" s="16">
        <v>2034</v>
      </c>
      <c r="R246" s="16">
        <v>5082</v>
      </c>
      <c r="S246" s="16"/>
      <c r="T246" s="16"/>
      <c r="U246" s="16"/>
      <c r="V246" s="16"/>
      <c r="W246" s="16">
        <v>1960</v>
      </c>
      <c r="X246" s="16">
        <v>4900</v>
      </c>
      <c r="Y246" s="16">
        <v>1984</v>
      </c>
      <c r="Z246" s="16">
        <v>4960</v>
      </c>
      <c r="AA246" s="16">
        <v>243</v>
      </c>
      <c r="AB246" s="16">
        <v>605</v>
      </c>
      <c r="AC246" s="16">
        <v>391</v>
      </c>
      <c r="AD246" s="16">
        <v>975</v>
      </c>
      <c r="AE246" s="16">
        <v>37</v>
      </c>
      <c r="AF246" s="16">
        <v>91</v>
      </c>
      <c r="AG246" s="16"/>
      <c r="AH246" s="16"/>
      <c r="AI246" s="16">
        <v>40</v>
      </c>
      <c r="AJ246" s="16">
        <v>100</v>
      </c>
      <c r="AK246" s="16">
        <v>1680</v>
      </c>
      <c r="AL246" s="16">
        <v>4200</v>
      </c>
      <c r="AM246" s="16">
        <v>2400</v>
      </c>
      <c r="AN246" s="16">
        <v>6000</v>
      </c>
      <c r="AO246" s="15">
        <v>11688</v>
      </c>
      <c r="AP246" s="15">
        <v>29220</v>
      </c>
      <c r="AQ246" s="15">
        <v>1022</v>
      </c>
      <c r="AR246" s="15">
        <v>2554</v>
      </c>
      <c r="AS246" s="15">
        <v>128</v>
      </c>
      <c r="AT246" s="15">
        <v>320</v>
      </c>
      <c r="AU246" s="15"/>
      <c r="AV246" s="15"/>
      <c r="AW246" s="15">
        <v>480</v>
      </c>
      <c r="AX246" s="15">
        <v>1200</v>
      </c>
      <c r="AY246" s="27">
        <f t="shared" si="15"/>
        <v>163673</v>
      </c>
      <c r="AZ246" s="27">
        <f t="shared" si="16"/>
        <v>409167</v>
      </c>
    </row>
    <row r="247" spans="1:52" x14ac:dyDescent="0.25">
      <c r="A247" s="13">
        <v>300</v>
      </c>
      <c r="B247" s="19" t="s">
        <v>532</v>
      </c>
      <c r="C247" s="26" t="s">
        <v>533</v>
      </c>
      <c r="D247" s="19" t="s">
        <v>42</v>
      </c>
      <c r="E247" s="16">
        <v>9084</v>
      </c>
      <c r="F247" s="16">
        <v>22710</v>
      </c>
      <c r="G247" s="16"/>
      <c r="H247" s="16"/>
      <c r="I247" s="16">
        <v>25920</v>
      </c>
      <c r="J247" s="16">
        <v>64800</v>
      </c>
      <c r="K247" s="16">
        <v>1941</v>
      </c>
      <c r="L247" s="16">
        <v>4851</v>
      </c>
      <c r="M247" s="16">
        <v>48000</v>
      </c>
      <c r="N247" s="16">
        <v>120000</v>
      </c>
      <c r="O247" s="16">
        <v>4760</v>
      </c>
      <c r="P247" s="16">
        <v>11900</v>
      </c>
      <c r="Q247" s="16">
        <v>1302</v>
      </c>
      <c r="R247" s="16">
        <v>3252</v>
      </c>
      <c r="S247" s="16">
        <v>860</v>
      </c>
      <c r="T247" s="16">
        <v>2150</v>
      </c>
      <c r="U247" s="16"/>
      <c r="V247" s="16"/>
      <c r="W247" s="16">
        <v>1240</v>
      </c>
      <c r="X247" s="16">
        <v>3100</v>
      </c>
      <c r="Y247" s="16">
        <v>2240</v>
      </c>
      <c r="Z247" s="16">
        <v>5600</v>
      </c>
      <c r="AA247" s="16">
        <v>160</v>
      </c>
      <c r="AB247" s="16">
        <v>400</v>
      </c>
      <c r="AC247" s="16">
        <v>559</v>
      </c>
      <c r="AD247" s="16">
        <v>1395</v>
      </c>
      <c r="AE247" s="16"/>
      <c r="AF247" s="16"/>
      <c r="AG247" s="16"/>
      <c r="AH247" s="16"/>
      <c r="AI247" s="16">
        <v>1120</v>
      </c>
      <c r="AJ247" s="16">
        <v>2800</v>
      </c>
      <c r="AK247" s="16">
        <v>16</v>
      </c>
      <c r="AL247" s="16">
        <v>40</v>
      </c>
      <c r="AM247" s="16">
        <v>2400</v>
      </c>
      <c r="AN247" s="16">
        <v>6000</v>
      </c>
      <c r="AO247" s="15">
        <v>4928</v>
      </c>
      <c r="AP247" s="15">
        <v>12320</v>
      </c>
      <c r="AQ247" s="15">
        <v>4184</v>
      </c>
      <c r="AR247" s="15">
        <v>10458</v>
      </c>
      <c r="AS247" s="15">
        <v>128</v>
      </c>
      <c r="AT247" s="15">
        <v>320</v>
      </c>
      <c r="AU247" s="15"/>
      <c r="AV247" s="15"/>
      <c r="AW247" s="15">
        <v>480</v>
      </c>
      <c r="AX247" s="15">
        <v>1200</v>
      </c>
      <c r="AY247" s="27">
        <f t="shared" si="15"/>
        <v>109322</v>
      </c>
      <c r="AZ247" s="27">
        <f t="shared" si="16"/>
        <v>273296</v>
      </c>
    </row>
    <row r="248" spans="1:52" x14ac:dyDescent="0.25">
      <c r="A248" s="13">
        <v>301</v>
      </c>
      <c r="B248" s="19" t="s">
        <v>534</v>
      </c>
      <c r="C248" s="26" t="s">
        <v>535</v>
      </c>
      <c r="D248" s="19" t="s">
        <v>42</v>
      </c>
      <c r="E248" s="16">
        <v>1740</v>
      </c>
      <c r="F248" s="16">
        <v>4350</v>
      </c>
      <c r="G248" s="16">
        <v>56000</v>
      </c>
      <c r="H248" s="16">
        <v>140000</v>
      </c>
      <c r="I248" s="16">
        <v>18240</v>
      </c>
      <c r="J248" s="16">
        <v>45600</v>
      </c>
      <c r="K248" s="16">
        <v>8093</v>
      </c>
      <c r="L248" s="16">
        <v>20232</v>
      </c>
      <c r="M248" s="16">
        <v>28960</v>
      </c>
      <c r="N248" s="16">
        <v>72400</v>
      </c>
      <c r="O248" s="16">
        <v>30800</v>
      </c>
      <c r="P248" s="16">
        <v>77000</v>
      </c>
      <c r="Q248" s="16">
        <v>6912</v>
      </c>
      <c r="R248" s="16">
        <v>17280</v>
      </c>
      <c r="S248" s="16">
        <v>9157</v>
      </c>
      <c r="T248" s="16">
        <v>22890</v>
      </c>
      <c r="U248" s="16">
        <v>1076</v>
      </c>
      <c r="V248" s="16">
        <v>2690</v>
      </c>
      <c r="W248" s="16">
        <v>3200</v>
      </c>
      <c r="X248" s="16">
        <v>8000</v>
      </c>
      <c r="Y248" s="16">
        <v>8320</v>
      </c>
      <c r="Z248" s="16">
        <v>20800</v>
      </c>
      <c r="AA248" s="16">
        <v>2400</v>
      </c>
      <c r="AB248" s="16">
        <v>6000</v>
      </c>
      <c r="AC248" s="16">
        <v>12340</v>
      </c>
      <c r="AD248" s="16">
        <v>30849</v>
      </c>
      <c r="AE248" s="16">
        <v>14400</v>
      </c>
      <c r="AF248" s="16">
        <v>36000</v>
      </c>
      <c r="AG248" s="16">
        <v>8640</v>
      </c>
      <c r="AH248" s="16">
        <v>21600</v>
      </c>
      <c r="AI248" s="16">
        <v>800</v>
      </c>
      <c r="AJ248" s="16">
        <v>2000</v>
      </c>
      <c r="AK248" s="16">
        <v>6240</v>
      </c>
      <c r="AL248" s="16">
        <v>15600</v>
      </c>
      <c r="AM248" s="16">
        <v>32000</v>
      </c>
      <c r="AN248" s="16">
        <v>80000</v>
      </c>
      <c r="AO248" s="15">
        <v>8673</v>
      </c>
      <c r="AP248" s="15">
        <v>21682</v>
      </c>
      <c r="AQ248" s="15">
        <v>12912</v>
      </c>
      <c r="AR248" s="15">
        <v>32278</v>
      </c>
      <c r="AS248" s="15">
        <v>28</v>
      </c>
      <c r="AT248" s="15">
        <v>70</v>
      </c>
      <c r="AU248" s="15"/>
      <c r="AV248" s="15"/>
      <c r="AW248" s="15">
        <v>1312</v>
      </c>
      <c r="AX248" s="15">
        <v>3280</v>
      </c>
      <c r="AY248" s="27">
        <f t="shared" si="15"/>
        <v>272243</v>
      </c>
      <c r="AZ248" s="27">
        <f t="shared" si="16"/>
        <v>680601</v>
      </c>
    </row>
    <row r="249" spans="1:52" x14ac:dyDescent="0.25">
      <c r="A249" s="13">
        <v>302</v>
      </c>
      <c r="B249" s="19" t="s">
        <v>536</v>
      </c>
      <c r="C249" s="26" t="s">
        <v>537</v>
      </c>
      <c r="D249" s="19" t="s">
        <v>42</v>
      </c>
      <c r="E249" s="16"/>
      <c r="F249" s="16"/>
      <c r="G249" s="16"/>
      <c r="H249" s="16"/>
      <c r="I249" s="16">
        <v>43200</v>
      </c>
      <c r="J249" s="16">
        <v>108000</v>
      </c>
      <c r="K249" s="16">
        <v>45252</v>
      </c>
      <c r="L249" s="16">
        <v>113130</v>
      </c>
      <c r="M249" s="16">
        <v>70240</v>
      </c>
      <c r="N249" s="16">
        <v>175600</v>
      </c>
      <c r="O249" s="16">
        <v>30017</v>
      </c>
      <c r="P249" s="16">
        <v>75040</v>
      </c>
      <c r="Q249" s="16">
        <v>13216</v>
      </c>
      <c r="R249" s="16">
        <v>33036</v>
      </c>
      <c r="S249" s="16">
        <v>8600</v>
      </c>
      <c r="T249" s="16">
        <v>21500</v>
      </c>
      <c r="U249" s="16">
        <v>21</v>
      </c>
      <c r="V249" s="16">
        <v>51</v>
      </c>
      <c r="W249" s="16">
        <v>6400</v>
      </c>
      <c r="X249" s="16">
        <v>16000</v>
      </c>
      <c r="Y249" s="16">
        <v>8000</v>
      </c>
      <c r="Z249" s="16">
        <v>20000</v>
      </c>
      <c r="AA249" s="16">
        <v>2400</v>
      </c>
      <c r="AB249" s="16">
        <v>6000</v>
      </c>
      <c r="AC249" s="16">
        <v>21310</v>
      </c>
      <c r="AD249" s="16">
        <v>53273</v>
      </c>
      <c r="AE249" s="16">
        <v>32000</v>
      </c>
      <c r="AF249" s="16">
        <v>80000</v>
      </c>
      <c r="AG249" s="16">
        <v>6452</v>
      </c>
      <c r="AH249" s="16">
        <v>16128</v>
      </c>
      <c r="AI249" s="16">
        <v>25600</v>
      </c>
      <c r="AJ249" s="16">
        <v>64000</v>
      </c>
      <c r="AK249" s="16">
        <v>12008</v>
      </c>
      <c r="AL249" s="16">
        <v>30018</v>
      </c>
      <c r="AM249" s="16">
        <v>2400</v>
      </c>
      <c r="AN249" s="16">
        <v>6000</v>
      </c>
      <c r="AO249" s="15">
        <v>4552</v>
      </c>
      <c r="AP249" s="15">
        <v>11380</v>
      </c>
      <c r="AQ249" s="15">
        <v>6960</v>
      </c>
      <c r="AR249" s="15">
        <v>17400</v>
      </c>
      <c r="AS249" s="15">
        <v>28</v>
      </c>
      <c r="AT249" s="15">
        <v>70</v>
      </c>
      <c r="AU249" s="15"/>
      <c r="AV249" s="15"/>
      <c r="AW249" s="15">
        <v>1272</v>
      </c>
      <c r="AX249" s="15">
        <v>3176</v>
      </c>
      <c r="AY249" s="27">
        <f t="shared" si="15"/>
        <v>339928</v>
      </c>
      <c r="AZ249" s="27">
        <f t="shared" si="16"/>
        <v>849802</v>
      </c>
    </row>
    <row r="250" spans="1:52" x14ac:dyDescent="0.25">
      <c r="A250" s="13">
        <v>303</v>
      </c>
      <c r="B250" s="19" t="s">
        <v>538</v>
      </c>
      <c r="C250" s="26" t="s">
        <v>539</v>
      </c>
      <c r="D250" s="19" t="s">
        <v>42</v>
      </c>
      <c r="E250" s="16">
        <v>1200</v>
      </c>
      <c r="F250" s="16">
        <v>3000</v>
      </c>
      <c r="G250" s="16">
        <v>170</v>
      </c>
      <c r="H250" s="16">
        <v>422</v>
      </c>
      <c r="I250" s="16">
        <v>12322</v>
      </c>
      <c r="J250" s="16">
        <v>30802</v>
      </c>
      <c r="K250" s="16">
        <v>240</v>
      </c>
      <c r="L250" s="16">
        <v>600</v>
      </c>
      <c r="M250" s="16">
        <v>488</v>
      </c>
      <c r="N250" s="16">
        <v>1220</v>
      </c>
      <c r="O250" s="16">
        <v>397</v>
      </c>
      <c r="P250" s="16">
        <v>990</v>
      </c>
      <c r="Q250" s="16">
        <v>244</v>
      </c>
      <c r="R250" s="16">
        <v>608</v>
      </c>
      <c r="S250" s="16">
        <v>600</v>
      </c>
      <c r="T250" s="16">
        <v>1500</v>
      </c>
      <c r="U250" s="16">
        <v>195</v>
      </c>
      <c r="V250" s="16">
        <v>485</v>
      </c>
      <c r="W250" s="16">
        <v>2680</v>
      </c>
      <c r="X250" s="16">
        <v>6700</v>
      </c>
      <c r="Y250" s="16">
        <v>2432</v>
      </c>
      <c r="Z250" s="16">
        <v>6080</v>
      </c>
      <c r="AA250" s="16"/>
      <c r="AB250" s="16"/>
      <c r="AC250" s="16">
        <v>2574</v>
      </c>
      <c r="AD250" s="16">
        <v>6435</v>
      </c>
      <c r="AE250" s="16">
        <v>360</v>
      </c>
      <c r="AF250" s="16">
        <v>900</v>
      </c>
      <c r="AG250" s="16">
        <v>340</v>
      </c>
      <c r="AH250" s="16">
        <v>850</v>
      </c>
      <c r="AI250" s="16">
        <v>4800</v>
      </c>
      <c r="AJ250" s="16">
        <v>12000</v>
      </c>
      <c r="AK250" s="16">
        <v>48</v>
      </c>
      <c r="AL250" s="16">
        <v>120</v>
      </c>
      <c r="AM250" s="16">
        <v>288</v>
      </c>
      <c r="AN250" s="16">
        <v>720</v>
      </c>
      <c r="AO250" s="15"/>
      <c r="AP250" s="15"/>
      <c r="AQ250" s="15">
        <v>108</v>
      </c>
      <c r="AR250" s="15">
        <v>270</v>
      </c>
      <c r="AS250" s="15"/>
      <c r="AT250" s="15"/>
      <c r="AU250" s="15"/>
      <c r="AV250" s="15"/>
      <c r="AW250" s="15"/>
      <c r="AX250" s="15"/>
      <c r="AY250" s="27">
        <f t="shared" si="15"/>
        <v>29486</v>
      </c>
      <c r="AZ250" s="27">
        <f t="shared" si="16"/>
        <v>73702</v>
      </c>
    </row>
    <row r="251" spans="1:52" x14ac:dyDescent="0.25">
      <c r="A251" s="13">
        <v>304</v>
      </c>
      <c r="B251" s="19" t="s">
        <v>540</v>
      </c>
      <c r="C251" s="26" t="s">
        <v>541</v>
      </c>
      <c r="D251" s="19" t="s">
        <v>42</v>
      </c>
      <c r="E251" s="16">
        <v>120</v>
      </c>
      <c r="F251" s="16">
        <v>300</v>
      </c>
      <c r="G251" s="16">
        <v>78</v>
      </c>
      <c r="H251" s="16">
        <v>192</v>
      </c>
      <c r="I251" s="16">
        <v>74</v>
      </c>
      <c r="J251" s="16">
        <v>184</v>
      </c>
      <c r="K251" s="16">
        <v>158</v>
      </c>
      <c r="L251" s="16">
        <v>392</v>
      </c>
      <c r="M251" s="16">
        <v>3196</v>
      </c>
      <c r="N251" s="16">
        <v>7986</v>
      </c>
      <c r="O251" s="16"/>
      <c r="P251" s="16"/>
      <c r="Q251" s="16"/>
      <c r="R251" s="16"/>
      <c r="S251" s="16">
        <v>16</v>
      </c>
      <c r="T251" s="16">
        <v>36</v>
      </c>
      <c r="U251" s="16">
        <v>440</v>
      </c>
      <c r="V251" s="16">
        <v>1100</v>
      </c>
      <c r="W251" s="16">
        <v>88</v>
      </c>
      <c r="X251" s="16">
        <v>220</v>
      </c>
      <c r="Y251" s="16">
        <v>24</v>
      </c>
      <c r="Z251" s="16">
        <v>56</v>
      </c>
      <c r="AA251" s="16">
        <v>3</v>
      </c>
      <c r="AB251" s="16">
        <v>6</v>
      </c>
      <c r="AC251" s="16">
        <v>213</v>
      </c>
      <c r="AD251" s="16">
        <v>530</v>
      </c>
      <c r="AE251" s="16">
        <v>384</v>
      </c>
      <c r="AF251" s="16">
        <v>960</v>
      </c>
      <c r="AG251" s="16">
        <v>102</v>
      </c>
      <c r="AH251" s="16">
        <v>252</v>
      </c>
      <c r="AI251" s="16">
        <v>144</v>
      </c>
      <c r="AJ251" s="16">
        <v>360</v>
      </c>
      <c r="AK251" s="16"/>
      <c r="AL251" s="16"/>
      <c r="AM251" s="16">
        <v>144</v>
      </c>
      <c r="AN251" s="16">
        <v>360</v>
      </c>
      <c r="AO251" s="15">
        <v>1008</v>
      </c>
      <c r="AP251" s="15">
        <v>2520</v>
      </c>
      <c r="AQ251" s="15">
        <v>35</v>
      </c>
      <c r="AR251" s="15">
        <v>84</v>
      </c>
      <c r="AS251" s="15"/>
      <c r="AT251" s="15"/>
      <c r="AU251" s="15"/>
      <c r="AV251" s="15"/>
      <c r="AW251" s="15">
        <v>4</v>
      </c>
      <c r="AX251" s="15">
        <v>6</v>
      </c>
      <c r="AY251" s="27">
        <f t="shared" si="15"/>
        <v>6231</v>
      </c>
      <c r="AZ251" s="27">
        <f t="shared" si="16"/>
        <v>15544</v>
      </c>
    </row>
    <row r="252" spans="1:52" x14ac:dyDescent="0.25">
      <c r="A252" s="13">
        <v>305</v>
      </c>
      <c r="B252" s="19" t="s">
        <v>542</v>
      </c>
      <c r="C252" s="26" t="s">
        <v>543</v>
      </c>
      <c r="D252" s="19" t="s">
        <v>42</v>
      </c>
      <c r="E252" s="16">
        <v>300</v>
      </c>
      <c r="F252" s="16">
        <v>750</v>
      </c>
      <c r="G252" s="16">
        <v>316</v>
      </c>
      <c r="H252" s="16">
        <v>790</v>
      </c>
      <c r="I252" s="16">
        <v>792</v>
      </c>
      <c r="J252" s="16">
        <v>1978</v>
      </c>
      <c r="K252" s="16">
        <v>236</v>
      </c>
      <c r="L252" s="16">
        <v>588</v>
      </c>
      <c r="M252" s="16">
        <v>6360</v>
      </c>
      <c r="N252" s="16">
        <v>15898</v>
      </c>
      <c r="O252" s="16">
        <v>280</v>
      </c>
      <c r="P252" s="16">
        <v>695</v>
      </c>
      <c r="Q252" s="16">
        <v>16</v>
      </c>
      <c r="R252" s="16">
        <v>35</v>
      </c>
      <c r="S252" s="16">
        <v>24</v>
      </c>
      <c r="T252" s="16">
        <v>60</v>
      </c>
      <c r="U252" s="16">
        <v>63</v>
      </c>
      <c r="V252" s="16">
        <v>155</v>
      </c>
      <c r="W252" s="16">
        <v>88</v>
      </c>
      <c r="X252" s="16">
        <v>220</v>
      </c>
      <c r="Y252" s="16">
        <v>128</v>
      </c>
      <c r="Z252" s="16">
        <v>320</v>
      </c>
      <c r="AA252" s="16">
        <v>61</v>
      </c>
      <c r="AB252" s="16">
        <v>151</v>
      </c>
      <c r="AC252" s="16">
        <v>165</v>
      </c>
      <c r="AD252" s="16">
        <v>410</v>
      </c>
      <c r="AE252" s="16">
        <v>96</v>
      </c>
      <c r="AF252" s="16">
        <v>240</v>
      </c>
      <c r="AG252" s="16">
        <v>250</v>
      </c>
      <c r="AH252" s="16">
        <v>624</v>
      </c>
      <c r="AI252" s="16">
        <v>320</v>
      </c>
      <c r="AJ252" s="16">
        <v>800</v>
      </c>
      <c r="AK252" s="16">
        <v>112</v>
      </c>
      <c r="AL252" s="16">
        <v>274</v>
      </c>
      <c r="AM252" s="16">
        <v>1536</v>
      </c>
      <c r="AN252" s="16">
        <v>3840</v>
      </c>
      <c r="AO252" s="15">
        <v>660</v>
      </c>
      <c r="AP252" s="15">
        <v>1650</v>
      </c>
      <c r="AQ252" s="15">
        <v>60</v>
      </c>
      <c r="AR252" s="15">
        <v>149</v>
      </c>
      <c r="AS252" s="15"/>
      <c r="AT252" s="15"/>
      <c r="AU252" s="15">
        <v>34</v>
      </c>
      <c r="AV252" s="15">
        <v>83</v>
      </c>
      <c r="AW252" s="15">
        <v>2</v>
      </c>
      <c r="AX252" s="15">
        <v>2</v>
      </c>
      <c r="AY252" s="27">
        <f t="shared" si="15"/>
        <v>11899</v>
      </c>
      <c r="AZ252" s="27">
        <f t="shared" si="16"/>
        <v>29712</v>
      </c>
    </row>
    <row r="253" spans="1:52" x14ac:dyDescent="0.25">
      <c r="A253" s="13">
        <v>306</v>
      </c>
      <c r="B253" s="19" t="s">
        <v>544</v>
      </c>
      <c r="C253" s="26" t="s">
        <v>545</v>
      </c>
      <c r="D253" s="19" t="s">
        <v>42</v>
      </c>
      <c r="E253" s="16">
        <v>35748</v>
      </c>
      <c r="F253" s="16">
        <v>89370</v>
      </c>
      <c r="G253" s="16">
        <v>40000</v>
      </c>
      <c r="H253" s="16">
        <v>100000</v>
      </c>
      <c r="I253" s="16">
        <v>130532</v>
      </c>
      <c r="J253" s="16">
        <v>326328</v>
      </c>
      <c r="K253" s="16">
        <v>168491</v>
      </c>
      <c r="L253" s="16">
        <v>421225</v>
      </c>
      <c r="M253" s="16"/>
      <c r="N253" s="16"/>
      <c r="O253" s="16">
        <v>95200</v>
      </c>
      <c r="P253" s="16">
        <v>238000</v>
      </c>
      <c r="Q253" s="16"/>
      <c r="R253" s="16"/>
      <c r="S253" s="16">
        <v>4300</v>
      </c>
      <c r="T253" s="16">
        <v>10750</v>
      </c>
      <c r="U253" s="16">
        <v>8800</v>
      </c>
      <c r="V253" s="16">
        <v>22000</v>
      </c>
      <c r="W253" s="16">
        <v>70400</v>
      </c>
      <c r="X253" s="16">
        <v>176000</v>
      </c>
      <c r="Y253" s="16">
        <v>49920</v>
      </c>
      <c r="Z253" s="16">
        <v>124800</v>
      </c>
      <c r="AA253" s="16">
        <v>1200</v>
      </c>
      <c r="AB253" s="16">
        <v>3000</v>
      </c>
      <c r="AC253" s="16">
        <v>97602</v>
      </c>
      <c r="AD253" s="16">
        <v>244003</v>
      </c>
      <c r="AE253" s="16">
        <v>28000</v>
      </c>
      <c r="AF253" s="16">
        <v>70000</v>
      </c>
      <c r="AG253" s="16">
        <v>57632</v>
      </c>
      <c r="AH253" s="16">
        <v>144080</v>
      </c>
      <c r="AI253" s="16">
        <v>280000</v>
      </c>
      <c r="AJ253" s="16">
        <v>700000</v>
      </c>
      <c r="AK253" s="16">
        <v>201360</v>
      </c>
      <c r="AL253" s="16">
        <v>503400</v>
      </c>
      <c r="AM253" s="16">
        <v>2880</v>
      </c>
      <c r="AN253" s="16">
        <v>7200</v>
      </c>
      <c r="AO253" s="15">
        <v>37068</v>
      </c>
      <c r="AP253" s="15">
        <v>92670</v>
      </c>
      <c r="AQ253" s="15">
        <v>80</v>
      </c>
      <c r="AR253" s="15">
        <v>200</v>
      </c>
      <c r="AS253" s="15"/>
      <c r="AT253" s="15"/>
      <c r="AU253" s="15"/>
      <c r="AV253" s="15"/>
      <c r="AW253" s="15">
        <v>1548</v>
      </c>
      <c r="AX253" s="15">
        <v>3868</v>
      </c>
      <c r="AY253" s="27">
        <f t="shared" si="15"/>
        <v>1310761</v>
      </c>
      <c r="AZ253" s="27">
        <f t="shared" si="16"/>
        <v>3276894</v>
      </c>
    </row>
    <row r="254" spans="1:52" x14ac:dyDescent="0.25">
      <c r="A254" s="13">
        <v>307</v>
      </c>
      <c r="B254" s="19" t="s">
        <v>546</v>
      </c>
      <c r="C254" s="26" t="s">
        <v>547</v>
      </c>
      <c r="D254" s="19" t="s">
        <v>42</v>
      </c>
      <c r="E254" s="16">
        <v>60</v>
      </c>
      <c r="F254" s="16">
        <v>150</v>
      </c>
      <c r="G254" s="16">
        <v>122</v>
      </c>
      <c r="H254" s="16">
        <v>302</v>
      </c>
      <c r="I254" s="16">
        <v>798</v>
      </c>
      <c r="J254" s="16">
        <v>1992</v>
      </c>
      <c r="K254" s="16">
        <v>254</v>
      </c>
      <c r="L254" s="16">
        <v>629</v>
      </c>
      <c r="M254" s="16">
        <v>4688</v>
      </c>
      <c r="N254" s="16">
        <v>11716</v>
      </c>
      <c r="O254" s="16">
        <v>252</v>
      </c>
      <c r="P254" s="16">
        <v>626</v>
      </c>
      <c r="Q254" s="16">
        <v>12</v>
      </c>
      <c r="R254" s="16">
        <v>26</v>
      </c>
      <c r="S254" s="16">
        <v>17</v>
      </c>
      <c r="T254" s="16">
        <v>42</v>
      </c>
      <c r="U254" s="16">
        <v>39</v>
      </c>
      <c r="V254" s="16">
        <v>95</v>
      </c>
      <c r="W254" s="16">
        <v>32</v>
      </c>
      <c r="X254" s="16">
        <v>80</v>
      </c>
      <c r="Y254" s="16">
        <v>68</v>
      </c>
      <c r="Z254" s="16">
        <v>170</v>
      </c>
      <c r="AA254" s="16">
        <v>55</v>
      </c>
      <c r="AB254" s="16">
        <v>136</v>
      </c>
      <c r="AC254" s="16">
        <v>87</v>
      </c>
      <c r="AD254" s="16">
        <v>215</v>
      </c>
      <c r="AE254" s="16">
        <v>192</v>
      </c>
      <c r="AF254" s="16">
        <v>480</v>
      </c>
      <c r="AG254" s="16">
        <v>148</v>
      </c>
      <c r="AH254" s="16">
        <v>370</v>
      </c>
      <c r="AI254" s="16">
        <v>240</v>
      </c>
      <c r="AJ254" s="16">
        <v>600</v>
      </c>
      <c r="AK254" s="16">
        <v>180</v>
      </c>
      <c r="AL254" s="16">
        <v>450</v>
      </c>
      <c r="AM254" s="16">
        <v>960</v>
      </c>
      <c r="AN254" s="16">
        <v>2400</v>
      </c>
      <c r="AO254" s="15">
        <v>240</v>
      </c>
      <c r="AP254" s="15">
        <v>600</v>
      </c>
      <c r="AQ254" s="15">
        <v>91</v>
      </c>
      <c r="AR254" s="15">
        <v>222</v>
      </c>
      <c r="AS254" s="15"/>
      <c r="AT254" s="15"/>
      <c r="AU254" s="15">
        <v>69</v>
      </c>
      <c r="AV254" s="15">
        <v>172</v>
      </c>
      <c r="AW254" s="15">
        <v>2</v>
      </c>
      <c r="AX254" s="15">
        <v>2</v>
      </c>
      <c r="AY254" s="27">
        <f t="shared" si="15"/>
        <v>8606</v>
      </c>
      <c r="AZ254" s="27">
        <f t="shared" si="16"/>
        <v>21475</v>
      </c>
    </row>
    <row r="255" spans="1:52" x14ac:dyDescent="0.25">
      <c r="A255" s="13">
        <v>308</v>
      </c>
      <c r="B255" s="19" t="s">
        <v>548</v>
      </c>
      <c r="C255" s="26" t="s">
        <v>549</v>
      </c>
      <c r="D255" s="19" t="s">
        <v>42</v>
      </c>
      <c r="E255" s="16">
        <v>3216</v>
      </c>
      <c r="F255" s="16">
        <v>8040</v>
      </c>
      <c r="G255" s="16">
        <v>4800</v>
      </c>
      <c r="H255" s="16">
        <v>12000</v>
      </c>
      <c r="I255" s="16">
        <v>12000</v>
      </c>
      <c r="J255" s="16">
        <v>30000</v>
      </c>
      <c r="K255" s="16">
        <v>3547</v>
      </c>
      <c r="L255" s="16">
        <v>8865</v>
      </c>
      <c r="M255" s="16">
        <v>24000</v>
      </c>
      <c r="N255" s="16">
        <v>60000</v>
      </c>
      <c r="O255" s="16">
        <v>2520</v>
      </c>
      <c r="P255" s="16">
        <v>6300</v>
      </c>
      <c r="Q255" s="16">
        <v>976</v>
      </c>
      <c r="R255" s="16">
        <v>2438</v>
      </c>
      <c r="S255" s="16">
        <v>1036</v>
      </c>
      <c r="T255" s="16">
        <v>2588</v>
      </c>
      <c r="U255" s="16">
        <v>4240</v>
      </c>
      <c r="V255" s="16">
        <v>10600</v>
      </c>
      <c r="W255" s="16">
        <v>2664</v>
      </c>
      <c r="X255" s="16">
        <v>6658</v>
      </c>
      <c r="Y255" s="16">
        <v>512</v>
      </c>
      <c r="Z255" s="16">
        <v>1280</v>
      </c>
      <c r="AA255" s="16">
        <v>480</v>
      </c>
      <c r="AB255" s="16">
        <v>1200</v>
      </c>
      <c r="AC255" s="16">
        <v>2533</v>
      </c>
      <c r="AD255" s="16">
        <v>6330</v>
      </c>
      <c r="AE255" s="16">
        <v>3237</v>
      </c>
      <c r="AF255" s="16">
        <v>8091</v>
      </c>
      <c r="AG255" s="16">
        <v>864</v>
      </c>
      <c r="AH255" s="16">
        <v>2160</v>
      </c>
      <c r="AI255" s="16"/>
      <c r="AJ255" s="16"/>
      <c r="AK255" s="16">
        <v>6400</v>
      </c>
      <c r="AL255" s="16">
        <v>16000</v>
      </c>
      <c r="AM255" s="16">
        <v>480</v>
      </c>
      <c r="AN255" s="16">
        <v>1200</v>
      </c>
      <c r="AO255" s="15">
        <v>58962</v>
      </c>
      <c r="AP255" s="15">
        <v>147403</v>
      </c>
      <c r="AQ255" s="15">
        <v>1860</v>
      </c>
      <c r="AR255" s="15">
        <v>4646</v>
      </c>
      <c r="AS255" s="15">
        <v>20</v>
      </c>
      <c r="AT255" s="15">
        <v>48</v>
      </c>
      <c r="AU255" s="15"/>
      <c r="AV255" s="15"/>
      <c r="AW255" s="15">
        <v>142</v>
      </c>
      <c r="AX255" s="15">
        <v>354</v>
      </c>
      <c r="AY255" s="27">
        <f t="shared" si="15"/>
        <v>134489</v>
      </c>
      <c r="AZ255" s="27">
        <f t="shared" si="16"/>
        <v>336201</v>
      </c>
    </row>
    <row r="256" spans="1:52" x14ac:dyDescent="0.25">
      <c r="A256" s="13">
        <v>309</v>
      </c>
      <c r="B256" s="19" t="s">
        <v>550</v>
      </c>
      <c r="C256" s="26" t="s">
        <v>551</v>
      </c>
      <c r="D256" s="19" t="s">
        <v>42</v>
      </c>
      <c r="E256" s="16"/>
      <c r="F256" s="16"/>
      <c r="G256" s="16"/>
      <c r="H256" s="16"/>
      <c r="I256" s="16"/>
      <c r="J256" s="16"/>
      <c r="K256" s="16">
        <v>96</v>
      </c>
      <c r="L256" s="16">
        <v>240</v>
      </c>
      <c r="M256" s="16"/>
      <c r="N256" s="16"/>
      <c r="O256" s="16"/>
      <c r="P256" s="16"/>
      <c r="Q256" s="16">
        <v>6100</v>
      </c>
      <c r="R256" s="16">
        <v>15246</v>
      </c>
      <c r="S256" s="16"/>
      <c r="T256" s="16"/>
      <c r="U256" s="16">
        <v>2200</v>
      </c>
      <c r="V256" s="16">
        <v>5500</v>
      </c>
      <c r="W256" s="16">
        <v>104</v>
      </c>
      <c r="X256" s="16">
        <v>260</v>
      </c>
      <c r="Y256" s="16"/>
      <c r="Z256" s="16"/>
      <c r="AA256" s="16"/>
      <c r="AB256" s="16"/>
      <c r="AC256" s="16"/>
      <c r="AD256" s="16"/>
      <c r="AE256" s="16"/>
      <c r="AF256" s="16"/>
      <c r="AG256" s="16"/>
      <c r="AH256" s="16"/>
      <c r="AI256" s="16"/>
      <c r="AJ256" s="16"/>
      <c r="AK256" s="16"/>
      <c r="AL256" s="16"/>
      <c r="AM256" s="16">
        <v>480</v>
      </c>
      <c r="AN256" s="16">
        <v>1200</v>
      </c>
      <c r="AO256" s="15"/>
      <c r="AP256" s="15"/>
      <c r="AQ256" s="15"/>
      <c r="AR256" s="15"/>
      <c r="AS256" s="15"/>
      <c r="AT256" s="15"/>
      <c r="AU256" s="15"/>
      <c r="AV256" s="15"/>
      <c r="AW256" s="15"/>
      <c r="AX256" s="15"/>
      <c r="AY256" s="27">
        <f t="shared" si="15"/>
        <v>8980</v>
      </c>
      <c r="AZ256" s="27">
        <f t="shared" si="16"/>
        <v>22446</v>
      </c>
    </row>
    <row r="257" spans="1:52" x14ac:dyDescent="0.25">
      <c r="A257" s="13">
        <v>310</v>
      </c>
      <c r="B257" s="19" t="s">
        <v>552</v>
      </c>
      <c r="C257" s="26" t="s">
        <v>553</v>
      </c>
      <c r="D257" s="19" t="s">
        <v>42</v>
      </c>
      <c r="E257" s="16"/>
      <c r="F257" s="16"/>
      <c r="G257" s="16"/>
      <c r="H257" s="16"/>
      <c r="I257" s="16"/>
      <c r="J257" s="16"/>
      <c r="K257" s="16">
        <v>120</v>
      </c>
      <c r="L257" s="16">
        <v>300</v>
      </c>
      <c r="M257" s="16"/>
      <c r="N257" s="16"/>
      <c r="O257" s="16"/>
      <c r="P257" s="16"/>
      <c r="Q257" s="16">
        <v>8132</v>
      </c>
      <c r="R257" s="16">
        <v>20330</v>
      </c>
      <c r="S257" s="16"/>
      <c r="T257" s="16"/>
      <c r="U257" s="16">
        <v>2396</v>
      </c>
      <c r="V257" s="16">
        <v>5990</v>
      </c>
      <c r="W257" s="16"/>
      <c r="X257" s="16"/>
      <c r="Y257" s="16"/>
      <c r="Z257" s="16"/>
      <c r="AA257" s="16"/>
      <c r="AB257" s="16"/>
      <c r="AC257" s="16"/>
      <c r="AD257" s="16"/>
      <c r="AE257" s="16">
        <v>1440</v>
      </c>
      <c r="AF257" s="16">
        <v>3600</v>
      </c>
      <c r="AG257" s="16"/>
      <c r="AH257" s="16"/>
      <c r="AI257" s="16"/>
      <c r="AJ257" s="16"/>
      <c r="AK257" s="16"/>
      <c r="AL257" s="16"/>
      <c r="AM257" s="16">
        <v>480</v>
      </c>
      <c r="AN257" s="16">
        <v>1200</v>
      </c>
      <c r="AO257" s="15"/>
      <c r="AP257" s="15"/>
      <c r="AQ257" s="15"/>
      <c r="AR257" s="15"/>
      <c r="AS257" s="15"/>
      <c r="AT257" s="15"/>
      <c r="AU257" s="15"/>
      <c r="AV257" s="15"/>
      <c r="AW257" s="15"/>
      <c r="AX257" s="15"/>
      <c r="AY257" s="27">
        <f t="shared" si="15"/>
        <v>12568</v>
      </c>
      <c r="AZ257" s="27">
        <f t="shared" si="16"/>
        <v>31420</v>
      </c>
    </row>
    <row r="258" spans="1:52" x14ac:dyDescent="0.25">
      <c r="A258" s="13">
        <v>311</v>
      </c>
      <c r="B258" s="19" t="s">
        <v>554</v>
      </c>
      <c r="C258" s="26" t="s">
        <v>555</v>
      </c>
      <c r="D258" s="19" t="s">
        <v>42</v>
      </c>
      <c r="E258" s="16">
        <v>960</v>
      </c>
      <c r="F258" s="16">
        <v>2400</v>
      </c>
      <c r="G258" s="16">
        <v>578</v>
      </c>
      <c r="H258" s="16">
        <v>1442</v>
      </c>
      <c r="I258" s="16">
        <v>8480</v>
      </c>
      <c r="J258" s="16">
        <v>21200</v>
      </c>
      <c r="K258" s="16">
        <v>1236</v>
      </c>
      <c r="L258" s="16">
        <v>3090</v>
      </c>
      <c r="M258" s="16">
        <v>1069</v>
      </c>
      <c r="N258" s="16">
        <v>2671</v>
      </c>
      <c r="O258" s="16">
        <v>1398</v>
      </c>
      <c r="P258" s="16">
        <v>3492</v>
      </c>
      <c r="Q258" s="16">
        <v>692</v>
      </c>
      <c r="R258" s="16">
        <v>1726</v>
      </c>
      <c r="S258" s="16">
        <v>2160</v>
      </c>
      <c r="T258" s="16">
        <v>5400</v>
      </c>
      <c r="U258" s="16">
        <v>960</v>
      </c>
      <c r="V258" s="16">
        <v>2400</v>
      </c>
      <c r="W258" s="16">
        <v>320</v>
      </c>
      <c r="X258" s="16">
        <v>800</v>
      </c>
      <c r="Y258" s="16">
        <v>2112</v>
      </c>
      <c r="Z258" s="16">
        <v>5280</v>
      </c>
      <c r="AA258" s="16">
        <v>648</v>
      </c>
      <c r="AB258" s="16">
        <v>1620</v>
      </c>
      <c r="AC258" s="16">
        <v>4576</v>
      </c>
      <c r="AD258" s="16">
        <v>11440</v>
      </c>
      <c r="AE258" s="16">
        <v>1123</v>
      </c>
      <c r="AF258" s="16">
        <v>2806</v>
      </c>
      <c r="AG258" s="16">
        <v>3600</v>
      </c>
      <c r="AH258" s="16">
        <v>9000</v>
      </c>
      <c r="AI258" s="16">
        <v>2160</v>
      </c>
      <c r="AJ258" s="16">
        <v>5400</v>
      </c>
      <c r="AK258" s="16">
        <v>5480</v>
      </c>
      <c r="AL258" s="16">
        <v>13700</v>
      </c>
      <c r="AM258" s="16"/>
      <c r="AN258" s="16"/>
      <c r="AO258" s="15">
        <v>4480</v>
      </c>
      <c r="AP258" s="15">
        <v>11200</v>
      </c>
      <c r="AQ258" s="15">
        <v>456</v>
      </c>
      <c r="AR258" s="15">
        <v>1140</v>
      </c>
      <c r="AS258" s="15"/>
      <c r="AT258" s="15"/>
      <c r="AU258" s="15">
        <v>2600</v>
      </c>
      <c r="AV258" s="15">
        <v>6500</v>
      </c>
      <c r="AW258" s="15"/>
      <c r="AX258" s="15"/>
      <c r="AY258" s="27">
        <f t="shared" si="15"/>
        <v>45088</v>
      </c>
      <c r="AZ258" s="27">
        <f t="shared" si="16"/>
        <v>112707</v>
      </c>
    </row>
    <row r="259" spans="1:52" x14ac:dyDescent="0.25">
      <c r="A259" s="13">
        <v>312</v>
      </c>
      <c r="B259" s="19" t="s">
        <v>556</v>
      </c>
      <c r="C259" s="26" t="s">
        <v>557</v>
      </c>
      <c r="D259" s="19" t="s">
        <v>42</v>
      </c>
      <c r="E259" s="16">
        <v>4</v>
      </c>
      <c r="F259" s="16">
        <v>10</v>
      </c>
      <c r="G259" s="16">
        <v>1272</v>
      </c>
      <c r="H259" s="16">
        <v>3180</v>
      </c>
      <c r="I259" s="16"/>
      <c r="J259" s="16"/>
      <c r="K259" s="16"/>
      <c r="L259" s="16"/>
      <c r="M259" s="16"/>
      <c r="N259" s="16"/>
      <c r="O259" s="16"/>
      <c r="P259" s="16"/>
      <c r="Q259" s="16">
        <v>8</v>
      </c>
      <c r="R259" s="16">
        <v>18</v>
      </c>
      <c r="S259" s="16"/>
      <c r="T259" s="16"/>
      <c r="U259" s="16">
        <v>22</v>
      </c>
      <c r="V259" s="16">
        <v>55</v>
      </c>
      <c r="W259" s="16">
        <v>36</v>
      </c>
      <c r="X259" s="16">
        <v>90</v>
      </c>
      <c r="Y259" s="16"/>
      <c r="Z259" s="16"/>
      <c r="AA259" s="16">
        <v>12</v>
      </c>
      <c r="AB259" s="16">
        <v>28</v>
      </c>
      <c r="AC259" s="16"/>
      <c r="AD259" s="16"/>
      <c r="AE259" s="16">
        <v>48</v>
      </c>
      <c r="AF259" s="16">
        <v>120</v>
      </c>
      <c r="AG259" s="16">
        <v>144</v>
      </c>
      <c r="AH259" s="16">
        <v>360</v>
      </c>
      <c r="AI259" s="16"/>
      <c r="AJ259" s="16"/>
      <c r="AK259" s="16"/>
      <c r="AL259" s="16"/>
      <c r="AM259" s="16"/>
      <c r="AN259" s="16"/>
      <c r="AO259" s="15">
        <v>10</v>
      </c>
      <c r="AP259" s="15">
        <v>24</v>
      </c>
      <c r="AQ259" s="15"/>
      <c r="AR259" s="15"/>
      <c r="AS259" s="15"/>
      <c r="AT259" s="15"/>
      <c r="AU259" s="15"/>
      <c r="AV259" s="15"/>
      <c r="AW259" s="15"/>
      <c r="AX259" s="15"/>
      <c r="AY259" s="27">
        <f t="shared" si="15"/>
        <v>1556</v>
      </c>
      <c r="AZ259" s="27">
        <f t="shared" si="16"/>
        <v>3885</v>
      </c>
    </row>
    <row r="260" spans="1:52" x14ac:dyDescent="0.25">
      <c r="A260" s="13">
        <v>313</v>
      </c>
      <c r="B260" s="19" t="s">
        <v>558</v>
      </c>
      <c r="C260" s="26" t="s">
        <v>559</v>
      </c>
      <c r="D260" s="19" t="s">
        <v>42</v>
      </c>
      <c r="E260" s="16"/>
      <c r="F260" s="16"/>
      <c r="G260" s="16">
        <v>8</v>
      </c>
      <c r="H260" s="16">
        <v>20</v>
      </c>
      <c r="I260" s="16"/>
      <c r="J260" s="16"/>
      <c r="K260" s="16"/>
      <c r="L260" s="16"/>
      <c r="M260" s="16">
        <v>52</v>
      </c>
      <c r="N260" s="16">
        <v>129</v>
      </c>
      <c r="O260" s="16">
        <v>85</v>
      </c>
      <c r="P260" s="16">
        <v>210</v>
      </c>
      <c r="Q260" s="16"/>
      <c r="R260" s="16"/>
      <c r="S260" s="16">
        <v>329</v>
      </c>
      <c r="T260" s="16">
        <v>820</v>
      </c>
      <c r="U260" s="16"/>
      <c r="V260" s="16"/>
      <c r="W260" s="16"/>
      <c r="X260" s="16"/>
      <c r="Y260" s="16">
        <v>74</v>
      </c>
      <c r="Z260" s="16">
        <v>184</v>
      </c>
      <c r="AA260" s="16">
        <v>4</v>
      </c>
      <c r="AB260" s="16">
        <v>10</v>
      </c>
      <c r="AC260" s="16">
        <v>11</v>
      </c>
      <c r="AD260" s="16">
        <v>26</v>
      </c>
      <c r="AE260" s="16"/>
      <c r="AF260" s="16"/>
      <c r="AG260" s="16"/>
      <c r="AH260" s="16"/>
      <c r="AI260" s="16"/>
      <c r="AJ260" s="16"/>
      <c r="AK260" s="16"/>
      <c r="AL260" s="16"/>
      <c r="AM260" s="16"/>
      <c r="AN260" s="16"/>
      <c r="AO260" s="15"/>
      <c r="AP260" s="15"/>
      <c r="AQ260" s="15"/>
      <c r="AR260" s="15"/>
      <c r="AS260" s="15"/>
      <c r="AT260" s="15"/>
      <c r="AU260" s="15"/>
      <c r="AV260" s="15"/>
      <c r="AW260" s="15"/>
      <c r="AX260" s="15"/>
      <c r="AY260" s="27">
        <f t="shared" si="15"/>
        <v>563</v>
      </c>
      <c r="AZ260" s="27">
        <f t="shared" si="16"/>
        <v>1399</v>
      </c>
    </row>
    <row r="261" spans="1:52" x14ac:dyDescent="0.25">
      <c r="A261" s="13">
        <v>315</v>
      </c>
      <c r="B261" s="19" t="s">
        <v>560</v>
      </c>
      <c r="C261" s="26" t="s">
        <v>561</v>
      </c>
      <c r="D261" s="19" t="s">
        <v>42</v>
      </c>
      <c r="E261" s="16">
        <v>840</v>
      </c>
      <c r="F261" s="16">
        <v>2100</v>
      </c>
      <c r="G261" s="16">
        <v>2</v>
      </c>
      <c r="H261" s="16">
        <v>2</v>
      </c>
      <c r="I261" s="16">
        <v>8</v>
      </c>
      <c r="J261" s="16">
        <v>16</v>
      </c>
      <c r="K261" s="16">
        <v>15852</v>
      </c>
      <c r="L261" s="16">
        <v>39629</v>
      </c>
      <c r="M261" s="16">
        <v>3516</v>
      </c>
      <c r="N261" s="16">
        <v>8787</v>
      </c>
      <c r="O261" s="16">
        <v>1</v>
      </c>
      <c r="P261" s="16">
        <v>1</v>
      </c>
      <c r="Q261" s="16"/>
      <c r="R261" s="16"/>
      <c r="S261" s="16">
        <v>2</v>
      </c>
      <c r="T261" s="16">
        <v>2</v>
      </c>
      <c r="U261" s="16">
        <v>10</v>
      </c>
      <c r="V261" s="16">
        <v>23</v>
      </c>
      <c r="W261" s="16">
        <v>4740</v>
      </c>
      <c r="X261" s="16">
        <v>11850</v>
      </c>
      <c r="Y261" s="16">
        <v>20</v>
      </c>
      <c r="Z261" s="16">
        <v>50</v>
      </c>
      <c r="AA261" s="16"/>
      <c r="AB261" s="16"/>
      <c r="AC261" s="16">
        <v>1560</v>
      </c>
      <c r="AD261" s="16">
        <v>3900</v>
      </c>
      <c r="AE261" s="16">
        <v>20</v>
      </c>
      <c r="AF261" s="16">
        <v>49</v>
      </c>
      <c r="AG261" s="16">
        <v>462</v>
      </c>
      <c r="AH261" s="16">
        <v>1152</v>
      </c>
      <c r="AI261" s="16">
        <v>2000</v>
      </c>
      <c r="AJ261" s="16">
        <v>5000</v>
      </c>
      <c r="AK261" s="16">
        <v>92</v>
      </c>
      <c r="AL261" s="16">
        <v>226</v>
      </c>
      <c r="AM261" s="16">
        <v>78</v>
      </c>
      <c r="AN261" s="16">
        <v>192</v>
      </c>
      <c r="AO261" s="15">
        <v>3286</v>
      </c>
      <c r="AP261" s="15">
        <v>8215</v>
      </c>
      <c r="AQ261" s="15">
        <v>120</v>
      </c>
      <c r="AR261" s="15">
        <v>300</v>
      </c>
      <c r="AS261" s="15"/>
      <c r="AT261" s="15"/>
      <c r="AU261" s="15"/>
      <c r="AV261" s="15"/>
      <c r="AW261" s="15">
        <v>2</v>
      </c>
      <c r="AX261" s="15">
        <v>2</v>
      </c>
      <c r="AY261" s="27">
        <f t="shared" si="15"/>
        <v>32611</v>
      </c>
      <c r="AZ261" s="27">
        <f t="shared" si="16"/>
        <v>81496</v>
      </c>
    </row>
    <row r="262" spans="1:52" x14ac:dyDescent="0.25">
      <c r="A262" s="13">
        <v>317</v>
      </c>
      <c r="B262" s="19" t="s">
        <v>562</v>
      </c>
      <c r="C262" s="26" t="s">
        <v>563</v>
      </c>
      <c r="D262" s="19" t="s">
        <v>42</v>
      </c>
      <c r="E262" s="16"/>
      <c r="F262" s="16"/>
      <c r="G262" s="16"/>
      <c r="H262" s="16"/>
      <c r="I262" s="16">
        <v>3800</v>
      </c>
      <c r="J262" s="16">
        <v>9500</v>
      </c>
      <c r="K262" s="16">
        <v>80</v>
      </c>
      <c r="L262" s="16">
        <v>200</v>
      </c>
      <c r="M262" s="16"/>
      <c r="N262" s="16"/>
      <c r="O262" s="16"/>
      <c r="P262" s="16"/>
      <c r="Q262" s="16"/>
      <c r="R262" s="16"/>
      <c r="S262" s="16"/>
      <c r="T262" s="16"/>
      <c r="U262" s="16"/>
      <c r="V262" s="16"/>
      <c r="W262" s="16">
        <v>144</v>
      </c>
      <c r="X262" s="16">
        <v>360</v>
      </c>
      <c r="Y262" s="16"/>
      <c r="Z262" s="16"/>
      <c r="AA262" s="16"/>
      <c r="AB262" s="16"/>
      <c r="AC262" s="16"/>
      <c r="AD262" s="16"/>
      <c r="AE262" s="16">
        <v>96</v>
      </c>
      <c r="AF262" s="16">
        <v>240</v>
      </c>
      <c r="AG262" s="16"/>
      <c r="AH262" s="16"/>
      <c r="AI262" s="16">
        <v>1120</v>
      </c>
      <c r="AJ262" s="16">
        <v>2800</v>
      </c>
      <c r="AK262" s="16"/>
      <c r="AL262" s="16"/>
      <c r="AM262" s="16"/>
      <c r="AN262" s="16"/>
      <c r="AO262" s="15"/>
      <c r="AP262" s="15"/>
      <c r="AQ262" s="15"/>
      <c r="AR262" s="15"/>
      <c r="AS262" s="15"/>
      <c r="AT262" s="15"/>
      <c r="AU262" s="15"/>
      <c r="AV262" s="15"/>
      <c r="AW262" s="15"/>
      <c r="AX262" s="15"/>
      <c r="AY262" s="27">
        <f t="shared" si="15"/>
        <v>5240</v>
      </c>
      <c r="AZ262" s="27">
        <f t="shared" si="16"/>
        <v>13100</v>
      </c>
    </row>
    <row r="263" spans="1:52" x14ac:dyDescent="0.25">
      <c r="A263" s="13">
        <v>318</v>
      </c>
      <c r="B263" s="19" t="s">
        <v>564</v>
      </c>
      <c r="C263" s="26" t="s">
        <v>565</v>
      </c>
      <c r="D263" s="19" t="s">
        <v>42</v>
      </c>
      <c r="E263" s="16"/>
      <c r="F263" s="16"/>
      <c r="G263" s="16">
        <v>204</v>
      </c>
      <c r="H263" s="16">
        <v>506</v>
      </c>
      <c r="I263" s="16">
        <v>7200</v>
      </c>
      <c r="J263" s="16">
        <v>18000</v>
      </c>
      <c r="K263" s="16">
        <v>435</v>
      </c>
      <c r="L263" s="16">
        <v>1085</v>
      </c>
      <c r="M263" s="16"/>
      <c r="N263" s="16"/>
      <c r="O263" s="16"/>
      <c r="P263" s="16"/>
      <c r="Q263" s="16">
        <v>172</v>
      </c>
      <c r="R263" s="16">
        <v>426</v>
      </c>
      <c r="S263" s="16"/>
      <c r="T263" s="16"/>
      <c r="U263" s="16"/>
      <c r="V263" s="16"/>
      <c r="W263" s="16">
        <v>64</v>
      </c>
      <c r="X263" s="16">
        <v>160</v>
      </c>
      <c r="Y263" s="16">
        <v>120</v>
      </c>
      <c r="Z263" s="16">
        <v>300</v>
      </c>
      <c r="AA263" s="16">
        <v>48</v>
      </c>
      <c r="AB263" s="16">
        <v>120</v>
      </c>
      <c r="AC263" s="16">
        <v>176</v>
      </c>
      <c r="AD263" s="16">
        <v>440</v>
      </c>
      <c r="AE263" s="16"/>
      <c r="AF263" s="16"/>
      <c r="AG263" s="16">
        <v>2830</v>
      </c>
      <c r="AH263" s="16">
        <v>7075</v>
      </c>
      <c r="AI263" s="16">
        <v>1472</v>
      </c>
      <c r="AJ263" s="16">
        <v>3680</v>
      </c>
      <c r="AK263" s="16">
        <v>12</v>
      </c>
      <c r="AL263" s="16">
        <v>30</v>
      </c>
      <c r="AM263" s="16"/>
      <c r="AN263" s="16"/>
      <c r="AO263" s="15"/>
      <c r="AP263" s="15"/>
      <c r="AQ263" s="15"/>
      <c r="AR263" s="15"/>
      <c r="AS263" s="15"/>
      <c r="AT263" s="15"/>
      <c r="AU263" s="15"/>
      <c r="AV263" s="15"/>
      <c r="AW263" s="15"/>
      <c r="AX263" s="15"/>
      <c r="AY263" s="27">
        <f t="shared" si="15"/>
        <v>12733</v>
      </c>
      <c r="AZ263" s="27">
        <f t="shared" si="16"/>
        <v>31822</v>
      </c>
    </row>
    <row r="264" spans="1:52" x14ac:dyDescent="0.25">
      <c r="A264" s="13">
        <v>319</v>
      </c>
      <c r="B264" s="19" t="s">
        <v>566</v>
      </c>
      <c r="C264" s="26" t="s">
        <v>567</v>
      </c>
      <c r="D264" s="19" t="s">
        <v>42</v>
      </c>
      <c r="E264" s="16"/>
      <c r="F264" s="16"/>
      <c r="G264" s="16">
        <v>2</v>
      </c>
      <c r="H264" s="16">
        <v>2</v>
      </c>
      <c r="I264" s="16">
        <v>4400</v>
      </c>
      <c r="J264" s="16">
        <v>11000</v>
      </c>
      <c r="K264" s="16">
        <v>120</v>
      </c>
      <c r="L264" s="16">
        <v>298</v>
      </c>
      <c r="M264" s="16">
        <v>48</v>
      </c>
      <c r="N264" s="16">
        <v>120</v>
      </c>
      <c r="O264" s="16"/>
      <c r="P264" s="16"/>
      <c r="Q264" s="16">
        <v>60</v>
      </c>
      <c r="R264" s="16">
        <v>148</v>
      </c>
      <c r="S264" s="16">
        <v>3</v>
      </c>
      <c r="T264" s="16">
        <v>6</v>
      </c>
      <c r="U264" s="16"/>
      <c r="V264" s="16"/>
      <c r="W264" s="16">
        <v>72</v>
      </c>
      <c r="X264" s="16">
        <v>180</v>
      </c>
      <c r="Y264" s="16">
        <v>544</v>
      </c>
      <c r="Z264" s="16">
        <v>1358</v>
      </c>
      <c r="AA264" s="16">
        <v>10</v>
      </c>
      <c r="AB264" s="16">
        <v>24</v>
      </c>
      <c r="AC264" s="16">
        <v>88</v>
      </c>
      <c r="AD264" s="16">
        <v>220</v>
      </c>
      <c r="AE264" s="16"/>
      <c r="AF264" s="16"/>
      <c r="AG264" s="16">
        <v>260</v>
      </c>
      <c r="AH264" s="16">
        <v>648</v>
      </c>
      <c r="AI264" s="16">
        <v>152</v>
      </c>
      <c r="AJ264" s="16">
        <v>380</v>
      </c>
      <c r="AK264" s="16">
        <v>12</v>
      </c>
      <c r="AL264" s="16">
        <v>30</v>
      </c>
      <c r="AM264" s="16">
        <v>318</v>
      </c>
      <c r="AN264" s="16">
        <v>792</v>
      </c>
      <c r="AO264" s="15">
        <v>100</v>
      </c>
      <c r="AP264" s="15">
        <v>250</v>
      </c>
      <c r="AQ264" s="15"/>
      <c r="AR264" s="15"/>
      <c r="AS264" s="15"/>
      <c r="AT264" s="15"/>
      <c r="AU264" s="15"/>
      <c r="AV264" s="15"/>
      <c r="AW264" s="15"/>
      <c r="AX264" s="15"/>
      <c r="AY264" s="27">
        <f t="shared" si="15"/>
        <v>6189</v>
      </c>
      <c r="AZ264" s="27">
        <f t="shared" si="16"/>
        <v>15456</v>
      </c>
    </row>
    <row r="265" spans="1:52" x14ac:dyDescent="0.25">
      <c r="A265" s="13">
        <v>320</v>
      </c>
      <c r="B265" s="19" t="s">
        <v>568</v>
      </c>
      <c r="C265" s="26" t="s">
        <v>569</v>
      </c>
      <c r="D265" s="19" t="s">
        <v>42</v>
      </c>
      <c r="E265" s="16">
        <v>8</v>
      </c>
      <c r="F265" s="16">
        <v>20</v>
      </c>
      <c r="G265" s="16">
        <v>3048</v>
      </c>
      <c r="H265" s="16">
        <v>7616</v>
      </c>
      <c r="I265" s="16">
        <v>10100</v>
      </c>
      <c r="J265" s="16">
        <v>25246</v>
      </c>
      <c r="K265" s="16">
        <v>352</v>
      </c>
      <c r="L265" s="16">
        <v>880</v>
      </c>
      <c r="M265" s="16">
        <v>860</v>
      </c>
      <c r="N265" s="16">
        <v>2148</v>
      </c>
      <c r="O265" s="16">
        <v>2658</v>
      </c>
      <c r="P265" s="16">
        <v>6644</v>
      </c>
      <c r="Q265" s="16">
        <v>976</v>
      </c>
      <c r="R265" s="16">
        <v>2438</v>
      </c>
      <c r="S265" s="16">
        <v>1440</v>
      </c>
      <c r="T265" s="16">
        <v>3600</v>
      </c>
      <c r="U265" s="16">
        <v>740</v>
      </c>
      <c r="V265" s="16">
        <v>1850</v>
      </c>
      <c r="W265" s="16">
        <v>496</v>
      </c>
      <c r="X265" s="16">
        <v>1240</v>
      </c>
      <c r="Y265" s="16">
        <v>366</v>
      </c>
      <c r="Z265" s="16">
        <v>912</v>
      </c>
      <c r="AA265" s="16">
        <v>240</v>
      </c>
      <c r="AB265" s="16">
        <v>600</v>
      </c>
      <c r="AC265" s="16">
        <v>1174</v>
      </c>
      <c r="AD265" s="16">
        <v>2932</v>
      </c>
      <c r="AE265" s="16">
        <v>2304</v>
      </c>
      <c r="AF265" s="16">
        <v>5760</v>
      </c>
      <c r="AG265" s="16">
        <v>90</v>
      </c>
      <c r="AH265" s="16">
        <v>225</v>
      </c>
      <c r="AI265" s="16">
        <v>4</v>
      </c>
      <c r="AJ265" s="16">
        <v>8</v>
      </c>
      <c r="AK265" s="16">
        <v>40</v>
      </c>
      <c r="AL265" s="16">
        <v>100</v>
      </c>
      <c r="AM265" s="16">
        <v>4750</v>
      </c>
      <c r="AN265" s="16">
        <v>11872</v>
      </c>
      <c r="AO265" s="15">
        <v>46</v>
      </c>
      <c r="AP265" s="15">
        <v>113</v>
      </c>
      <c r="AQ265" s="15">
        <v>18</v>
      </c>
      <c r="AR265" s="15">
        <v>42</v>
      </c>
      <c r="AS265" s="15">
        <v>16</v>
      </c>
      <c r="AT265" s="15">
        <v>40</v>
      </c>
      <c r="AU265" s="15">
        <v>1272</v>
      </c>
      <c r="AV265" s="15">
        <v>3180</v>
      </c>
      <c r="AW265" s="15">
        <v>184</v>
      </c>
      <c r="AX265" s="15">
        <v>458</v>
      </c>
      <c r="AY265" s="27">
        <f t="shared" si="15"/>
        <v>31182</v>
      </c>
      <c r="AZ265" s="27">
        <f t="shared" si="16"/>
        <v>77924</v>
      </c>
    </row>
    <row r="266" spans="1:52" x14ac:dyDescent="0.25">
      <c r="A266" s="13">
        <v>321</v>
      </c>
      <c r="B266" s="19" t="s">
        <v>570</v>
      </c>
      <c r="C266" s="26" t="s">
        <v>571</v>
      </c>
      <c r="D266" s="19" t="s">
        <v>42</v>
      </c>
      <c r="E266" s="16">
        <v>400</v>
      </c>
      <c r="F266" s="16">
        <v>1000</v>
      </c>
      <c r="G266" s="16">
        <v>8</v>
      </c>
      <c r="H266" s="16">
        <v>20</v>
      </c>
      <c r="I266" s="16">
        <v>336</v>
      </c>
      <c r="J266" s="16">
        <v>840</v>
      </c>
      <c r="K266" s="16"/>
      <c r="L266" s="16"/>
      <c r="M266" s="16">
        <v>10</v>
      </c>
      <c r="N266" s="16">
        <v>24</v>
      </c>
      <c r="O266" s="16">
        <v>241</v>
      </c>
      <c r="P266" s="16">
        <v>596</v>
      </c>
      <c r="Q266" s="16">
        <v>82</v>
      </c>
      <c r="R266" s="16">
        <v>202</v>
      </c>
      <c r="S266" s="16">
        <v>10</v>
      </c>
      <c r="T266" s="16">
        <v>24</v>
      </c>
      <c r="U266" s="16">
        <v>220</v>
      </c>
      <c r="V266" s="16">
        <v>550</v>
      </c>
      <c r="W266" s="16">
        <v>468</v>
      </c>
      <c r="X266" s="16">
        <v>1170</v>
      </c>
      <c r="Y266" s="16">
        <v>384</v>
      </c>
      <c r="Z266" s="16">
        <v>960</v>
      </c>
      <c r="AA266" s="16">
        <v>12</v>
      </c>
      <c r="AB266" s="16">
        <v>30</v>
      </c>
      <c r="AC266" s="16">
        <v>229</v>
      </c>
      <c r="AD266" s="16">
        <v>572</v>
      </c>
      <c r="AE266" s="16">
        <v>411</v>
      </c>
      <c r="AF266" s="16">
        <v>1026</v>
      </c>
      <c r="AG266" s="16">
        <v>221</v>
      </c>
      <c r="AH266" s="16">
        <v>552</v>
      </c>
      <c r="AI266" s="16">
        <v>216</v>
      </c>
      <c r="AJ266" s="16">
        <v>540</v>
      </c>
      <c r="AK266" s="16">
        <v>152</v>
      </c>
      <c r="AL266" s="16">
        <v>376</v>
      </c>
      <c r="AM266" s="16">
        <v>1920</v>
      </c>
      <c r="AN266" s="16">
        <v>4800</v>
      </c>
      <c r="AO266" s="15">
        <v>60</v>
      </c>
      <c r="AP266" s="15">
        <v>150</v>
      </c>
      <c r="AQ266" s="15"/>
      <c r="AR266" s="15"/>
      <c r="AS266" s="15"/>
      <c r="AT266" s="15"/>
      <c r="AU266" s="15">
        <v>74</v>
      </c>
      <c r="AV266" s="15">
        <v>184</v>
      </c>
      <c r="AW266" s="15">
        <v>16</v>
      </c>
      <c r="AX266" s="15">
        <v>38</v>
      </c>
      <c r="AY266" s="27">
        <f t="shared" si="15"/>
        <v>5470</v>
      </c>
      <c r="AZ266" s="27">
        <f t="shared" si="16"/>
        <v>13654</v>
      </c>
    </row>
    <row r="267" spans="1:52" x14ac:dyDescent="0.25">
      <c r="A267" s="13">
        <v>322</v>
      </c>
      <c r="B267" s="19" t="s">
        <v>572</v>
      </c>
      <c r="C267" s="26" t="s">
        <v>573</v>
      </c>
      <c r="D267" s="19" t="s">
        <v>42</v>
      </c>
      <c r="E267" s="16">
        <v>6</v>
      </c>
      <c r="F267" s="16">
        <v>12</v>
      </c>
      <c r="G267" s="16">
        <v>100</v>
      </c>
      <c r="H267" s="16">
        <v>250</v>
      </c>
      <c r="I267" s="16">
        <v>4000</v>
      </c>
      <c r="J267" s="16">
        <v>10000</v>
      </c>
      <c r="K267" s="16">
        <v>10</v>
      </c>
      <c r="L267" s="16">
        <v>24</v>
      </c>
      <c r="M267" s="16">
        <v>42</v>
      </c>
      <c r="N267" s="16">
        <v>100</v>
      </c>
      <c r="O267" s="16">
        <v>15</v>
      </c>
      <c r="P267" s="16">
        <v>35</v>
      </c>
      <c r="Q267" s="16">
        <v>8</v>
      </c>
      <c r="R267" s="16">
        <v>20</v>
      </c>
      <c r="S267" s="16">
        <v>8</v>
      </c>
      <c r="T267" s="16">
        <v>18</v>
      </c>
      <c r="U267" s="16">
        <v>704</v>
      </c>
      <c r="V267" s="16">
        <v>1760</v>
      </c>
      <c r="W267" s="16">
        <v>32</v>
      </c>
      <c r="X267" s="16">
        <v>80</v>
      </c>
      <c r="Y267" s="16">
        <v>94</v>
      </c>
      <c r="Z267" s="16">
        <v>232</v>
      </c>
      <c r="AA267" s="16"/>
      <c r="AB267" s="16"/>
      <c r="AC267" s="16">
        <v>690</v>
      </c>
      <c r="AD267" s="16">
        <v>1723</v>
      </c>
      <c r="AE267" s="16"/>
      <c r="AF267" s="16"/>
      <c r="AG267" s="16"/>
      <c r="AH267" s="16"/>
      <c r="AI267" s="16">
        <v>144</v>
      </c>
      <c r="AJ267" s="16">
        <v>360</v>
      </c>
      <c r="AK267" s="16">
        <v>4864</v>
      </c>
      <c r="AL267" s="16">
        <v>12160</v>
      </c>
      <c r="AM267" s="16"/>
      <c r="AN267" s="16"/>
      <c r="AO267" s="15"/>
      <c r="AP267" s="15"/>
      <c r="AQ267" s="15">
        <v>2</v>
      </c>
      <c r="AR267" s="15">
        <v>4</v>
      </c>
      <c r="AS267" s="15"/>
      <c r="AT267" s="15"/>
      <c r="AU267" s="15"/>
      <c r="AV267" s="15"/>
      <c r="AW267" s="15">
        <v>4</v>
      </c>
      <c r="AX267" s="15">
        <v>6</v>
      </c>
      <c r="AY267" s="27">
        <f t="shared" si="15"/>
        <v>10723</v>
      </c>
      <c r="AZ267" s="27">
        <f t="shared" si="16"/>
        <v>26784</v>
      </c>
    </row>
    <row r="268" spans="1:52" x14ac:dyDescent="0.25">
      <c r="A268" s="13">
        <v>323</v>
      </c>
      <c r="B268" s="19" t="s">
        <v>574</v>
      </c>
      <c r="C268" s="26" t="s">
        <v>575</v>
      </c>
      <c r="D268" s="19" t="s">
        <v>42</v>
      </c>
      <c r="E268" s="16"/>
      <c r="F268" s="16"/>
      <c r="G268" s="16">
        <v>100</v>
      </c>
      <c r="H268" s="16">
        <v>250</v>
      </c>
      <c r="I268" s="16">
        <v>2200</v>
      </c>
      <c r="J268" s="16">
        <v>5500</v>
      </c>
      <c r="K268" s="16"/>
      <c r="L268" s="16"/>
      <c r="M268" s="16"/>
      <c r="N268" s="16"/>
      <c r="O268" s="16">
        <v>15</v>
      </c>
      <c r="P268" s="16">
        <v>35</v>
      </c>
      <c r="Q268" s="16"/>
      <c r="R268" s="16"/>
      <c r="S268" s="16">
        <v>6</v>
      </c>
      <c r="T268" s="16">
        <v>11</v>
      </c>
      <c r="U268" s="16">
        <v>220</v>
      </c>
      <c r="V268" s="16">
        <v>550</v>
      </c>
      <c r="W268" s="16">
        <v>32</v>
      </c>
      <c r="X268" s="16">
        <v>80</v>
      </c>
      <c r="Y268" s="16">
        <v>24</v>
      </c>
      <c r="Z268" s="16">
        <v>60</v>
      </c>
      <c r="AA268" s="16"/>
      <c r="AB268" s="16"/>
      <c r="AC268" s="16">
        <v>160</v>
      </c>
      <c r="AD268" s="16">
        <v>398</v>
      </c>
      <c r="AE268" s="16"/>
      <c r="AF268" s="16"/>
      <c r="AG268" s="16">
        <v>30</v>
      </c>
      <c r="AH268" s="16">
        <v>74</v>
      </c>
      <c r="AI268" s="16">
        <v>136</v>
      </c>
      <c r="AJ268" s="16">
        <v>340</v>
      </c>
      <c r="AK268" s="16">
        <v>2416</v>
      </c>
      <c r="AL268" s="16">
        <v>6040</v>
      </c>
      <c r="AM268" s="16"/>
      <c r="AN268" s="16"/>
      <c r="AO268" s="15"/>
      <c r="AP268" s="15"/>
      <c r="AQ268" s="15"/>
      <c r="AR268" s="15"/>
      <c r="AS268" s="15">
        <v>40</v>
      </c>
      <c r="AT268" s="15">
        <v>100</v>
      </c>
      <c r="AU268" s="15"/>
      <c r="AV268" s="15"/>
      <c r="AW268" s="15"/>
      <c r="AX268" s="15"/>
      <c r="AY268" s="27">
        <f t="shared" si="15"/>
        <v>5379</v>
      </c>
      <c r="AZ268" s="27">
        <f t="shared" si="16"/>
        <v>13438</v>
      </c>
    </row>
    <row r="269" spans="1:52" x14ac:dyDescent="0.25">
      <c r="A269" s="13">
        <v>324</v>
      </c>
      <c r="B269" s="19" t="s">
        <v>576</v>
      </c>
      <c r="C269" s="26" t="s">
        <v>577</v>
      </c>
      <c r="D269" s="19" t="s">
        <v>42</v>
      </c>
      <c r="E269" s="16"/>
      <c r="F269" s="16"/>
      <c r="G269" s="16">
        <v>100</v>
      </c>
      <c r="H269" s="16">
        <v>250</v>
      </c>
      <c r="I269" s="16">
        <v>6000</v>
      </c>
      <c r="J269" s="16">
        <v>15000</v>
      </c>
      <c r="K269" s="16">
        <v>58</v>
      </c>
      <c r="L269" s="16">
        <v>144</v>
      </c>
      <c r="M269" s="16"/>
      <c r="N269" s="16"/>
      <c r="O269" s="16">
        <v>15</v>
      </c>
      <c r="P269" s="16">
        <v>35</v>
      </c>
      <c r="Q269" s="16"/>
      <c r="R269" s="16"/>
      <c r="S269" s="16">
        <v>10</v>
      </c>
      <c r="T269" s="16">
        <v>22</v>
      </c>
      <c r="U269" s="16">
        <v>44</v>
      </c>
      <c r="V269" s="16">
        <v>110</v>
      </c>
      <c r="W269" s="16">
        <v>32</v>
      </c>
      <c r="X269" s="16">
        <v>80</v>
      </c>
      <c r="Y269" s="16">
        <v>50</v>
      </c>
      <c r="Z269" s="16">
        <v>122</v>
      </c>
      <c r="AA269" s="16"/>
      <c r="AB269" s="16"/>
      <c r="AC269" s="16">
        <v>106</v>
      </c>
      <c r="AD269" s="16">
        <v>262</v>
      </c>
      <c r="AE269" s="16"/>
      <c r="AF269" s="16"/>
      <c r="AG269" s="16">
        <v>16</v>
      </c>
      <c r="AH269" s="16">
        <v>39</v>
      </c>
      <c r="AI269" s="16">
        <v>48</v>
      </c>
      <c r="AJ269" s="16">
        <v>120</v>
      </c>
      <c r="AK269" s="16">
        <v>64</v>
      </c>
      <c r="AL269" s="16">
        <v>160</v>
      </c>
      <c r="AM269" s="16">
        <v>96</v>
      </c>
      <c r="AN269" s="16">
        <v>240</v>
      </c>
      <c r="AO269" s="15"/>
      <c r="AP269" s="15"/>
      <c r="AQ269" s="15">
        <v>2</v>
      </c>
      <c r="AR269" s="15">
        <v>2</v>
      </c>
      <c r="AS269" s="15"/>
      <c r="AT269" s="15"/>
      <c r="AU269" s="15">
        <v>200</v>
      </c>
      <c r="AV269" s="15">
        <v>500</v>
      </c>
      <c r="AW269" s="15"/>
      <c r="AX269" s="15"/>
      <c r="AY269" s="27">
        <f t="shared" si="15"/>
        <v>6841</v>
      </c>
      <c r="AZ269" s="27">
        <f t="shared" si="16"/>
        <v>17086</v>
      </c>
    </row>
    <row r="270" spans="1:52" x14ac:dyDescent="0.25">
      <c r="A270" s="13">
        <v>325</v>
      </c>
      <c r="B270" s="19" t="s">
        <v>578</v>
      </c>
      <c r="C270" s="26" t="s">
        <v>579</v>
      </c>
      <c r="D270" s="19" t="s">
        <v>42</v>
      </c>
      <c r="E270" s="16">
        <v>10</v>
      </c>
      <c r="F270" s="16">
        <v>24</v>
      </c>
      <c r="G270" s="16"/>
      <c r="H270" s="16"/>
      <c r="I270" s="16">
        <v>3600</v>
      </c>
      <c r="J270" s="16">
        <v>9000</v>
      </c>
      <c r="K270" s="16">
        <v>240</v>
      </c>
      <c r="L270" s="16">
        <v>600</v>
      </c>
      <c r="M270" s="16"/>
      <c r="N270" s="16"/>
      <c r="O270" s="16">
        <v>15</v>
      </c>
      <c r="P270" s="16">
        <v>35</v>
      </c>
      <c r="Q270" s="16">
        <v>192</v>
      </c>
      <c r="R270" s="16">
        <v>474</v>
      </c>
      <c r="S270" s="16">
        <v>92</v>
      </c>
      <c r="T270" s="16">
        <v>229</v>
      </c>
      <c r="U270" s="16">
        <v>308</v>
      </c>
      <c r="V270" s="16">
        <v>770</v>
      </c>
      <c r="W270" s="16">
        <v>32</v>
      </c>
      <c r="X270" s="16">
        <v>80</v>
      </c>
      <c r="Y270" s="16">
        <v>2</v>
      </c>
      <c r="Z270" s="16">
        <v>2</v>
      </c>
      <c r="AA270" s="16"/>
      <c r="AB270" s="16"/>
      <c r="AC270" s="16">
        <v>181</v>
      </c>
      <c r="AD270" s="16">
        <v>452</v>
      </c>
      <c r="AE270" s="16"/>
      <c r="AF270" s="16"/>
      <c r="AG270" s="16">
        <v>16</v>
      </c>
      <c r="AH270" s="16">
        <v>39</v>
      </c>
      <c r="AI270" s="16">
        <v>40</v>
      </c>
      <c r="AJ270" s="16">
        <v>100</v>
      </c>
      <c r="AK270" s="16">
        <v>56</v>
      </c>
      <c r="AL270" s="16">
        <v>140</v>
      </c>
      <c r="AM270" s="16">
        <v>384</v>
      </c>
      <c r="AN270" s="16">
        <v>960</v>
      </c>
      <c r="AO270" s="15"/>
      <c r="AP270" s="15"/>
      <c r="AQ270" s="15"/>
      <c r="AR270" s="15"/>
      <c r="AS270" s="15">
        <v>56</v>
      </c>
      <c r="AT270" s="15">
        <v>140</v>
      </c>
      <c r="AU270" s="15"/>
      <c r="AV270" s="15"/>
      <c r="AW270" s="15">
        <v>88</v>
      </c>
      <c r="AX270" s="15">
        <v>220</v>
      </c>
      <c r="AY270" s="27">
        <f t="shared" si="15"/>
        <v>5312</v>
      </c>
      <c r="AZ270" s="27">
        <f t="shared" si="16"/>
        <v>13265</v>
      </c>
    </row>
    <row r="271" spans="1:52" x14ac:dyDescent="0.25">
      <c r="A271" s="13">
        <v>326</v>
      </c>
      <c r="B271" s="19" t="s">
        <v>580</v>
      </c>
      <c r="C271" s="26" t="s">
        <v>581</v>
      </c>
      <c r="D271" s="19" t="s">
        <v>42</v>
      </c>
      <c r="E271" s="16">
        <v>16</v>
      </c>
      <c r="F271" s="16">
        <v>40</v>
      </c>
      <c r="G271" s="16">
        <v>14</v>
      </c>
      <c r="H271" s="16">
        <v>34</v>
      </c>
      <c r="I271" s="16">
        <v>4496</v>
      </c>
      <c r="J271" s="16">
        <v>11237</v>
      </c>
      <c r="K271" s="16"/>
      <c r="L271" s="16"/>
      <c r="M271" s="16">
        <v>105</v>
      </c>
      <c r="N271" s="16">
        <v>261</v>
      </c>
      <c r="O271" s="16">
        <v>113</v>
      </c>
      <c r="P271" s="16">
        <v>280</v>
      </c>
      <c r="Q271" s="16">
        <v>16</v>
      </c>
      <c r="R271" s="16">
        <v>38</v>
      </c>
      <c r="S271" s="16">
        <v>31</v>
      </c>
      <c r="T271" s="16">
        <v>76</v>
      </c>
      <c r="U271" s="16">
        <v>708</v>
      </c>
      <c r="V271" s="16">
        <v>1770</v>
      </c>
      <c r="W271" s="16">
        <v>304</v>
      </c>
      <c r="X271" s="16">
        <v>760</v>
      </c>
      <c r="Y271" s="16">
        <v>184</v>
      </c>
      <c r="Z271" s="16">
        <v>452</v>
      </c>
      <c r="AA271" s="16">
        <v>320</v>
      </c>
      <c r="AB271" s="16">
        <v>800</v>
      </c>
      <c r="AC271" s="16">
        <v>13</v>
      </c>
      <c r="AD271" s="16">
        <v>29</v>
      </c>
      <c r="AE271" s="16"/>
      <c r="AF271" s="16"/>
      <c r="AG271" s="16">
        <v>6284</v>
      </c>
      <c r="AH271" s="16">
        <v>15710</v>
      </c>
      <c r="AI271" s="16">
        <v>600</v>
      </c>
      <c r="AJ271" s="16">
        <v>1500</v>
      </c>
      <c r="AK271" s="16">
        <v>528</v>
      </c>
      <c r="AL271" s="16">
        <v>1318</v>
      </c>
      <c r="AM271" s="16">
        <v>886</v>
      </c>
      <c r="AN271" s="16">
        <v>2212</v>
      </c>
      <c r="AO271" s="15">
        <v>131</v>
      </c>
      <c r="AP271" s="15">
        <v>325</v>
      </c>
      <c r="AQ271" s="15">
        <v>4</v>
      </c>
      <c r="AR271" s="15">
        <v>8</v>
      </c>
      <c r="AS271" s="15"/>
      <c r="AT271" s="15"/>
      <c r="AU271" s="15">
        <v>184</v>
      </c>
      <c r="AV271" s="15">
        <v>458</v>
      </c>
      <c r="AW271" s="15"/>
      <c r="AX271" s="15"/>
      <c r="AY271" s="27">
        <f t="shared" si="15"/>
        <v>14937</v>
      </c>
      <c r="AZ271" s="27">
        <f t="shared" si="16"/>
        <v>37308</v>
      </c>
    </row>
    <row r="272" spans="1:52" x14ac:dyDescent="0.25">
      <c r="A272" s="13">
        <v>327</v>
      </c>
      <c r="B272" s="19" t="s">
        <v>582</v>
      </c>
      <c r="C272" s="26" t="s">
        <v>583</v>
      </c>
      <c r="D272" s="19" t="s">
        <v>42</v>
      </c>
      <c r="E272" s="16"/>
      <c r="F272" s="16"/>
      <c r="G272" s="16"/>
      <c r="H272" s="16"/>
      <c r="I272" s="16"/>
      <c r="J272" s="16"/>
      <c r="K272" s="16">
        <v>20</v>
      </c>
      <c r="L272" s="16">
        <v>50</v>
      </c>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v>4</v>
      </c>
      <c r="AJ272" s="16">
        <v>6</v>
      </c>
      <c r="AK272" s="16">
        <v>4</v>
      </c>
      <c r="AL272" s="16">
        <v>6</v>
      </c>
      <c r="AM272" s="16"/>
      <c r="AN272" s="16"/>
      <c r="AO272" s="15">
        <v>12</v>
      </c>
      <c r="AP272" s="15">
        <v>30</v>
      </c>
      <c r="AQ272" s="15"/>
      <c r="AR272" s="15"/>
      <c r="AS272" s="15"/>
      <c r="AT272" s="15"/>
      <c r="AU272" s="15"/>
      <c r="AV272" s="15"/>
      <c r="AW272" s="15"/>
      <c r="AX272" s="15"/>
      <c r="AY272" s="27">
        <f t="shared" si="15"/>
        <v>40</v>
      </c>
      <c r="AZ272" s="27">
        <f t="shared" si="16"/>
        <v>92</v>
      </c>
    </row>
    <row r="273" spans="1:52" x14ac:dyDescent="0.25">
      <c r="A273" s="13">
        <v>328</v>
      </c>
      <c r="B273" s="19" t="s">
        <v>584</v>
      </c>
      <c r="C273" s="26" t="s">
        <v>585</v>
      </c>
      <c r="D273" s="19" t="s">
        <v>42</v>
      </c>
      <c r="E273" s="16"/>
      <c r="F273" s="16"/>
      <c r="G273" s="16">
        <v>2</v>
      </c>
      <c r="H273" s="16">
        <v>2</v>
      </c>
      <c r="I273" s="16">
        <v>1738</v>
      </c>
      <c r="J273" s="16">
        <v>4342</v>
      </c>
      <c r="K273" s="16">
        <v>168</v>
      </c>
      <c r="L273" s="16">
        <v>420</v>
      </c>
      <c r="M273" s="16">
        <v>826</v>
      </c>
      <c r="N273" s="16">
        <v>2062</v>
      </c>
      <c r="O273" s="16">
        <v>4</v>
      </c>
      <c r="P273" s="16">
        <v>7</v>
      </c>
      <c r="Q273" s="16">
        <v>16</v>
      </c>
      <c r="R273" s="16">
        <v>38</v>
      </c>
      <c r="S273" s="16">
        <v>4</v>
      </c>
      <c r="T273" s="16">
        <v>8</v>
      </c>
      <c r="U273" s="16"/>
      <c r="V273" s="16"/>
      <c r="W273" s="16">
        <v>36</v>
      </c>
      <c r="X273" s="16">
        <v>90</v>
      </c>
      <c r="Y273" s="16">
        <v>74</v>
      </c>
      <c r="Z273" s="16">
        <v>184</v>
      </c>
      <c r="AA273" s="16">
        <v>20</v>
      </c>
      <c r="AB273" s="16">
        <v>50</v>
      </c>
      <c r="AC273" s="16"/>
      <c r="AD273" s="16"/>
      <c r="AE273" s="16"/>
      <c r="AF273" s="16"/>
      <c r="AG273" s="16">
        <v>8</v>
      </c>
      <c r="AH273" s="16">
        <v>20</v>
      </c>
      <c r="AI273" s="16">
        <v>96</v>
      </c>
      <c r="AJ273" s="16">
        <v>240</v>
      </c>
      <c r="AK273" s="16">
        <v>504</v>
      </c>
      <c r="AL273" s="16">
        <v>1260</v>
      </c>
      <c r="AM273" s="16"/>
      <c r="AN273" s="16"/>
      <c r="AO273" s="15">
        <v>4</v>
      </c>
      <c r="AP273" s="15">
        <v>10</v>
      </c>
      <c r="AQ273" s="15"/>
      <c r="AR273" s="15"/>
      <c r="AS273" s="15"/>
      <c r="AT273" s="15"/>
      <c r="AU273" s="15"/>
      <c r="AV273" s="15"/>
      <c r="AW273" s="15"/>
      <c r="AX273" s="15"/>
      <c r="AY273" s="27">
        <f t="shared" si="15"/>
        <v>3500</v>
      </c>
      <c r="AZ273" s="27">
        <f t="shared" si="16"/>
        <v>8733</v>
      </c>
    </row>
    <row r="274" spans="1:52" x14ac:dyDescent="0.25">
      <c r="A274" s="13">
        <v>329</v>
      </c>
      <c r="B274" s="19" t="s">
        <v>586</v>
      </c>
      <c r="C274" s="26" t="s">
        <v>587</v>
      </c>
      <c r="D274" s="19" t="s">
        <v>42</v>
      </c>
      <c r="E274" s="16">
        <v>16</v>
      </c>
      <c r="F274" s="16">
        <v>36</v>
      </c>
      <c r="G274" s="16">
        <v>16</v>
      </c>
      <c r="H274" s="16">
        <v>40</v>
      </c>
      <c r="I274" s="16"/>
      <c r="J274" s="16"/>
      <c r="K274" s="16">
        <v>488</v>
      </c>
      <c r="L274" s="16">
        <v>1220</v>
      </c>
      <c r="M274" s="16"/>
      <c r="N274" s="16"/>
      <c r="O274" s="16"/>
      <c r="P274" s="16"/>
      <c r="Q274" s="16">
        <v>56</v>
      </c>
      <c r="R274" s="16">
        <v>134</v>
      </c>
      <c r="S274" s="16">
        <v>13</v>
      </c>
      <c r="T274" s="16">
        <v>32</v>
      </c>
      <c r="U274" s="16">
        <v>636</v>
      </c>
      <c r="V274" s="16">
        <v>1590</v>
      </c>
      <c r="W274" s="16">
        <v>32</v>
      </c>
      <c r="X274" s="16">
        <v>80</v>
      </c>
      <c r="Y274" s="16">
        <v>8</v>
      </c>
      <c r="Z274" s="16">
        <v>20</v>
      </c>
      <c r="AA274" s="16">
        <v>4</v>
      </c>
      <c r="AB274" s="16">
        <v>6</v>
      </c>
      <c r="AC274" s="16">
        <v>176</v>
      </c>
      <c r="AD274" s="16">
        <v>440</v>
      </c>
      <c r="AE274" s="16"/>
      <c r="AF274" s="16"/>
      <c r="AG274" s="16">
        <v>232</v>
      </c>
      <c r="AH274" s="16">
        <v>580</v>
      </c>
      <c r="AI274" s="16">
        <v>440</v>
      </c>
      <c r="AJ274" s="16">
        <v>1100</v>
      </c>
      <c r="AK274" s="16">
        <v>24</v>
      </c>
      <c r="AL274" s="16">
        <v>60</v>
      </c>
      <c r="AM274" s="16"/>
      <c r="AN274" s="16"/>
      <c r="AO274" s="15"/>
      <c r="AP274" s="15"/>
      <c r="AQ274" s="15"/>
      <c r="AR274" s="15"/>
      <c r="AS274" s="15"/>
      <c r="AT274" s="15"/>
      <c r="AU274" s="15"/>
      <c r="AV274" s="15"/>
      <c r="AW274" s="15"/>
      <c r="AX274" s="15"/>
      <c r="AY274" s="27">
        <f t="shared" si="15"/>
        <v>2141</v>
      </c>
      <c r="AZ274" s="27">
        <f t="shared" si="16"/>
        <v>5338</v>
      </c>
    </row>
    <row r="275" spans="1:52" x14ac:dyDescent="0.25">
      <c r="A275" s="13">
        <v>330</v>
      </c>
      <c r="B275" s="19" t="s">
        <v>588</v>
      </c>
      <c r="C275" s="26" t="s">
        <v>589</v>
      </c>
      <c r="D275" s="19" t="s">
        <v>42</v>
      </c>
      <c r="E275" s="16">
        <v>320</v>
      </c>
      <c r="F275" s="16">
        <v>800</v>
      </c>
      <c r="G275" s="16"/>
      <c r="H275" s="16"/>
      <c r="I275" s="16"/>
      <c r="J275" s="16"/>
      <c r="K275" s="16"/>
      <c r="L275" s="16"/>
      <c r="M275" s="16">
        <v>1160</v>
      </c>
      <c r="N275" s="16">
        <v>2900</v>
      </c>
      <c r="O275" s="16">
        <v>198</v>
      </c>
      <c r="P275" s="16">
        <v>490</v>
      </c>
      <c r="Q275" s="16"/>
      <c r="R275" s="16"/>
      <c r="S275" s="16">
        <v>16</v>
      </c>
      <c r="T275" s="16">
        <v>37</v>
      </c>
      <c r="U275" s="16"/>
      <c r="V275" s="16"/>
      <c r="W275" s="16">
        <v>8</v>
      </c>
      <c r="X275" s="16">
        <v>19</v>
      </c>
      <c r="Y275" s="16">
        <v>8</v>
      </c>
      <c r="Z275" s="16">
        <v>20</v>
      </c>
      <c r="AA275" s="16"/>
      <c r="AB275" s="16"/>
      <c r="AC275" s="16"/>
      <c r="AD275" s="16"/>
      <c r="AE275" s="16">
        <v>155</v>
      </c>
      <c r="AF275" s="16">
        <v>385</v>
      </c>
      <c r="AG275" s="16"/>
      <c r="AH275" s="16"/>
      <c r="AI275" s="16"/>
      <c r="AJ275" s="16"/>
      <c r="AK275" s="16">
        <v>72</v>
      </c>
      <c r="AL275" s="16">
        <v>180</v>
      </c>
      <c r="AM275" s="16"/>
      <c r="AN275" s="16"/>
      <c r="AO275" s="15">
        <v>120</v>
      </c>
      <c r="AP275" s="15">
        <v>300</v>
      </c>
      <c r="AQ275" s="15">
        <v>40</v>
      </c>
      <c r="AR275" s="15">
        <v>100</v>
      </c>
      <c r="AS275" s="15"/>
      <c r="AT275" s="15"/>
      <c r="AU275" s="15"/>
      <c r="AV275" s="15"/>
      <c r="AW275" s="15"/>
      <c r="AX275" s="15"/>
      <c r="AY275" s="27">
        <f t="shared" si="15"/>
        <v>2097</v>
      </c>
      <c r="AZ275" s="27">
        <f t="shared" si="16"/>
        <v>5231</v>
      </c>
    </row>
    <row r="276" spans="1:52" x14ac:dyDescent="0.25">
      <c r="A276" s="13">
        <v>331</v>
      </c>
      <c r="B276" s="19" t="s">
        <v>590</v>
      </c>
      <c r="C276" s="26" t="s">
        <v>591</v>
      </c>
      <c r="D276" s="19" t="s">
        <v>42</v>
      </c>
      <c r="E276" s="16"/>
      <c r="F276" s="16"/>
      <c r="G276" s="16"/>
      <c r="H276" s="16"/>
      <c r="I276" s="16">
        <v>520</v>
      </c>
      <c r="J276" s="16">
        <v>1300</v>
      </c>
      <c r="K276" s="16">
        <v>469</v>
      </c>
      <c r="L276" s="16">
        <v>1171</v>
      </c>
      <c r="M276" s="16">
        <v>1056</v>
      </c>
      <c r="N276" s="16">
        <v>2636</v>
      </c>
      <c r="O276" s="16">
        <v>77</v>
      </c>
      <c r="P276" s="16">
        <v>191</v>
      </c>
      <c r="Q276" s="16">
        <v>8</v>
      </c>
      <c r="R276" s="16">
        <v>18</v>
      </c>
      <c r="S276" s="16">
        <v>3</v>
      </c>
      <c r="T276" s="16">
        <v>6</v>
      </c>
      <c r="U276" s="16"/>
      <c r="V276" s="16"/>
      <c r="W276" s="16">
        <v>36</v>
      </c>
      <c r="X276" s="16">
        <v>90</v>
      </c>
      <c r="Y276" s="16">
        <v>8</v>
      </c>
      <c r="Z276" s="16">
        <v>20</v>
      </c>
      <c r="AA276" s="16"/>
      <c r="AB276" s="16"/>
      <c r="AC276" s="16">
        <v>18</v>
      </c>
      <c r="AD276" s="16">
        <v>44</v>
      </c>
      <c r="AE276" s="16">
        <v>288</v>
      </c>
      <c r="AF276" s="16">
        <v>720</v>
      </c>
      <c r="AG276" s="16">
        <v>10</v>
      </c>
      <c r="AH276" s="16">
        <v>24</v>
      </c>
      <c r="AI276" s="16">
        <v>144</v>
      </c>
      <c r="AJ276" s="16">
        <v>360</v>
      </c>
      <c r="AK276" s="16">
        <v>16</v>
      </c>
      <c r="AL276" s="16">
        <v>40</v>
      </c>
      <c r="AM276" s="16"/>
      <c r="AN276" s="16"/>
      <c r="AO276" s="15">
        <v>1000</v>
      </c>
      <c r="AP276" s="15">
        <v>2500</v>
      </c>
      <c r="AQ276" s="15">
        <v>4</v>
      </c>
      <c r="AR276" s="15">
        <v>8</v>
      </c>
      <c r="AS276" s="15"/>
      <c r="AT276" s="15"/>
      <c r="AU276" s="15"/>
      <c r="AV276" s="15"/>
      <c r="AW276" s="15">
        <v>2</v>
      </c>
      <c r="AX276" s="15">
        <v>4</v>
      </c>
      <c r="AY276" s="27">
        <f t="shared" si="15"/>
        <v>3659</v>
      </c>
      <c r="AZ276" s="27">
        <f t="shared" si="16"/>
        <v>9132</v>
      </c>
    </row>
    <row r="277" spans="1:52" x14ac:dyDescent="0.25">
      <c r="A277" s="13">
        <v>332</v>
      </c>
      <c r="B277" s="19" t="s">
        <v>592</v>
      </c>
      <c r="C277" s="26" t="s">
        <v>593</v>
      </c>
      <c r="D277" s="19" t="s">
        <v>42</v>
      </c>
      <c r="E277" s="16"/>
      <c r="F277" s="16"/>
      <c r="G277" s="16"/>
      <c r="H277" s="16"/>
      <c r="I277" s="16"/>
      <c r="J277" s="16"/>
      <c r="K277" s="16">
        <v>600</v>
      </c>
      <c r="L277" s="16">
        <v>1500</v>
      </c>
      <c r="M277" s="16">
        <v>88</v>
      </c>
      <c r="N277" s="16">
        <v>220</v>
      </c>
      <c r="O277" s="16"/>
      <c r="P277" s="16"/>
      <c r="Q277" s="16"/>
      <c r="R277" s="16"/>
      <c r="S277" s="16"/>
      <c r="T277" s="16"/>
      <c r="U277" s="16"/>
      <c r="V277" s="16"/>
      <c r="W277" s="16"/>
      <c r="X277" s="16"/>
      <c r="Y277" s="16"/>
      <c r="Z277" s="16"/>
      <c r="AA277" s="16"/>
      <c r="AB277" s="16"/>
      <c r="AC277" s="16"/>
      <c r="AD277" s="16"/>
      <c r="AE277" s="16">
        <v>347</v>
      </c>
      <c r="AF277" s="16">
        <v>865</v>
      </c>
      <c r="AG277" s="16">
        <v>4</v>
      </c>
      <c r="AH277" s="16">
        <v>10</v>
      </c>
      <c r="AI277" s="16">
        <v>144</v>
      </c>
      <c r="AJ277" s="16">
        <v>360</v>
      </c>
      <c r="AK277" s="16">
        <v>8</v>
      </c>
      <c r="AL277" s="16">
        <v>20</v>
      </c>
      <c r="AM277" s="16"/>
      <c r="AN277" s="16"/>
      <c r="AO277" s="15">
        <v>24</v>
      </c>
      <c r="AP277" s="15">
        <v>60</v>
      </c>
      <c r="AQ277" s="15"/>
      <c r="AR277" s="15"/>
      <c r="AS277" s="15"/>
      <c r="AT277" s="15"/>
      <c r="AU277" s="15"/>
      <c r="AV277" s="15"/>
      <c r="AW277" s="15"/>
      <c r="AX277" s="15"/>
      <c r="AY277" s="27">
        <f t="shared" si="15"/>
        <v>1215</v>
      </c>
      <c r="AZ277" s="27">
        <f t="shared" si="16"/>
        <v>3035</v>
      </c>
    </row>
    <row r="278" spans="1:52" x14ac:dyDescent="0.25">
      <c r="A278" s="13">
        <v>333</v>
      </c>
      <c r="B278" s="19" t="s">
        <v>594</v>
      </c>
      <c r="C278" s="26" t="s">
        <v>595</v>
      </c>
      <c r="D278" s="19" t="s">
        <v>42</v>
      </c>
      <c r="E278" s="16">
        <v>4</v>
      </c>
      <c r="F278" s="16">
        <v>6</v>
      </c>
      <c r="G278" s="16"/>
      <c r="H278" s="16"/>
      <c r="I278" s="16">
        <v>32</v>
      </c>
      <c r="J278" s="16">
        <v>80</v>
      </c>
      <c r="K278" s="16">
        <v>360</v>
      </c>
      <c r="L278" s="16">
        <v>896</v>
      </c>
      <c r="M278" s="16"/>
      <c r="N278" s="16"/>
      <c r="O278" s="16"/>
      <c r="P278" s="16"/>
      <c r="Q278" s="16"/>
      <c r="R278" s="16"/>
      <c r="S278" s="16"/>
      <c r="T278" s="16"/>
      <c r="U278" s="16"/>
      <c r="V278" s="16"/>
      <c r="W278" s="16"/>
      <c r="X278" s="16"/>
      <c r="Y278" s="16"/>
      <c r="Z278" s="16"/>
      <c r="AA278" s="16"/>
      <c r="AB278" s="16"/>
      <c r="AC278" s="16"/>
      <c r="AD278" s="16"/>
      <c r="AE278" s="16"/>
      <c r="AF278" s="16"/>
      <c r="AG278" s="16">
        <v>10</v>
      </c>
      <c r="AH278" s="16">
        <v>24</v>
      </c>
      <c r="AI278" s="16">
        <v>488</v>
      </c>
      <c r="AJ278" s="16">
        <v>1220</v>
      </c>
      <c r="AK278" s="16">
        <v>8</v>
      </c>
      <c r="AL278" s="16">
        <v>20</v>
      </c>
      <c r="AM278" s="16"/>
      <c r="AN278" s="16"/>
      <c r="AO278" s="15">
        <v>240</v>
      </c>
      <c r="AP278" s="15">
        <v>600</v>
      </c>
      <c r="AQ278" s="15">
        <v>40</v>
      </c>
      <c r="AR278" s="15">
        <v>100</v>
      </c>
      <c r="AS278" s="15"/>
      <c r="AT278" s="15"/>
      <c r="AU278" s="15"/>
      <c r="AV278" s="15"/>
      <c r="AW278" s="15"/>
      <c r="AX278" s="15"/>
      <c r="AY278" s="27">
        <f t="shared" si="15"/>
        <v>1182</v>
      </c>
      <c r="AZ278" s="27">
        <f t="shared" si="16"/>
        <v>2946</v>
      </c>
    </row>
    <row r="279" spans="1:52" x14ac:dyDescent="0.25">
      <c r="A279" s="13">
        <v>334</v>
      </c>
      <c r="B279" s="19" t="s">
        <v>596</v>
      </c>
      <c r="C279" s="26" t="s">
        <v>597</v>
      </c>
      <c r="D279" s="19" t="s">
        <v>42</v>
      </c>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5"/>
      <c r="AP279" s="15"/>
      <c r="AQ279" s="15">
        <v>384</v>
      </c>
      <c r="AR279" s="15">
        <v>960</v>
      </c>
      <c r="AS279" s="15"/>
      <c r="AT279" s="15"/>
      <c r="AU279" s="15"/>
      <c r="AV279" s="15"/>
      <c r="AW279" s="15"/>
      <c r="AX279" s="15"/>
      <c r="AY279" s="27">
        <f t="shared" si="15"/>
        <v>384</v>
      </c>
      <c r="AZ279" s="27">
        <f t="shared" si="16"/>
        <v>960</v>
      </c>
    </row>
    <row r="280" spans="1:52" x14ac:dyDescent="0.25">
      <c r="A280" s="13">
        <v>337</v>
      </c>
      <c r="B280" s="19" t="s">
        <v>598</v>
      </c>
      <c r="C280" s="26" t="s">
        <v>599</v>
      </c>
      <c r="D280" s="19" t="s">
        <v>42</v>
      </c>
      <c r="E280" s="16"/>
      <c r="F280" s="16"/>
      <c r="G280" s="16"/>
      <c r="H280" s="16"/>
      <c r="I280" s="16">
        <v>4800</v>
      </c>
      <c r="J280" s="16">
        <v>12000</v>
      </c>
      <c r="K280" s="16">
        <v>838</v>
      </c>
      <c r="L280" s="16">
        <v>2094</v>
      </c>
      <c r="M280" s="16"/>
      <c r="N280" s="16"/>
      <c r="O280" s="16">
        <v>639</v>
      </c>
      <c r="P280" s="16">
        <v>1596</v>
      </c>
      <c r="Q280" s="16"/>
      <c r="R280" s="16"/>
      <c r="S280" s="16">
        <v>6</v>
      </c>
      <c r="T280" s="16">
        <v>11</v>
      </c>
      <c r="U280" s="16"/>
      <c r="V280" s="16"/>
      <c r="W280" s="16">
        <v>8</v>
      </c>
      <c r="X280" s="16">
        <v>18</v>
      </c>
      <c r="Y280" s="16">
        <v>2</v>
      </c>
      <c r="Z280" s="16">
        <v>4</v>
      </c>
      <c r="AA280" s="16">
        <v>1200</v>
      </c>
      <c r="AB280" s="16">
        <v>3000</v>
      </c>
      <c r="AC280" s="16"/>
      <c r="AD280" s="16"/>
      <c r="AE280" s="16"/>
      <c r="AF280" s="16"/>
      <c r="AG280" s="16">
        <v>40</v>
      </c>
      <c r="AH280" s="16">
        <v>100</v>
      </c>
      <c r="AI280" s="16">
        <v>110</v>
      </c>
      <c r="AJ280" s="16">
        <v>272</v>
      </c>
      <c r="AK280" s="16">
        <v>8</v>
      </c>
      <c r="AL280" s="16">
        <v>20</v>
      </c>
      <c r="AM280" s="16">
        <v>10</v>
      </c>
      <c r="AN280" s="16">
        <v>24</v>
      </c>
      <c r="AO280" s="15"/>
      <c r="AP280" s="15"/>
      <c r="AQ280" s="15"/>
      <c r="AR280" s="15"/>
      <c r="AS280" s="15"/>
      <c r="AT280" s="15"/>
      <c r="AU280" s="15"/>
      <c r="AV280" s="15"/>
      <c r="AW280" s="15"/>
      <c r="AX280" s="15"/>
      <c r="AY280" s="27">
        <f t="shared" si="15"/>
        <v>7661</v>
      </c>
      <c r="AZ280" s="27">
        <f t="shared" si="16"/>
        <v>19139</v>
      </c>
    </row>
    <row r="281" spans="1:52" x14ac:dyDescent="0.25">
      <c r="A281" s="13">
        <v>338</v>
      </c>
      <c r="B281" s="19" t="s">
        <v>600</v>
      </c>
      <c r="C281" s="26" t="s">
        <v>601</v>
      </c>
      <c r="D281" s="19" t="s">
        <v>42</v>
      </c>
      <c r="E281" s="16"/>
      <c r="F281" s="16"/>
      <c r="G281" s="16">
        <v>20</v>
      </c>
      <c r="H281" s="16">
        <v>50</v>
      </c>
      <c r="I281" s="16">
        <v>4000</v>
      </c>
      <c r="J281" s="16">
        <v>10000</v>
      </c>
      <c r="K281" s="16">
        <v>10</v>
      </c>
      <c r="L281" s="16">
        <v>24</v>
      </c>
      <c r="M281" s="16"/>
      <c r="N281" s="16"/>
      <c r="O281" s="16">
        <v>135</v>
      </c>
      <c r="P281" s="16">
        <v>336</v>
      </c>
      <c r="Q281" s="16"/>
      <c r="R281" s="16"/>
      <c r="S281" s="16">
        <v>8</v>
      </c>
      <c r="T281" s="16">
        <v>18</v>
      </c>
      <c r="U281" s="16">
        <v>440</v>
      </c>
      <c r="V281" s="16">
        <v>1100</v>
      </c>
      <c r="W281" s="16">
        <v>144</v>
      </c>
      <c r="X281" s="16">
        <v>360</v>
      </c>
      <c r="Y281" s="16">
        <v>76</v>
      </c>
      <c r="Z281" s="16">
        <v>190</v>
      </c>
      <c r="AA281" s="16"/>
      <c r="AB281" s="16"/>
      <c r="AC281" s="16"/>
      <c r="AD281" s="16"/>
      <c r="AE281" s="16"/>
      <c r="AF281" s="16"/>
      <c r="AG281" s="16">
        <v>1440</v>
      </c>
      <c r="AH281" s="16">
        <v>3600</v>
      </c>
      <c r="AI281" s="16">
        <v>960</v>
      </c>
      <c r="AJ281" s="16">
        <v>2400</v>
      </c>
      <c r="AK281" s="16">
        <v>8</v>
      </c>
      <c r="AL281" s="16">
        <v>20</v>
      </c>
      <c r="AM281" s="16">
        <v>48</v>
      </c>
      <c r="AN281" s="16">
        <v>120</v>
      </c>
      <c r="AO281" s="15"/>
      <c r="AP281" s="15"/>
      <c r="AQ281" s="15"/>
      <c r="AR281" s="15"/>
      <c r="AS281" s="15">
        <v>80</v>
      </c>
      <c r="AT281" s="15">
        <v>200</v>
      </c>
      <c r="AU281" s="15"/>
      <c r="AV281" s="15"/>
      <c r="AW281" s="15">
        <v>4</v>
      </c>
      <c r="AX281" s="15">
        <v>10</v>
      </c>
      <c r="AY281" s="27">
        <f t="shared" si="15"/>
        <v>7373</v>
      </c>
      <c r="AZ281" s="27">
        <f t="shared" si="16"/>
        <v>18428</v>
      </c>
    </row>
    <row r="282" spans="1:52" x14ac:dyDescent="0.25">
      <c r="A282" s="13">
        <v>339</v>
      </c>
      <c r="B282" s="19" t="s">
        <v>602</v>
      </c>
      <c r="C282" s="26" t="s">
        <v>603</v>
      </c>
      <c r="D282" s="19" t="s">
        <v>42</v>
      </c>
      <c r="E282" s="16"/>
      <c r="F282" s="16"/>
      <c r="G282" s="16">
        <v>8</v>
      </c>
      <c r="H282" s="16">
        <v>20</v>
      </c>
      <c r="I282" s="16">
        <v>4000</v>
      </c>
      <c r="J282" s="16">
        <v>10000</v>
      </c>
      <c r="K282" s="16">
        <v>621</v>
      </c>
      <c r="L282" s="16">
        <v>1550</v>
      </c>
      <c r="M282" s="16"/>
      <c r="N282" s="16"/>
      <c r="O282" s="16">
        <v>9</v>
      </c>
      <c r="P282" s="16">
        <v>21</v>
      </c>
      <c r="Q282" s="16"/>
      <c r="R282" s="16"/>
      <c r="S282" s="16">
        <v>8</v>
      </c>
      <c r="T282" s="16">
        <v>18</v>
      </c>
      <c r="U282" s="16">
        <v>440</v>
      </c>
      <c r="V282" s="16">
        <v>1100</v>
      </c>
      <c r="W282" s="16">
        <v>87</v>
      </c>
      <c r="X282" s="16">
        <v>216</v>
      </c>
      <c r="Y282" s="16">
        <v>48</v>
      </c>
      <c r="Z282" s="16">
        <v>120</v>
      </c>
      <c r="AA282" s="16">
        <v>480</v>
      </c>
      <c r="AB282" s="16">
        <v>1200</v>
      </c>
      <c r="AC282" s="16"/>
      <c r="AD282" s="16"/>
      <c r="AE282" s="16"/>
      <c r="AF282" s="16"/>
      <c r="AG282" s="16">
        <v>80</v>
      </c>
      <c r="AH282" s="16">
        <v>200</v>
      </c>
      <c r="AI282" s="16">
        <v>480</v>
      </c>
      <c r="AJ282" s="16">
        <v>1200</v>
      </c>
      <c r="AK282" s="16">
        <v>104</v>
      </c>
      <c r="AL282" s="16">
        <v>260</v>
      </c>
      <c r="AM282" s="16"/>
      <c r="AN282" s="16"/>
      <c r="AO282" s="15"/>
      <c r="AP282" s="15"/>
      <c r="AQ282" s="15"/>
      <c r="AR282" s="15"/>
      <c r="AS282" s="15"/>
      <c r="AT282" s="15"/>
      <c r="AU282" s="15"/>
      <c r="AV282" s="15"/>
      <c r="AW282" s="15"/>
      <c r="AX282" s="15"/>
      <c r="AY282" s="27">
        <f t="shared" si="15"/>
        <v>6365</v>
      </c>
      <c r="AZ282" s="27">
        <f t="shared" si="16"/>
        <v>15905</v>
      </c>
    </row>
    <row r="283" spans="1:52" x14ac:dyDescent="0.25">
      <c r="A283" s="13">
        <v>340</v>
      </c>
      <c r="B283" s="19" t="s">
        <v>604</v>
      </c>
      <c r="C283" s="26" t="s">
        <v>605</v>
      </c>
      <c r="D283" s="19" t="s">
        <v>42</v>
      </c>
      <c r="E283" s="16">
        <v>40</v>
      </c>
      <c r="F283" s="16">
        <v>100</v>
      </c>
      <c r="G283" s="16">
        <v>24</v>
      </c>
      <c r="H283" s="16">
        <v>56</v>
      </c>
      <c r="I283" s="16">
        <v>5092</v>
      </c>
      <c r="J283" s="16">
        <v>12728</v>
      </c>
      <c r="K283" s="16">
        <v>2704</v>
      </c>
      <c r="L283" s="16">
        <v>6760</v>
      </c>
      <c r="M283" s="16">
        <v>938</v>
      </c>
      <c r="N283" s="16">
        <v>2344</v>
      </c>
      <c r="O283" s="16">
        <v>614</v>
      </c>
      <c r="P283" s="16">
        <v>1533</v>
      </c>
      <c r="Q283" s="16">
        <v>40</v>
      </c>
      <c r="R283" s="16">
        <v>100</v>
      </c>
      <c r="S283" s="16">
        <v>120</v>
      </c>
      <c r="T283" s="16">
        <v>300</v>
      </c>
      <c r="U283" s="16">
        <v>176</v>
      </c>
      <c r="V283" s="16">
        <v>440</v>
      </c>
      <c r="W283" s="16">
        <v>360</v>
      </c>
      <c r="X283" s="16">
        <v>900</v>
      </c>
      <c r="Y283" s="16">
        <v>446</v>
      </c>
      <c r="Z283" s="16">
        <v>1112</v>
      </c>
      <c r="AA283" s="16">
        <v>80</v>
      </c>
      <c r="AB283" s="16">
        <v>200</v>
      </c>
      <c r="AC283" s="16">
        <v>1146</v>
      </c>
      <c r="AD283" s="16">
        <v>2863</v>
      </c>
      <c r="AE283" s="16">
        <v>78</v>
      </c>
      <c r="AF283" s="16">
        <v>193</v>
      </c>
      <c r="AG283" s="16">
        <v>6480</v>
      </c>
      <c r="AH283" s="16">
        <v>16200</v>
      </c>
      <c r="AI283" s="16">
        <v>2880</v>
      </c>
      <c r="AJ283" s="16">
        <v>7200</v>
      </c>
      <c r="AK283" s="16">
        <v>2474</v>
      </c>
      <c r="AL283" s="16">
        <v>6184</v>
      </c>
      <c r="AM283" s="16">
        <v>96</v>
      </c>
      <c r="AN283" s="16">
        <v>240</v>
      </c>
      <c r="AO283" s="15">
        <v>352</v>
      </c>
      <c r="AP283" s="15">
        <v>876</v>
      </c>
      <c r="AQ283" s="15">
        <v>160</v>
      </c>
      <c r="AR283" s="15">
        <v>400</v>
      </c>
      <c r="AS283" s="15"/>
      <c r="AT283" s="15"/>
      <c r="AU283" s="15">
        <v>288</v>
      </c>
      <c r="AV283" s="15">
        <v>720</v>
      </c>
      <c r="AW283" s="15">
        <v>24</v>
      </c>
      <c r="AX283" s="15">
        <v>60</v>
      </c>
      <c r="AY283" s="27">
        <f t="shared" si="15"/>
        <v>24612</v>
      </c>
      <c r="AZ283" s="27">
        <f t="shared" si="16"/>
        <v>61509</v>
      </c>
    </row>
    <row r="284" spans="1:52" x14ac:dyDescent="0.25">
      <c r="A284" s="13">
        <v>341</v>
      </c>
      <c r="B284" s="19" t="s">
        <v>606</v>
      </c>
      <c r="C284" s="26" t="s">
        <v>607</v>
      </c>
      <c r="D284" s="19" t="s">
        <v>42</v>
      </c>
      <c r="E284" s="16"/>
      <c r="F284" s="16"/>
      <c r="G284" s="16"/>
      <c r="H284" s="16"/>
      <c r="I284" s="16"/>
      <c r="J284" s="16"/>
      <c r="K284" s="16">
        <v>400</v>
      </c>
      <c r="L284" s="16">
        <v>1000</v>
      </c>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v>24</v>
      </c>
      <c r="AJ284" s="16">
        <v>60</v>
      </c>
      <c r="AK284" s="16"/>
      <c r="AL284" s="16"/>
      <c r="AM284" s="16"/>
      <c r="AN284" s="16"/>
      <c r="AO284" s="15">
        <v>80</v>
      </c>
      <c r="AP284" s="15">
        <v>200</v>
      </c>
      <c r="AQ284" s="15">
        <v>228</v>
      </c>
      <c r="AR284" s="15">
        <v>568</v>
      </c>
      <c r="AS284" s="15"/>
      <c r="AT284" s="15"/>
      <c r="AU284" s="15"/>
      <c r="AV284" s="15"/>
      <c r="AW284" s="15"/>
      <c r="AX284" s="15"/>
      <c r="AY284" s="27">
        <f t="shared" ref="AY284:AY320" si="17">SUM(E284+G284+I284+K284+M284+O284+Q284+S284+U284+W284+Y284+AA284+AC284+AE284+AG284+AI284+AK284+AM284+AO284+AQ284+AS284+AU284+AW284)</f>
        <v>732</v>
      </c>
      <c r="AZ284" s="27">
        <f t="shared" ref="AZ284:AZ320" si="18">SUM(F284+H284+J284+L284+N284+P284+R284+T284+V284+X284+Z284+AB284+AD284+AF284+AH284+AJ284+AL284+AN284+AP284+AR284+AT284+AV284+AX284)</f>
        <v>1828</v>
      </c>
    </row>
    <row r="285" spans="1:52" x14ac:dyDescent="0.25">
      <c r="A285" s="13">
        <v>342</v>
      </c>
      <c r="B285" s="19" t="s">
        <v>608</v>
      </c>
      <c r="C285" s="26" t="s">
        <v>609</v>
      </c>
      <c r="D285" s="19" t="s">
        <v>42</v>
      </c>
      <c r="E285" s="16">
        <v>40</v>
      </c>
      <c r="F285" s="16">
        <v>100</v>
      </c>
      <c r="G285" s="16">
        <v>204</v>
      </c>
      <c r="H285" s="16">
        <v>510</v>
      </c>
      <c r="I285" s="16"/>
      <c r="J285" s="16"/>
      <c r="K285" s="16">
        <v>6882</v>
      </c>
      <c r="L285" s="16">
        <v>17204</v>
      </c>
      <c r="M285" s="16">
        <v>286</v>
      </c>
      <c r="N285" s="16">
        <v>712</v>
      </c>
      <c r="O285" s="16">
        <v>102</v>
      </c>
      <c r="P285" s="16">
        <v>252</v>
      </c>
      <c r="Q285" s="16">
        <v>48</v>
      </c>
      <c r="R285" s="16">
        <v>120</v>
      </c>
      <c r="S285" s="16">
        <v>72</v>
      </c>
      <c r="T285" s="16">
        <v>180</v>
      </c>
      <c r="U285" s="16">
        <v>73</v>
      </c>
      <c r="V285" s="16">
        <v>181</v>
      </c>
      <c r="W285" s="16">
        <v>392</v>
      </c>
      <c r="X285" s="16">
        <v>980</v>
      </c>
      <c r="Y285" s="16">
        <v>742</v>
      </c>
      <c r="Z285" s="16">
        <v>1852</v>
      </c>
      <c r="AA285" s="16">
        <v>640</v>
      </c>
      <c r="AB285" s="16">
        <v>1600</v>
      </c>
      <c r="AC285" s="16">
        <v>2213</v>
      </c>
      <c r="AD285" s="16">
        <v>5529</v>
      </c>
      <c r="AE285" s="16"/>
      <c r="AF285" s="16"/>
      <c r="AG285" s="16">
        <v>488</v>
      </c>
      <c r="AH285" s="16">
        <v>1220</v>
      </c>
      <c r="AI285" s="16">
        <v>800</v>
      </c>
      <c r="AJ285" s="16">
        <v>2000</v>
      </c>
      <c r="AK285" s="16">
        <v>204</v>
      </c>
      <c r="AL285" s="16">
        <v>510</v>
      </c>
      <c r="AM285" s="16">
        <v>6884</v>
      </c>
      <c r="AN285" s="16">
        <v>17208</v>
      </c>
      <c r="AO285" s="15">
        <v>1780</v>
      </c>
      <c r="AP285" s="15">
        <v>4450</v>
      </c>
      <c r="AQ285" s="15">
        <v>24</v>
      </c>
      <c r="AR285" s="15">
        <v>60</v>
      </c>
      <c r="AS285" s="15">
        <v>16</v>
      </c>
      <c r="AT285" s="15">
        <v>40</v>
      </c>
      <c r="AU285" s="15"/>
      <c r="AV285" s="15"/>
      <c r="AW285" s="15">
        <v>92</v>
      </c>
      <c r="AX285" s="15">
        <v>226</v>
      </c>
      <c r="AY285" s="27">
        <f t="shared" si="17"/>
        <v>21982</v>
      </c>
      <c r="AZ285" s="27">
        <f t="shared" si="18"/>
        <v>54934</v>
      </c>
    </row>
    <row r="286" spans="1:52" x14ac:dyDescent="0.25">
      <c r="A286" s="13">
        <v>343</v>
      </c>
      <c r="B286" s="19" t="s">
        <v>610</v>
      </c>
      <c r="C286" s="26" t="s">
        <v>611</v>
      </c>
      <c r="D286" s="19" t="s">
        <v>42</v>
      </c>
      <c r="E286" s="16"/>
      <c r="F286" s="16"/>
      <c r="G286" s="16"/>
      <c r="H286" s="16"/>
      <c r="I286" s="16">
        <v>4000</v>
      </c>
      <c r="J286" s="16">
        <v>10000</v>
      </c>
      <c r="K286" s="16">
        <v>880</v>
      </c>
      <c r="L286" s="16">
        <v>2200</v>
      </c>
      <c r="M286" s="16">
        <v>676</v>
      </c>
      <c r="N286" s="16">
        <v>1690</v>
      </c>
      <c r="O286" s="16">
        <v>274</v>
      </c>
      <c r="P286" s="16">
        <v>682</v>
      </c>
      <c r="Q286" s="16"/>
      <c r="R286" s="16"/>
      <c r="S286" s="16">
        <v>25</v>
      </c>
      <c r="T286" s="16">
        <v>60</v>
      </c>
      <c r="U286" s="16">
        <v>441</v>
      </c>
      <c r="V286" s="16">
        <v>1101</v>
      </c>
      <c r="W286" s="16">
        <v>480</v>
      </c>
      <c r="X286" s="16">
        <v>1200</v>
      </c>
      <c r="Y286" s="16"/>
      <c r="Z286" s="16"/>
      <c r="AA286" s="16">
        <v>492</v>
      </c>
      <c r="AB286" s="16">
        <v>1230</v>
      </c>
      <c r="AC286" s="16">
        <v>2200</v>
      </c>
      <c r="AD286" s="16">
        <v>5500</v>
      </c>
      <c r="AE286" s="16">
        <v>164</v>
      </c>
      <c r="AF286" s="16">
        <v>408</v>
      </c>
      <c r="AG286" s="16">
        <v>88</v>
      </c>
      <c r="AH286" s="16">
        <v>220</v>
      </c>
      <c r="AI286" s="16"/>
      <c r="AJ286" s="16"/>
      <c r="AK286" s="16"/>
      <c r="AL286" s="16"/>
      <c r="AM286" s="16"/>
      <c r="AN286" s="16"/>
      <c r="AO286" s="15">
        <v>44</v>
      </c>
      <c r="AP286" s="15">
        <v>110</v>
      </c>
      <c r="AQ286" s="15">
        <v>960</v>
      </c>
      <c r="AR286" s="15">
        <v>2400</v>
      </c>
      <c r="AS286" s="15"/>
      <c r="AT286" s="15"/>
      <c r="AU286" s="15">
        <v>82</v>
      </c>
      <c r="AV286" s="15">
        <v>202</v>
      </c>
      <c r="AW286" s="15">
        <v>4</v>
      </c>
      <c r="AX286" s="15">
        <v>6</v>
      </c>
      <c r="AY286" s="27">
        <f t="shared" si="17"/>
        <v>10810</v>
      </c>
      <c r="AZ286" s="27">
        <f t="shared" si="18"/>
        <v>27009</v>
      </c>
    </row>
    <row r="287" spans="1:52" x14ac:dyDescent="0.25">
      <c r="A287" s="13">
        <v>344</v>
      </c>
      <c r="B287" s="19" t="s">
        <v>612</v>
      </c>
      <c r="C287" s="26" t="s">
        <v>613</v>
      </c>
      <c r="D287" s="19" t="s">
        <v>42</v>
      </c>
      <c r="E287" s="16">
        <v>104</v>
      </c>
      <c r="F287" s="16">
        <v>260</v>
      </c>
      <c r="G287" s="16"/>
      <c r="H287" s="16"/>
      <c r="I287" s="16">
        <v>400</v>
      </c>
      <c r="J287" s="16">
        <v>1000</v>
      </c>
      <c r="K287" s="16">
        <v>164</v>
      </c>
      <c r="L287" s="16">
        <v>410</v>
      </c>
      <c r="M287" s="16">
        <v>296</v>
      </c>
      <c r="N287" s="16">
        <v>740</v>
      </c>
      <c r="O287" s="16">
        <v>54</v>
      </c>
      <c r="P287" s="16">
        <v>134</v>
      </c>
      <c r="Q287" s="16"/>
      <c r="R287" s="16"/>
      <c r="S287" s="16"/>
      <c r="T287" s="16"/>
      <c r="U287" s="16"/>
      <c r="V287" s="16"/>
      <c r="W287" s="16">
        <v>22</v>
      </c>
      <c r="X287" s="16">
        <v>54</v>
      </c>
      <c r="Y287" s="16">
        <v>24</v>
      </c>
      <c r="Z287" s="16">
        <v>60</v>
      </c>
      <c r="AA287" s="16"/>
      <c r="AB287" s="16"/>
      <c r="AC287" s="16"/>
      <c r="AD287" s="16"/>
      <c r="AE287" s="16"/>
      <c r="AF287" s="16"/>
      <c r="AG287" s="16">
        <v>420</v>
      </c>
      <c r="AH287" s="16">
        <v>1050</v>
      </c>
      <c r="AI287" s="16">
        <v>2738</v>
      </c>
      <c r="AJ287" s="16">
        <v>6842</v>
      </c>
      <c r="AK287" s="16"/>
      <c r="AL287" s="16"/>
      <c r="AM287" s="16">
        <v>384</v>
      </c>
      <c r="AN287" s="16">
        <v>960</v>
      </c>
      <c r="AO287" s="15">
        <v>674</v>
      </c>
      <c r="AP287" s="15">
        <v>1682</v>
      </c>
      <c r="AQ287" s="15">
        <v>20</v>
      </c>
      <c r="AR287" s="15">
        <v>50</v>
      </c>
      <c r="AS287" s="15"/>
      <c r="AT287" s="15"/>
      <c r="AU287" s="15"/>
      <c r="AV287" s="15"/>
      <c r="AW287" s="15"/>
      <c r="AX287" s="15"/>
      <c r="AY287" s="27">
        <f t="shared" si="17"/>
        <v>5300</v>
      </c>
      <c r="AZ287" s="27">
        <f t="shared" si="18"/>
        <v>13242</v>
      </c>
    </row>
    <row r="288" spans="1:52" x14ac:dyDescent="0.25">
      <c r="A288" s="13">
        <v>345</v>
      </c>
      <c r="B288" s="19" t="s">
        <v>614</v>
      </c>
      <c r="C288" s="26" t="s">
        <v>615</v>
      </c>
      <c r="D288" s="19" t="s">
        <v>42</v>
      </c>
      <c r="E288" s="16"/>
      <c r="F288" s="16"/>
      <c r="G288" s="16"/>
      <c r="H288" s="16"/>
      <c r="I288" s="16"/>
      <c r="J288" s="16"/>
      <c r="K288" s="16">
        <v>80</v>
      </c>
      <c r="L288" s="16">
        <v>200</v>
      </c>
      <c r="M288" s="16"/>
      <c r="N288" s="16"/>
      <c r="O288" s="16">
        <v>2</v>
      </c>
      <c r="P288" s="16">
        <v>4</v>
      </c>
      <c r="Q288" s="16"/>
      <c r="R288" s="16"/>
      <c r="S288" s="16">
        <v>17</v>
      </c>
      <c r="T288" s="16">
        <v>40</v>
      </c>
      <c r="U288" s="16"/>
      <c r="V288" s="16"/>
      <c r="W288" s="16">
        <v>32</v>
      </c>
      <c r="X288" s="16">
        <v>80</v>
      </c>
      <c r="Y288" s="16"/>
      <c r="Z288" s="16"/>
      <c r="AA288" s="16">
        <v>32</v>
      </c>
      <c r="AB288" s="16">
        <v>80</v>
      </c>
      <c r="AC288" s="16"/>
      <c r="AD288" s="16"/>
      <c r="AE288" s="16"/>
      <c r="AF288" s="16"/>
      <c r="AG288" s="16"/>
      <c r="AH288" s="16"/>
      <c r="AI288" s="16"/>
      <c r="AJ288" s="16"/>
      <c r="AK288" s="16">
        <v>40</v>
      </c>
      <c r="AL288" s="16">
        <v>100</v>
      </c>
      <c r="AM288" s="16">
        <v>20</v>
      </c>
      <c r="AN288" s="16">
        <v>48</v>
      </c>
      <c r="AO288" s="15"/>
      <c r="AP288" s="15"/>
      <c r="AQ288" s="15"/>
      <c r="AR288" s="15"/>
      <c r="AS288" s="15"/>
      <c r="AT288" s="15"/>
      <c r="AU288" s="15"/>
      <c r="AV288" s="15"/>
      <c r="AW288" s="15"/>
      <c r="AX288" s="15"/>
      <c r="AY288" s="27">
        <f t="shared" si="17"/>
        <v>223</v>
      </c>
      <c r="AZ288" s="27">
        <f t="shared" si="18"/>
        <v>552</v>
      </c>
    </row>
    <row r="289" spans="1:52" x14ac:dyDescent="0.25">
      <c r="A289" s="13">
        <v>347</v>
      </c>
      <c r="B289" s="19" t="s">
        <v>616</v>
      </c>
      <c r="C289" s="26" t="s">
        <v>617</v>
      </c>
      <c r="D289" s="19" t="s">
        <v>42</v>
      </c>
      <c r="E289" s="16"/>
      <c r="F289" s="16"/>
      <c r="G289" s="16"/>
      <c r="H289" s="16"/>
      <c r="I289" s="16">
        <v>600</v>
      </c>
      <c r="J289" s="16">
        <v>1500</v>
      </c>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v>16</v>
      </c>
      <c r="AL289" s="16">
        <v>40</v>
      </c>
      <c r="AM289" s="16"/>
      <c r="AN289" s="16"/>
      <c r="AO289" s="15"/>
      <c r="AP289" s="15"/>
      <c r="AQ289" s="15">
        <v>160</v>
      </c>
      <c r="AR289" s="15">
        <v>400</v>
      </c>
      <c r="AS289" s="15"/>
      <c r="AT289" s="15"/>
      <c r="AU289" s="15"/>
      <c r="AV289" s="15"/>
      <c r="AW289" s="15"/>
      <c r="AX289" s="15"/>
      <c r="AY289" s="27">
        <f t="shared" si="17"/>
        <v>776</v>
      </c>
      <c r="AZ289" s="27">
        <f t="shared" si="18"/>
        <v>1940</v>
      </c>
    </row>
    <row r="290" spans="1:52" x14ac:dyDescent="0.25">
      <c r="A290" s="13">
        <v>348</v>
      </c>
      <c r="B290" s="19" t="s">
        <v>618</v>
      </c>
      <c r="C290" s="26" t="s">
        <v>619</v>
      </c>
      <c r="D290" s="19" t="s">
        <v>42</v>
      </c>
      <c r="E290" s="16"/>
      <c r="F290" s="16"/>
      <c r="G290" s="16"/>
      <c r="H290" s="16"/>
      <c r="I290" s="16"/>
      <c r="J290" s="16"/>
      <c r="K290" s="16">
        <v>120</v>
      </c>
      <c r="L290" s="16">
        <v>300</v>
      </c>
      <c r="M290" s="16"/>
      <c r="N290" s="16"/>
      <c r="O290" s="16">
        <v>7</v>
      </c>
      <c r="P290" s="16">
        <v>16</v>
      </c>
      <c r="Q290" s="16">
        <v>34</v>
      </c>
      <c r="R290" s="16">
        <v>80</v>
      </c>
      <c r="S290" s="16"/>
      <c r="T290" s="16"/>
      <c r="U290" s="16"/>
      <c r="V290" s="16"/>
      <c r="W290" s="16"/>
      <c r="X290" s="16"/>
      <c r="Y290" s="16"/>
      <c r="Z290" s="16"/>
      <c r="AA290" s="16"/>
      <c r="AB290" s="16"/>
      <c r="AC290" s="16"/>
      <c r="AD290" s="16"/>
      <c r="AE290" s="16"/>
      <c r="AF290" s="16"/>
      <c r="AG290" s="16"/>
      <c r="AH290" s="16"/>
      <c r="AI290" s="16">
        <v>36</v>
      </c>
      <c r="AJ290" s="16">
        <v>90</v>
      </c>
      <c r="AK290" s="16"/>
      <c r="AL290" s="16"/>
      <c r="AM290" s="16"/>
      <c r="AN290" s="16"/>
      <c r="AO290" s="15"/>
      <c r="AP290" s="15"/>
      <c r="AQ290" s="15">
        <v>80</v>
      </c>
      <c r="AR290" s="15">
        <v>200</v>
      </c>
      <c r="AS290" s="15"/>
      <c r="AT290" s="15"/>
      <c r="AU290" s="15">
        <v>140</v>
      </c>
      <c r="AV290" s="15">
        <v>350</v>
      </c>
      <c r="AW290" s="15"/>
      <c r="AX290" s="15"/>
      <c r="AY290" s="27">
        <f t="shared" si="17"/>
        <v>417</v>
      </c>
      <c r="AZ290" s="27">
        <f t="shared" si="18"/>
        <v>1036</v>
      </c>
    </row>
    <row r="291" spans="1:52" x14ac:dyDescent="0.25">
      <c r="A291" s="13">
        <v>350</v>
      </c>
      <c r="B291" s="19" t="s">
        <v>620</v>
      </c>
      <c r="C291" s="26" t="s">
        <v>621</v>
      </c>
      <c r="D291" s="19" t="s">
        <v>42</v>
      </c>
      <c r="E291" s="16">
        <v>24</v>
      </c>
      <c r="F291" s="16">
        <v>60</v>
      </c>
      <c r="G291" s="16">
        <v>40</v>
      </c>
      <c r="H291" s="16">
        <v>100</v>
      </c>
      <c r="I291" s="16">
        <v>1200</v>
      </c>
      <c r="J291" s="16">
        <v>3000</v>
      </c>
      <c r="K291" s="16">
        <v>396</v>
      </c>
      <c r="L291" s="16">
        <v>989</v>
      </c>
      <c r="M291" s="16"/>
      <c r="N291" s="16"/>
      <c r="O291" s="16"/>
      <c r="P291" s="16"/>
      <c r="Q291" s="16">
        <v>32</v>
      </c>
      <c r="R291" s="16">
        <v>80</v>
      </c>
      <c r="S291" s="16"/>
      <c r="T291" s="16"/>
      <c r="U291" s="16"/>
      <c r="V291" s="16"/>
      <c r="W291" s="16">
        <v>15</v>
      </c>
      <c r="X291" s="16">
        <v>36</v>
      </c>
      <c r="Y291" s="16">
        <v>120</v>
      </c>
      <c r="Z291" s="16">
        <v>300</v>
      </c>
      <c r="AA291" s="16"/>
      <c r="AB291" s="16"/>
      <c r="AC291" s="16">
        <v>57</v>
      </c>
      <c r="AD291" s="16">
        <v>138</v>
      </c>
      <c r="AE291" s="16">
        <v>96</v>
      </c>
      <c r="AF291" s="16">
        <v>240</v>
      </c>
      <c r="AG291" s="16"/>
      <c r="AH291" s="16"/>
      <c r="AI291" s="16">
        <v>620</v>
      </c>
      <c r="AJ291" s="16">
        <v>1550</v>
      </c>
      <c r="AK291" s="16">
        <v>16</v>
      </c>
      <c r="AL291" s="16">
        <v>40</v>
      </c>
      <c r="AM291" s="16"/>
      <c r="AN291" s="16"/>
      <c r="AO291" s="15">
        <v>575</v>
      </c>
      <c r="AP291" s="15">
        <v>1431</v>
      </c>
      <c r="AQ291" s="15"/>
      <c r="AR291" s="15"/>
      <c r="AS291" s="15"/>
      <c r="AT291" s="15"/>
      <c r="AU291" s="15"/>
      <c r="AV291" s="15"/>
      <c r="AW291" s="15"/>
      <c r="AX291" s="15"/>
      <c r="AY291" s="27">
        <f t="shared" si="17"/>
        <v>3191</v>
      </c>
      <c r="AZ291" s="27">
        <f t="shared" si="18"/>
        <v>7964</v>
      </c>
    </row>
    <row r="292" spans="1:52" x14ac:dyDescent="0.25">
      <c r="A292" s="13">
        <v>351</v>
      </c>
      <c r="B292" s="19" t="s">
        <v>622</v>
      </c>
      <c r="C292" s="26" t="s">
        <v>623</v>
      </c>
      <c r="D292" s="19" t="s">
        <v>42</v>
      </c>
      <c r="E292" s="16">
        <v>88</v>
      </c>
      <c r="F292" s="16">
        <v>220</v>
      </c>
      <c r="G292" s="16"/>
      <c r="H292" s="16"/>
      <c r="I292" s="16"/>
      <c r="J292" s="16"/>
      <c r="K292" s="16">
        <v>294</v>
      </c>
      <c r="L292" s="16">
        <v>734</v>
      </c>
      <c r="M292" s="16">
        <v>56</v>
      </c>
      <c r="N292" s="16">
        <v>136</v>
      </c>
      <c r="O292" s="16">
        <v>54</v>
      </c>
      <c r="P292" s="16">
        <v>133</v>
      </c>
      <c r="Q292" s="16">
        <v>16</v>
      </c>
      <c r="R292" s="16">
        <v>38</v>
      </c>
      <c r="S292" s="16">
        <v>3</v>
      </c>
      <c r="T292" s="16">
        <v>6</v>
      </c>
      <c r="U292" s="16"/>
      <c r="V292" s="16"/>
      <c r="W292" s="16"/>
      <c r="X292" s="16"/>
      <c r="Y292" s="16">
        <v>34</v>
      </c>
      <c r="Z292" s="16">
        <v>82</v>
      </c>
      <c r="AA292" s="16"/>
      <c r="AB292" s="16"/>
      <c r="AC292" s="16">
        <v>70</v>
      </c>
      <c r="AD292" s="16">
        <v>172</v>
      </c>
      <c r="AE292" s="16">
        <v>674</v>
      </c>
      <c r="AF292" s="16">
        <v>1681</v>
      </c>
      <c r="AG292" s="16"/>
      <c r="AH292" s="16"/>
      <c r="AI292" s="16">
        <v>400</v>
      </c>
      <c r="AJ292" s="16">
        <v>1000</v>
      </c>
      <c r="AK292" s="16"/>
      <c r="AL292" s="16"/>
      <c r="AM292" s="16"/>
      <c r="AN292" s="16"/>
      <c r="AO292" s="15">
        <v>75</v>
      </c>
      <c r="AP292" s="15">
        <v>184</v>
      </c>
      <c r="AQ292" s="15"/>
      <c r="AR292" s="15"/>
      <c r="AS292" s="15"/>
      <c r="AT292" s="15"/>
      <c r="AU292" s="15"/>
      <c r="AV292" s="15"/>
      <c r="AW292" s="15"/>
      <c r="AX292" s="15"/>
      <c r="AY292" s="27">
        <f t="shared" si="17"/>
        <v>1764</v>
      </c>
      <c r="AZ292" s="27">
        <f t="shared" si="18"/>
        <v>4386</v>
      </c>
    </row>
    <row r="293" spans="1:52" x14ac:dyDescent="0.25">
      <c r="A293" s="13">
        <v>352</v>
      </c>
      <c r="B293" s="19" t="s">
        <v>624</v>
      </c>
      <c r="C293" s="26" t="s">
        <v>625</v>
      </c>
      <c r="D293" s="19" t="s">
        <v>42</v>
      </c>
      <c r="E293" s="16">
        <v>114</v>
      </c>
      <c r="F293" s="16">
        <v>285</v>
      </c>
      <c r="G293" s="16">
        <v>430</v>
      </c>
      <c r="H293" s="16">
        <v>1074</v>
      </c>
      <c r="I293" s="16">
        <v>724</v>
      </c>
      <c r="J293" s="16">
        <v>1810</v>
      </c>
      <c r="K293" s="16">
        <v>6436</v>
      </c>
      <c r="L293" s="16">
        <v>16088</v>
      </c>
      <c r="M293" s="16">
        <v>1200</v>
      </c>
      <c r="N293" s="16">
        <v>3000</v>
      </c>
      <c r="O293" s="16"/>
      <c r="P293" s="16"/>
      <c r="Q293" s="16">
        <v>398</v>
      </c>
      <c r="R293" s="16">
        <v>994</v>
      </c>
      <c r="S293" s="16">
        <v>102</v>
      </c>
      <c r="T293" s="16">
        <v>253</v>
      </c>
      <c r="U293" s="16">
        <v>112</v>
      </c>
      <c r="V293" s="16">
        <v>280</v>
      </c>
      <c r="W293" s="16">
        <v>104</v>
      </c>
      <c r="X293" s="16">
        <v>260</v>
      </c>
      <c r="Y293" s="16">
        <v>26</v>
      </c>
      <c r="Z293" s="16">
        <v>64</v>
      </c>
      <c r="AA293" s="16">
        <v>36</v>
      </c>
      <c r="AB293" s="16">
        <v>90</v>
      </c>
      <c r="AC293" s="16">
        <v>125</v>
      </c>
      <c r="AD293" s="16">
        <v>312</v>
      </c>
      <c r="AE293" s="16">
        <v>3840</v>
      </c>
      <c r="AF293" s="16">
        <v>9600</v>
      </c>
      <c r="AG293" s="16"/>
      <c r="AH293" s="16"/>
      <c r="AI293" s="16">
        <v>960</v>
      </c>
      <c r="AJ293" s="16">
        <v>2400</v>
      </c>
      <c r="AK293" s="16">
        <v>24</v>
      </c>
      <c r="AL293" s="16">
        <v>60</v>
      </c>
      <c r="AM293" s="16">
        <v>20</v>
      </c>
      <c r="AN293" s="16">
        <v>48</v>
      </c>
      <c r="AO293" s="15">
        <v>710</v>
      </c>
      <c r="AP293" s="15">
        <v>1774</v>
      </c>
      <c r="AQ293" s="15">
        <v>20</v>
      </c>
      <c r="AR293" s="15">
        <v>42</v>
      </c>
      <c r="AS293" s="15">
        <v>72</v>
      </c>
      <c r="AT293" s="15">
        <v>180</v>
      </c>
      <c r="AU293" s="15">
        <v>4</v>
      </c>
      <c r="AV293" s="15">
        <v>8</v>
      </c>
      <c r="AW293" s="15"/>
      <c r="AX293" s="15"/>
      <c r="AY293" s="27">
        <f t="shared" si="17"/>
        <v>15457</v>
      </c>
      <c r="AZ293" s="27">
        <f t="shared" si="18"/>
        <v>38622</v>
      </c>
    </row>
    <row r="294" spans="1:52" x14ac:dyDescent="0.25">
      <c r="A294" s="13">
        <v>353</v>
      </c>
      <c r="B294" s="19" t="s">
        <v>626</v>
      </c>
      <c r="C294" s="26" t="s">
        <v>627</v>
      </c>
      <c r="D294" s="19" t="s">
        <v>42</v>
      </c>
      <c r="E294" s="16"/>
      <c r="F294" s="16"/>
      <c r="G294" s="16">
        <v>16</v>
      </c>
      <c r="H294" s="16">
        <v>40</v>
      </c>
      <c r="I294" s="16">
        <v>400</v>
      </c>
      <c r="J294" s="16">
        <v>1000</v>
      </c>
      <c r="K294" s="16">
        <v>563</v>
      </c>
      <c r="L294" s="16">
        <v>1406</v>
      </c>
      <c r="M294" s="16"/>
      <c r="N294" s="16"/>
      <c r="O294" s="16"/>
      <c r="P294" s="16"/>
      <c r="Q294" s="16">
        <v>18</v>
      </c>
      <c r="R294" s="16">
        <v>42</v>
      </c>
      <c r="S294" s="16"/>
      <c r="T294" s="16"/>
      <c r="U294" s="16"/>
      <c r="V294" s="16"/>
      <c r="W294" s="16">
        <v>140</v>
      </c>
      <c r="X294" s="16">
        <v>350</v>
      </c>
      <c r="Y294" s="16">
        <v>102</v>
      </c>
      <c r="Z294" s="16">
        <v>252</v>
      </c>
      <c r="AA294" s="16">
        <v>46</v>
      </c>
      <c r="AB294" s="16">
        <v>114</v>
      </c>
      <c r="AC294" s="16"/>
      <c r="AD294" s="16"/>
      <c r="AE294" s="16"/>
      <c r="AF294" s="16"/>
      <c r="AG294" s="16"/>
      <c r="AH294" s="16"/>
      <c r="AI294" s="16">
        <v>1920</v>
      </c>
      <c r="AJ294" s="16">
        <v>4800</v>
      </c>
      <c r="AK294" s="16">
        <v>20</v>
      </c>
      <c r="AL294" s="16">
        <v>48</v>
      </c>
      <c r="AM294" s="16"/>
      <c r="AN294" s="16"/>
      <c r="AO294" s="15">
        <v>460</v>
      </c>
      <c r="AP294" s="15">
        <v>1150</v>
      </c>
      <c r="AQ294" s="15"/>
      <c r="AR294" s="15"/>
      <c r="AS294" s="15"/>
      <c r="AT294" s="15"/>
      <c r="AU294" s="15"/>
      <c r="AV294" s="15"/>
      <c r="AW294" s="15"/>
      <c r="AX294" s="15"/>
      <c r="AY294" s="27">
        <f t="shared" si="17"/>
        <v>3685</v>
      </c>
      <c r="AZ294" s="27">
        <f t="shared" si="18"/>
        <v>9202</v>
      </c>
    </row>
    <row r="295" spans="1:52" x14ac:dyDescent="0.25">
      <c r="A295" s="13">
        <v>354</v>
      </c>
      <c r="B295" s="19" t="s">
        <v>628</v>
      </c>
      <c r="C295" s="26" t="s">
        <v>629</v>
      </c>
      <c r="D295" s="19" t="s">
        <v>42</v>
      </c>
      <c r="E295" s="16">
        <v>120</v>
      </c>
      <c r="F295" s="16">
        <v>300</v>
      </c>
      <c r="G295" s="16">
        <v>40</v>
      </c>
      <c r="H295" s="16">
        <v>100</v>
      </c>
      <c r="I295" s="16">
        <v>2600</v>
      </c>
      <c r="J295" s="16">
        <v>6500</v>
      </c>
      <c r="K295" s="16"/>
      <c r="L295" s="16"/>
      <c r="M295" s="16"/>
      <c r="N295" s="16"/>
      <c r="O295" s="16">
        <v>460</v>
      </c>
      <c r="P295" s="16">
        <v>1150</v>
      </c>
      <c r="Q295" s="16">
        <v>26</v>
      </c>
      <c r="R295" s="16">
        <v>64</v>
      </c>
      <c r="S295" s="16"/>
      <c r="T295" s="16"/>
      <c r="U295" s="16">
        <v>484</v>
      </c>
      <c r="V295" s="16">
        <v>1210</v>
      </c>
      <c r="W295" s="16">
        <v>160</v>
      </c>
      <c r="X295" s="16">
        <v>400</v>
      </c>
      <c r="Y295" s="16"/>
      <c r="Z295" s="16"/>
      <c r="AA295" s="16"/>
      <c r="AB295" s="16"/>
      <c r="AC295" s="16">
        <v>9</v>
      </c>
      <c r="AD295" s="16">
        <v>20</v>
      </c>
      <c r="AE295" s="16">
        <v>51</v>
      </c>
      <c r="AF295" s="16">
        <v>121</v>
      </c>
      <c r="AG295" s="16">
        <v>20</v>
      </c>
      <c r="AH295" s="16">
        <v>50</v>
      </c>
      <c r="AI295" s="16">
        <v>1968</v>
      </c>
      <c r="AJ295" s="16">
        <v>4920</v>
      </c>
      <c r="AK295" s="16">
        <v>28</v>
      </c>
      <c r="AL295" s="16">
        <v>68</v>
      </c>
      <c r="AM295" s="16"/>
      <c r="AN295" s="16"/>
      <c r="AO295" s="15"/>
      <c r="AP295" s="15"/>
      <c r="AQ295" s="15"/>
      <c r="AR295" s="15"/>
      <c r="AS295" s="15"/>
      <c r="AT295" s="15"/>
      <c r="AU295" s="15"/>
      <c r="AV295" s="15"/>
      <c r="AW295" s="15"/>
      <c r="AX295" s="15"/>
      <c r="AY295" s="27">
        <f t="shared" si="17"/>
        <v>5966</v>
      </c>
      <c r="AZ295" s="27">
        <f t="shared" si="18"/>
        <v>14903</v>
      </c>
    </row>
    <row r="296" spans="1:52" x14ac:dyDescent="0.25">
      <c r="A296" s="13">
        <v>355</v>
      </c>
      <c r="B296" s="19" t="s">
        <v>630</v>
      </c>
      <c r="C296" s="26" t="s">
        <v>631</v>
      </c>
      <c r="D296" s="19" t="s">
        <v>42</v>
      </c>
      <c r="E296" s="16"/>
      <c r="F296" s="16"/>
      <c r="G296" s="16"/>
      <c r="H296" s="16"/>
      <c r="I296" s="16"/>
      <c r="J296" s="16"/>
      <c r="K296" s="16"/>
      <c r="L296" s="16"/>
      <c r="M296" s="16"/>
      <c r="N296" s="16"/>
      <c r="O296" s="16"/>
      <c r="P296" s="16"/>
      <c r="Q296" s="16">
        <v>36</v>
      </c>
      <c r="R296" s="16">
        <v>86</v>
      </c>
      <c r="S296" s="16"/>
      <c r="T296" s="16"/>
      <c r="U296" s="16"/>
      <c r="V296" s="16"/>
      <c r="W296" s="16">
        <v>15</v>
      </c>
      <c r="X296" s="16">
        <v>36</v>
      </c>
      <c r="Y296" s="16"/>
      <c r="Z296" s="16"/>
      <c r="AA296" s="16">
        <v>88</v>
      </c>
      <c r="AB296" s="16">
        <v>216</v>
      </c>
      <c r="AC296" s="16"/>
      <c r="AD296" s="16"/>
      <c r="AE296" s="16">
        <v>48</v>
      </c>
      <c r="AF296" s="16">
        <v>120</v>
      </c>
      <c r="AG296" s="16"/>
      <c r="AH296" s="16"/>
      <c r="AI296" s="16">
        <v>1200</v>
      </c>
      <c r="AJ296" s="16">
        <v>3000</v>
      </c>
      <c r="AK296" s="16">
        <v>48</v>
      </c>
      <c r="AL296" s="16">
        <v>120</v>
      </c>
      <c r="AM296" s="16"/>
      <c r="AN296" s="16"/>
      <c r="AO296" s="15">
        <v>1440</v>
      </c>
      <c r="AP296" s="15">
        <v>3600</v>
      </c>
      <c r="AQ296" s="15"/>
      <c r="AR296" s="15"/>
      <c r="AS296" s="15"/>
      <c r="AT296" s="15"/>
      <c r="AU296" s="15"/>
      <c r="AV296" s="15"/>
      <c r="AW296" s="15"/>
      <c r="AX296" s="15"/>
      <c r="AY296" s="27">
        <f t="shared" si="17"/>
        <v>2875</v>
      </c>
      <c r="AZ296" s="27">
        <f t="shared" si="18"/>
        <v>7178</v>
      </c>
    </row>
    <row r="297" spans="1:52" x14ac:dyDescent="0.25">
      <c r="A297" s="13">
        <v>356</v>
      </c>
      <c r="B297" s="19" t="s">
        <v>632</v>
      </c>
      <c r="C297" s="26" t="s">
        <v>633</v>
      </c>
      <c r="D297" s="19" t="s">
        <v>42</v>
      </c>
      <c r="E297" s="16"/>
      <c r="F297" s="16"/>
      <c r="G297" s="16"/>
      <c r="H297" s="16"/>
      <c r="I297" s="16">
        <v>1560</v>
      </c>
      <c r="J297" s="16">
        <v>3900</v>
      </c>
      <c r="K297" s="16"/>
      <c r="L297" s="16"/>
      <c r="M297" s="16"/>
      <c r="N297" s="16"/>
      <c r="O297" s="16">
        <v>280</v>
      </c>
      <c r="P297" s="16">
        <v>700</v>
      </c>
      <c r="Q297" s="16">
        <v>36</v>
      </c>
      <c r="R297" s="16">
        <v>86</v>
      </c>
      <c r="S297" s="16"/>
      <c r="T297" s="16"/>
      <c r="U297" s="16">
        <v>220</v>
      </c>
      <c r="V297" s="16">
        <v>550</v>
      </c>
      <c r="W297" s="16">
        <v>15</v>
      </c>
      <c r="X297" s="16">
        <v>36</v>
      </c>
      <c r="Y297" s="16"/>
      <c r="Z297" s="16"/>
      <c r="AA297" s="16"/>
      <c r="AB297" s="16"/>
      <c r="AC297" s="16"/>
      <c r="AD297" s="16"/>
      <c r="AE297" s="16">
        <v>48</v>
      </c>
      <c r="AF297" s="16">
        <v>120</v>
      </c>
      <c r="AG297" s="16"/>
      <c r="AH297" s="16"/>
      <c r="AI297" s="16">
        <v>1232</v>
      </c>
      <c r="AJ297" s="16">
        <v>3080</v>
      </c>
      <c r="AK297" s="16">
        <v>40</v>
      </c>
      <c r="AL297" s="16">
        <v>100</v>
      </c>
      <c r="AM297" s="16"/>
      <c r="AN297" s="16"/>
      <c r="AO297" s="15"/>
      <c r="AP297" s="15"/>
      <c r="AQ297" s="15"/>
      <c r="AR297" s="15"/>
      <c r="AS297" s="15"/>
      <c r="AT297" s="15"/>
      <c r="AU297" s="15"/>
      <c r="AV297" s="15"/>
      <c r="AW297" s="15"/>
      <c r="AX297" s="15"/>
      <c r="AY297" s="27">
        <f t="shared" si="17"/>
        <v>3431</v>
      </c>
      <c r="AZ297" s="27">
        <f t="shared" si="18"/>
        <v>8572</v>
      </c>
    </row>
    <row r="298" spans="1:52" x14ac:dyDescent="0.25">
      <c r="A298" s="13">
        <v>357</v>
      </c>
      <c r="B298" s="19" t="s">
        <v>634</v>
      </c>
      <c r="C298" s="26" t="s">
        <v>635</v>
      </c>
      <c r="D298" s="19" t="s">
        <v>42</v>
      </c>
      <c r="E298" s="16">
        <v>200</v>
      </c>
      <c r="F298" s="16">
        <v>500</v>
      </c>
      <c r="G298" s="16"/>
      <c r="H298" s="16"/>
      <c r="I298" s="16">
        <v>2500</v>
      </c>
      <c r="J298" s="16">
        <v>6250</v>
      </c>
      <c r="K298" s="16"/>
      <c r="L298" s="16"/>
      <c r="M298" s="16">
        <v>4162</v>
      </c>
      <c r="N298" s="16">
        <v>10404</v>
      </c>
      <c r="O298" s="16">
        <v>29</v>
      </c>
      <c r="P298" s="16">
        <v>70</v>
      </c>
      <c r="Q298" s="16">
        <v>70</v>
      </c>
      <c r="R298" s="16">
        <v>174</v>
      </c>
      <c r="S298" s="16"/>
      <c r="T298" s="16"/>
      <c r="U298" s="16"/>
      <c r="V298" s="16"/>
      <c r="W298" s="16"/>
      <c r="X298" s="16"/>
      <c r="Y298" s="16">
        <v>198</v>
      </c>
      <c r="Z298" s="16">
        <v>492</v>
      </c>
      <c r="AA298" s="16"/>
      <c r="AB298" s="16"/>
      <c r="AC298" s="16"/>
      <c r="AD298" s="16"/>
      <c r="AE298" s="16"/>
      <c r="AF298" s="16"/>
      <c r="AG298" s="16">
        <v>12</v>
      </c>
      <c r="AH298" s="16">
        <v>30</v>
      </c>
      <c r="AI298" s="16">
        <v>960</v>
      </c>
      <c r="AJ298" s="16">
        <v>2400</v>
      </c>
      <c r="AK298" s="16">
        <v>40</v>
      </c>
      <c r="AL298" s="16">
        <v>100</v>
      </c>
      <c r="AM298" s="16"/>
      <c r="AN298" s="16"/>
      <c r="AO298" s="15">
        <v>2160</v>
      </c>
      <c r="AP298" s="15">
        <v>5398</v>
      </c>
      <c r="AQ298" s="15"/>
      <c r="AR298" s="15"/>
      <c r="AS298" s="15"/>
      <c r="AT298" s="15"/>
      <c r="AU298" s="15"/>
      <c r="AV298" s="15"/>
      <c r="AW298" s="15"/>
      <c r="AX298" s="15"/>
      <c r="AY298" s="27">
        <f t="shared" si="17"/>
        <v>10331</v>
      </c>
      <c r="AZ298" s="27">
        <f t="shared" si="18"/>
        <v>25818</v>
      </c>
    </row>
    <row r="299" spans="1:52" x14ac:dyDescent="0.25">
      <c r="A299" s="13">
        <v>358</v>
      </c>
      <c r="B299" s="19" t="s">
        <v>636</v>
      </c>
      <c r="C299" s="26" t="s">
        <v>637</v>
      </c>
      <c r="D299" s="19" t="s">
        <v>42</v>
      </c>
      <c r="E299" s="16">
        <v>400</v>
      </c>
      <c r="F299" s="16">
        <v>1000</v>
      </c>
      <c r="G299" s="16">
        <v>456</v>
      </c>
      <c r="H299" s="16">
        <v>1140</v>
      </c>
      <c r="I299" s="16">
        <v>90</v>
      </c>
      <c r="J299" s="16">
        <v>222</v>
      </c>
      <c r="K299" s="16">
        <v>4</v>
      </c>
      <c r="L299" s="16">
        <v>10</v>
      </c>
      <c r="M299" s="16">
        <v>1318</v>
      </c>
      <c r="N299" s="16">
        <v>3294</v>
      </c>
      <c r="O299" s="16">
        <v>21</v>
      </c>
      <c r="P299" s="16">
        <v>51</v>
      </c>
      <c r="Q299" s="16">
        <v>64</v>
      </c>
      <c r="R299" s="16">
        <v>160</v>
      </c>
      <c r="S299" s="16"/>
      <c r="T299" s="16"/>
      <c r="U299" s="16">
        <v>224</v>
      </c>
      <c r="V299" s="16">
        <v>559</v>
      </c>
      <c r="W299" s="16"/>
      <c r="X299" s="16"/>
      <c r="Y299" s="16">
        <v>142</v>
      </c>
      <c r="Z299" s="16">
        <v>352</v>
      </c>
      <c r="AA299" s="16">
        <v>10</v>
      </c>
      <c r="AB299" s="16">
        <v>24</v>
      </c>
      <c r="AC299" s="16">
        <v>35</v>
      </c>
      <c r="AD299" s="16">
        <v>86</v>
      </c>
      <c r="AE299" s="16"/>
      <c r="AF299" s="16"/>
      <c r="AG299" s="16"/>
      <c r="AH299" s="16"/>
      <c r="AI299" s="16">
        <v>8</v>
      </c>
      <c r="AJ299" s="16">
        <v>20</v>
      </c>
      <c r="AK299" s="16">
        <v>16</v>
      </c>
      <c r="AL299" s="16">
        <v>40</v>
      </c>
      <c r="AM299" s="16"/>
      <c r="AN299" s="16"/>
      <c r="AO299" s="15"/>
      <c r="AP299" s="15"/>
      <c r="AQ299" s="15"/>
      <c r="AR299" s="15"/>
      <c r="AS299" s="15"/>
      <c r="AT299" s="15"/>
      <c r="AU299" s="15"/>
      <c r="AV299" s="15"/>
      <c r="AW299" s="15">
        <v>10</v>
      </c>
      <c r="AX299" s="15">
        <v>24</v>
      </c>
      <c r="AY299" s="27">
        <f t="shared" si="17"/>
        <v>2798</v>
      </c>
      <c r="AZ299" s="27">
        <f t="shared" si="18"/>
        <v>6982</v>
      </c>
    </row>
    <row r="300" spans="1:52" x14ac:dyDescent="0.25">
      <c r="A300" s="13">
        <v>359</v>
      </c>
      <c r="B300" s="19" t="s">
        <v>638</v>
      </c>
      <c r="C300" s="26" t="s">
        <v>639</v>
      </c>
      <c r="D300" s="19" t="s">
        <v>42</v>
      </c>
      <c r="E300" s="16"/>
      <c r="F300" s="16"/>
      <c r="G300" s="16">
        <v>1200</v>
      </c>
      <c r="H300" s="16">
        <v>3000</v>
      </c>
      <c r="I300" s="16">
        <v>800</v>
      </c>
      <c r="J300" s="16">
        <v>2000</v>
      </c>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5"/>
      <c r="AP300" s="15"/>
      <c r="AQ300" s="15">
        <v>1800</v>
      </c>
      <c r="AR300" s="15">
        <v>4500</v>
      </c>
      <c r="AS300" s="15"/>
      <c r="AT300" s="15"/>
      <c r="AU300" s="15"/>
      <c r="AV300" s="15"/>
      <c r="AW300" s="15"/>
      <c r="AX300" s="15"/>
      <c r="AY300" s="27">
        <f t="shared" si="17"/>
        <v>3800</v>
      </c>
      <c r="AZ300" s="27">
        <f t="shared" si="18"/>
        <v>9500</v>
      </c>
    </row>
    <row r="301" spans="1:52" x14ac:dyDescent="0.25">
      <c r="A301" s="13">
        <v>361</v>
      </c>
      <c r="B301" s="19" t="s">
        <v>640</v>
      </c>
      <c r="C301" s="26" t="s">
        <v>641</v>
      </c>
      <c r="D301" s="19" t="s">
        <v>42</v>
      </c>
      <c r="E301" s="16">
        <v>20</v>
      </c>
      <c r="F301" s="16">
        <v>48</v>
      </c>
      <c r="G301" s="16">
        <v>1928</v>
      </c>
      <c r="H301" s="16">
        <v>4820</v>
      </c>
      <c r="I301" s="16">
        <v>1600</v>
      </c>
      <c r="J301" s="16">
        <v>4000</v>
      </c>
      <c r="K301" s="16">
        <v>976</v>
      </c>
      <c r="L301" s="16">
        <v>2440</v>
      </c>
      <c r="M301" s="16"/>
      <c r="N301" s="16"/>
      <c r="O301" s="16">
        <v>125</v>
      </c>
      <c r="P301" s="16">
        <v>310</v>
      </c>
      <c r="Q301" s="16">
        <v>64</v>
      </c>
      <c r="R301" s="16">
        <v>160</v>
      </c>
      <c r="S301" s="16"/>
      <c r="T301" s="16"/>
      <c r="U301" s="16"/>
      <c r="V301" s="16"/>
      <c r="W301" s="16"/>
      <c r="X301" s="16"/>
      <c r="Y301" s="16"/>
      <c r="Z301" s="16"/>
      <c r="AA301" s="16"/>
      <c r="AB301" s="16"/>
      <c r="AC301" s="16">
        <v>7</v>
      </c>
      <c r="AD301" s="16">
        <v>15</v>
      </c>
      <c r="AE301" s="16"/>
      <c r="AF301" s="16"/>
      <c r="AG301" s="16"/>
      <c r="AH301" s="16"/>
      <c r="AI301" s="16">
        <v>40</v>
      </c>
      <c r="AJ301" s="16">
        <v>100</v>
      </c>
      <c r="AK301" s="16"/>
      <c r="AL301" s="16"/>
      <c r="AM301" s="16"/>
      <c r="AN301" s="16"/>
      <c r="AO301" s="15"/>
      <c r="AP301" s="15"/>
      <c r="AQ301" s="15">
        <v>24</v>
      </c>
      <c r="AR301" s="15">
        <v>60</v>
      </c>
      <c r="AS301" s="15"/>
      <c r="AT301" s="15"/>
      <c r="AU301" s="15"/>
      <c r="AV301" s="15"/>
      <c r="AW301" s="15"/>
      <c r="AX301" s="15"/>
      <c r="AY301" s="27">
        <f t="shared" si="17"/>
        <v>4784</v>
      </c>
      <c r="AZ301" s="27">
        <f t="shared" si="18"/>
        <v>11953</v>
      </c>
    </row>
    <row r="302" spans="1:52" x14ac:dyDescent="0.25">
      <c r="A302" s="13">
        <v>365</v>
      </c>
      <c r="B302" s="19" t="s">
        <v>642</v>
      </c>
      <c r="C302" s="26" t="s">
        <v>643</v>
      </c>
      <c r="D302" s="19" t="s">
        <v>42</v>
      </c>
      <c r="E302" s="16"/>
      <c r="F302" s="16"/>
      <c r="G302" s="16">
        <v>2004</v>
      </c>
      <c r="H302" s="16">
        <v>5006</v>
      </c>
      <c r="I302" s="16">
        <v>4860</v>
      </c>
      <c r="J302" s="16">
        <v>12150</v>
      </c>
      <c r="K302" s="16">
        <v>20</v>
      </c>
      <c r="L302" s="16">
        <v>50</v>
      </c>
      <c r="M302" s="16"/>
      <c r="N302" s="16"/>
      <c r="O302" s="16">
        <v>64</v>
      </c>
      <c r="P302" s="16">
        <v>160</v>
      </c>
      <c r="Q302" s="16"/>
      <c r="R302" s="16"/>
      <c r="S302" s="16"/>
      <c r="T302" s="16"/>
      <c r="U302" s="16">
        <v>804</v>
      </c>
      <c r="V302" s="16">
        <v>2010</v>
      </c>
      <c r="W302" s="16">
        <v>1336</v>
      </c>
      <c r="X302" s="16">
        <v>3340</v>
      </c>
      <c r="Y302" s="16"/>
      <c r="Z302" s="16"/>
      <c r="AA302" s="16">
        <v>60</v>
      </c>
      <c r="AB302" s="16">
        <v>150</v>
      </c>
      <c r="AC302" s="16">
        <v>4576</v>
      </c>
      <c r="AD302" s="16">
        <v>11440</v>
      </c>
      <c r="AE302" s="16"/>
      <c r="AF302" s="16"/>
      <c r="AG302" s="16">
        <v>120</v>
      </c>
      <c r="AH302" s="16">
        <v>300</v>
      </c>
      <c r="AI302" s="16">
        <v>13688</v>
      </c>
      <c r="AJ302" s="16">
        <v>34220</v>
      </c>
      <c r="AK302" s="16">
        <v>10604</v>
      </c>
      <c r="AL302" s="16">
        <v>26510</v>
      </c>
      <c r="AM302" s="16"/>
      <c r="AN302" s="16"/>
      <c r="AO302" s="15"/>
      <c r="AP302" s="15"/>
      <c r="AQ302" s="15"/>
      <c r="AR302" s="15"/>
      <c r="AS302" s="15"/>
      <c r="AT302" s="15"/>
      <c r="AU302" s="15"/>
      <c r="AV302" s="15"/>
      <c r="AW302" s="15"/>
      <c r="AX302" s="15"/>
      <c r="AY302" s="27">
        <f t="shared" si="17"/>
        <v>38136</v>
      </c>
      <c r="AZ302" s="27">
        <f t="shared" si="18"/>
        <v>95336</v>
      </c>
    </row>
    <row r="303" spans="1:52" x14ac:dyDescent="0.25">
      <c r="A303" s="13">
        <v>366</v>
      </c>
      <c r="B303" s="19" t="s">
        <v>644</v>
      </c>
      <c r="C303" s="26" t="s">
        <v>645</v>
      </c>
      <c r="D303" s="19" t="s">
        <v>42</v>
      </c>
      <c r="E303" s="16"/>
      <c r="F303" s="16"/>
      <c r="G303" s="16">
        <v>6</v>
      </c>
      <c r="H303" s="16">
        <v>12</v>
      </c>
      <c r="I303" s="16">
        <v>11538</v>
      </c>
      <c r="J303" s="16">
        <v>28844</v>
      </c>
      <c r="K303" s="16">
        <v>7200</v>
      </c>
      <c r="L303" s="16">
        <v>18000</v>
      </c>
      <c r="M303" s="16"/>
      <c r="N303" s="16"/>
      <c r="O303" s="16">
        <v>1373</v>
      </c>
      <c r="P303" s="16">
        <v>3430</v>
      </c>
      <c r="Q303" s="16">
        <v>814</v>
      </c>
      <c r="R303" s="16">
        <v>2032</v>
      </c>
      <c r="S303" s="16">
        <v>729</v>
      </c>
      <c r="T303" s="16">
        <v>1822</v>
      </c>
      <c r="U303" s="16"/>
      <c r="V303" s="16"/>
      <c r="W303" s="16"/>
      <c r="X303" s="16"/>
      <c r="Y303" s="16">
        <v>1160</v>
      </c>
      <c r="Z303" s="16">
        <v>2900</v>
      </c>
      <c r="AA303" s="16"/>
      <c r="AB303" s="16"/>
      <c r="AC303" s="16"/>
      <c r="AD303" s="16"/>
      <c r="AE303" s="16">
        <v>5760</v>
      </c>
      <c r="AF303" s="16">
        <v>14400</v>
      </c>
      <c r="AG303" s="16">
        <v>5240</v>
      </c>
      <c r="AH303" s="16">
        <v>13100</v>
      </c>
      <c r="AI303" s="16">
        <v>1120</v>
      </c>
      <c r="AJ303" s="16">
        <v>2800</v>
      </c>
      <c r="AK303" s="16"/>
      <c r="AL303" s="16"/>
      <c r="AM303" s="16"/>
      <c r="AN303" s="16"/>
      <c r="AO303" s="15">
        <v>16</v>
      </c>
      <c r="AP303" s="15">
        <v>40</v>
      </c>
      <c r="AQ303" s="15"/>
      <c r="AR303" s="15"/>
      <c r="AS303" s="15"/>
      <c r="AT303" s="15"/>
      <c r="AU303" s="15">
        <v>4000</v>
      </c>
      <c r="AV303" s="15">
        <v>10000</v>
      </c>
      <c r="AW303" s="15">
        <v>12</v>
      </c>
      <c r="AX303" s="15">
        <v>26</v>
      </c>
      <c r="AY303" s="27">
        <f t="shared" si="17"/>
        <v>38968</v>
      </c>
      <c r="AZ303" s="27">
        <f t="shared" si="18"/>
        <v>97406</v>
      </c>
    </row>
    <row r="304" spans="1:52" x14ac:dyDescent="0.25">
      <c r="A304" s="13">
        <v>370</v>
      </c>
      <c r="B304" s="19" t="s">
        <v>646</v>
      </c>
      <c r="C304" s="26" t="s">
        <v>647</v>
      </c>
      <c r="D304" s="19" t="s">
        <v>42</v>
      </c>
      <c r="E304" s="16">
        <v>118</v>
      </c>
      <c r="F304" s="16">
        <v>294</v>
      </c>
      <c r="G304" s="16"/>
      <c r="H304" s="16"/>
      <c r="I304" s="16">
        <v>1380</v>
      </c>
      <c r="J304" s="16">
        <v>3450</v>
      </c>
      <c r="K304" s="16">
        <v>4</v>
      </c>
      <c r="L304" s="16">
        <v>8</v>
      </c>
      <c r="M304" s="16">
        <v>156</v>
      </c>
      <c r="N304" s="16">
        <v>390</v>
      </c>
      <c r="O304" s="16">
        <v>20</v>
      </c>
      <c r="P304" s="16">
        <v>48</v>
      </c>
      <c r="Q304" s="16"/>
      <c r="R304" s="16"/>
      <c r="S304" s="16"/>
      <c r="T304" s="16"/>
      <c r="U304" s="16">
        <v>461</v>
      </c>
      <c r="V304" s="16">
        <v>1150</v>
      </c>
      <c r="W304" s="16"/>
      <c r="X304" s="16"/>
      <c r="Y304" s="16">
        <v>320</v>
      </c>
      <c r="Z304" s="16">
        <v>800</v>
      </c>
      <c r="AA304" s="16">
        <v>36</v>
      </c>
      <c r="AB304" s="16">
        <v>90</v>
      </c>
      <c r="AC304" s="16">
        <v>143</v>
      </c>
      <c r="AD304" s="16">
        <v>352</v>
      </c>
      <c r="AE304" s="16">
        <v>960</v>
      </c>
      <c r="AF304" s="16">
        <v>2400</v>
      </c>
      <c r="AG304" s="16"/>
      <c r="AH304" s="16"/>
      <c r="AI304" s="16">
        <v>175</v>
      </c>
      <c r="AJ304" s="16">
        <v>435</v>
      </c>
      <c r="AK304" s="16"/>
      <c r="AL304" s="16"/>
      <c r="AM304" s="16"/>
      <c r="AN304" s="16"/>
      <c r="AO304" s="15">
        <v>530</v>
      </c>
      <c r="AP304" s="15">
        <v>1319</v>
      </c>
      <c r="AQ304" s="15"/>
      <c r="AR304" s="15"/>
      <c r="AS304" s="15"/>
      <c r="AT304" s="15"/>
      <c r="AU304" s="15"/>
      <c r="AV304" s="15"/>
      <c r="AW304" s="15"/>
      <c r="AX304" s="15"/>
      <c r="AY304" s="27">
        <f t="shared" si="17"/>
        <v>4303</v>
      </c>
      <c r="AZ304" s="27">
        <f t="shared" si="18"/>
        <v>10736</v>
      </c>
    </row>
    <row r="305" spans="1:52" x14ac:dyDescent="0.25">
      <c r="A305" s="13">
        <v>371</v>
      </c>
      <c r="B305" s="19" t="s">
        <v>648</v>
      </c>
      <c r="C305" s="26" t="s">
        <v>649</v>
      </c>
      <c r="D305" s="19" t="s">
        <v>42</v>
      </c>
      <c r="E305" s="16">
        <v>308</v>
      </c>
      <c r="F305" s="16">
        <v>770</v>
      </c>
      <c r="G305" s="16"/>
      <c r="H305" s="16"/>
      <c r="I305" s="16">
        <v>21</v>
      </c>
      <c r="J305" s="16">
        <v>51</v>
      </c>
      <c r="K305" s="16"/>
      <c r="L305" s="16"/>
      <c r="M305" s="16">
        <v>48</v>
      </c>
      <c r="N305" s="16">
        <v>120</v>
      </c>
      <c r="O305" s="16">
        <v>250</v>
      </c>
      <c r="P305" s="16">
        <v>618</v>
      </c>
      <c r="Q305" s="16"/>
      <c r="R305" s="16"/>
      <c r="S305" s="16"/>
      <c r="T305" s="16"/>
      <c r="U305" s="16">
        <v>8</v>
      </c>
      <c r="V305" s="16">
        <v>20</v>
      </c>
      <c r="W305" s="16">
        <v>80</v>
      </c>
      <c r="X305" s="16">
        <v>200</v>
      </c>
      <c r="Y305" s="16">
        <v>160</v>
      </c>
      <c r="Z305" s="16">
        <v>400</v>
      </c>
      <c r="AA305" s="16">
        <v>12</v>
      </c>
      <c r="AB305" s="16">
        <v>30</v>
      </c>
      <c r="AC305" s="16">
        <v>173</v>
      </c>
      <c r="AD305" s="16">
        <v>431</v>
      </c>
      <c r="AE305" s="16">
        <v>2880</v>
      </c>
      <c r="AF305" s="16">
        <v>7200</v>
      </c>
      <c r="AG305" s="16"/>
      <c r="AH305" s="16"/>
      <c r="AI305" s="16">
        <v>326</v>
      </c>
      <c r="AJ305" s="16">
        <v>813</v>
      </c>
      <c r="AK305" s="16"/>
      <c r="AL305" s="16"/>
      <c r="AM305" s="16"/>
      <c r="AN305" s="16"/>
      <c r="AO305" s="15"/>
      <c r="AP305" s="15"/>
      <c r="AQ305" s="15"/>
      <c r="AR305" s="15"/>
      <c r="AS305" s="15"/>
      <c r="AT305" s="15"/>
      <c r="AU305" s="15"/>
      <c r="AV305" s="15"/>
      <c r="AW305" s="15"/>
      <c r="AX305" s="15"/>
      <c r="AY305" s="27">
        <f t="shared" si="17"/>
        <v>4266</v>
      </c>
      <c r="AZ305" s="27">
        <f t="shared" si="18"/>
        <v>10653</v>
      </c>
    </row>
    <row r="306" spans="1:52" x14ac:dyDescent="0.25">
      <c r="A306" s="13">
        <v>372</v>
      </c>
      <c r="B306" s="19" t="s">
        <v>650</v>
      </c>
      <c r="C306" s="26" t="s">
        <v>651</v>
      </c>
      <c r="D306" s="19" t="s">
        <v>42</v>
      </c>
      <c r="E306" s="16">
        <v>688</v>
      </c>
      <c r="F306" s="16">
        <v>1720</v>
      </c>
      <c r="G306" s="16"/>
      <c r="H306" s="16"/>
      <c r="I306" s="16">
        <v>720</v>
      </c>
      <c r="J306" s="16">
        <v>1800</v>
      </c>
      <c r="K306" s="16"/>
      <c r="L306" s="16"/>
      <c r="M306" s="16">
        <v>1080</v>
      </c>
      <c r="N306" s="16">
        <v>2700</v>
      </c>
      <c r="O306" s="16">
        <v>318</v>
      </c>
      <c r="P306" s="16">
        <v>789</v>
      </c>
      <c r="Q306" s="16"/>
      <c r="R306" s="16"/>
      <c r="S306" s="16"/>
      <c r="T306" s="16"/>
      <c r="U306" s="16">
        <v>13</v>
      </c>
      <c r="V306" s="16">
        <v>30</v>
      </c>
      <c r="W306" s="16">
        <v>880</v>
      </c>
      <c r="X306" s="16">
        <v>2200</v>
      </c>
      <c r="Y306" s="16">
        <v>360</v>
      </c>
      <c r="Z306" s="16">
        <v>900</v>
      </c>
      <c r="AA306" s="16">
        <v>12</v>
      </c>
      <c r="AB306" s="16">
        <v>30</v>
      </c>
      <c r="AC306" s="16">
        <v>688</v>
      </c>
      <c r="AD306" s="16">
        <v>1720</v>
      </c>
      <c r="AE306" s="16">
        <v>320</v>
      </c>
      <c r="AF306" s="16">
        <v>800</v>
      </c>
      <c r="AG306" s="16"/>
      <c r="AH306" s="16"/>
      <c r="AI306" s="16">
        <v>96</v>
      </c>
      <c r="AJ306" s="16">
        <v>240</v>
      </c>
      <c r="AK306" s="16"/>
      <c r="AL306" s="16"/>
      <c r="AM306" s="16"/>
      <c r="AN306" s="16"/>
      <c r="AO306" s="15">
        <v>704</v>
      </c>
      <c r="AP306" s="15">
        <v>1760</v>
      </c>
      <c r="AQ306" s="15"/>
      <c r="AR306" s="15"/>
      <c r="AS306" s="15"/>
      <c r="AT306" s="15"/>
      <c r="AU306" s="15"/>
      <c r="AV306" s="15"/>
      <c r="AW306" s="15"/>
      <c r="AX306" s="15"/>
      <c r="AY306" s="27">
        <f t="shared" si="17"/>
        <v>5879</v>
      </c>
      <c r="AZ306" s="27">
        <f t="shared" si="18"/>
        <v>14689</v>
      </c>
    </row>
    <row r="307" spans="1:52" x14ac:dyDescent="0.25">
      <c r="A307" s="13">
        <v>373</v>
      </c>
      <c r="B307" s="19" t="s">
        <v>652</v>
      </c>
      <c r="C307" s="26" t="s">
        <v>653</v>
      </c>
      <c r="D307" s="19" t="s">
        <v>42</v>
      </c>
      <c r="E307" s="16">
        <v>2280</v>
      </c>
      <c r="F307" s="16">
        <v>5700</v>
      </c>
      <c r="G307" s="16"/>
      <c r="H307" s="16"/>
      <c r="I307" s="16">
        <v>2580</v>
      </c>
      <c r="J307" s="16">
        <v>6450</v>
      </c>
      <c r="K307" s="16"/>
      <c r="L307" s="16"/>
      <c r="M307" s="16">
        <v>4000</v>
      </c>
      <c r="N307" s="16">
        <v>10000</v>
      </c>
      <c r="O307" s="16">
        <v>927</v>
      </c>
      <c r="P307" s="16">
        <v>2312</v>
      </c>
      <c r="Q307" s="16"/>
      <c r="R307" s="16"/>
      <c r="S307" s="16"/>
      <c r="T307" s="16"/>
      <c r="U307" s="16">
        <v>20</v>
      </c>
      <c r="V307" s="16">
        <v>48</v>
      </c>
      <c r="W307" s="16">
        <v>216</v>
      </c>
      <c r="X307" s="16">
        <v>540</v>
      </c>
      <c r="Y307" s="16">
        <v>494</v>
      </c>
      <c r="Z307" s="16">
        <v>1232</v>
      </c>
      <c r="AA307" s="16">
        <v>40</v>
      </c>
      <c r="AB307" s="16">
        <v>100</v>
      </c>
      <c r="AC307" s="16">
        <v>1452</v>
      </c>
      <c r="AD307" s="16">
        <v>3630</v>
      </c>
      <c r="AE307" s="16">
        <v>480</v>
      </c>
      <c r="AF307" s="16">
        <v>1200</v>
      </c>
      <c r="AG307" s="16"/>
      <c r="AH307" s="16"/>
      <c r="AI307" s="16">
        <v>154</v>
      </c>
      <c r="AJ307" s="16">
        <v>384</v>
      </c>
      <c r="AK307" s="16"/>
      <c r="AL307" s="16"/>
      <c r="AM307" s="16"/>
      <c r="AN307" s="16"/>
      <c r="AO307" s="15">
        <v>2640</v>
      </c>
      <c r="AP307" s="15">
        <v>6600</v>
      </c>
      <c r="AQ307" s="15"/>
      <c r="AR307" s="15"/>
      <c r="AS307" s="15"/>
      <c r="AT307" s="15"/>
      <c r="AU307" s="15"/>
      <c r="AV307" s="15"/>
      <c r="AW307" s="15"/>
      <c r="AX307" s="15"/>
      <c r="AY307" s="27">
        <f t="shared" si="17"/>
        <v>15283</v>
      </c>
      <c r="AZ307" s="27">
        <f t="shared" si="18"/>
        <v>38196</v>
      </c>
    </row>
    <row r="308" spans="1:52" x14ac:dyDescent="0.25">
      <c r="A308" s="13">
        <v>374</v>
      </c>
      <c r="B308" s="19" t="s">
        <v>654</v>
      </c>
      <c r="C308" s="26" t="s">
        <v>655</v>
      </c>
      <c r="D308" s="19" t="s">
        <v>42</v>
      </c>
      <c r="E308" s="16">
        <v>129</v>
      </c>
      <c r="F308" s="16">
        <v>320</v>
      </c>
      <c r="G308" s="16">
        <v>27</v>
      </c>
      <c r="H308" s="16">
        <v>65</v>
      </c>
      <c r="I308" s="16">
        <v>1354</v>
      </c>
      <c r="J308" s="16">
        <v>3380</v>
      </c>
      <c r="K308" s="16"/>
      <c r="L308" s="16"/>
      <c r="M308" s="16">
        <v>524</v>
      </c>
      <c r="N308" s="16">
        <v>1308</v>
      </c>
      <c r="O308" s="16">
        <v>471</v>
      </c>
      <c r="P308" s="16">
        <v>1175</v>
      </c>
      <c r="Q308" s="16"/>
      <c r="R308" s="16"/>
      <c r="S308" s="16">
        <v>120</v>
      </c>
      <c r="T308" s="16">
        <v>300</v>
      </c>
      <c r="U308" s="16">
        <v>60</v>
      </c>
      <c r="V308" s="16">
        <v>144</v>
      </c>
      <c r="W308" s="16">
        <v>188</v>
      </c>
      <c r="X308" s="16">
        <v>470</v>
      </c>
      <c r="Y308" s="16">
        <v>136</v>
      </c>
      <c r="Z308" s="16">
        <v>336</v>
      </c>
      <c r="AA308" s="16">
        <v>24</v>
      </c>
      <c r="AB308" s="16">
        <v>56</v>
      </c>
      <c r="AC308" s="16">
        <v>470</v>
      </c>
      <c r="AD308" s="16">
        <v>1172</v>
      </c>
      <c r="AE308" s="16">
        <v>1024</v>
      </c>
      <c r="AF308" s="16">
        <v>2555</v>
      </c>
      <c r="AG308" s="16"/>
      <c r="AH308" s="16"/>
      <c r="AI308" s="16">
        <v>199</v>
      </c>
      <c r="AJ308" s="16">
        <v>492</v>
      </c>
      <c r="AK308" s="16"/>
      <c r="AL308" s="16"/>
      <c r="AM308" s="16"/>
      <c r="AN308" s="16"/>
      <c r="AO308" s="15">
        <v>254</v>
      </c>
      <c r="AP308" s="15">
        <v>632</v>
      </c>
      <c r="AQ308" s="15"/>
      <c r="AR308" s="15"/>
      <c r="AS308" s="15"/>
      <c r="AT308" s="15"/>
      <c r="AU308" s="15"/>
      <c r="AV308" s="15"/>
      <c r="AW308" s="15"/>
      <c r="AX308" s="15"/>
      <c r="AY308" s="27">
        <f t="shared" si="17"/>
        <v>4980</v>
      </c>
      <c r="AZ308" s="27">
        <f t="shared" si="18"/>
        <v>12405</v>
      </c>
    </row>
    <row r="309" spans="1:52" x14ac:dyDescent="0.25">
      <c r="A309" s="13">
        <v>376</v>
      </c>
      <c r="B309" s="19" t="s">
        <v>656</v>
      </c>
      <c r="C309" s="26" t="s">
        <v>657</v>
      </c>
      <c r="D309" s="19" t="s">
        <v>42</v>
      </c>
      <c r="E309" s="16">
        <v>160</v>
      </c>
      <c r="F309" s="16">
        <v>400</v>
      </c>
      <c r="G309" s="16"/>
      <c r="H309" s="16"/>
      <c r="I309" s="16">
        <v>620</v>
      </c>
      <c r="J309" s="16">
        <v>1548</v>
      </c>
      <c r="K309" s="16"/>
      <c r="L309" s="16"/>
      <c r="M309" s="16">
        <v>72</v>
      </c>
      <c r="N309" s="16">
        <v>180</v>
      </c>
      <c r="O309" s="16">
        <v>165</v>
      </c>
      <c r="P309" s="16">
        <v>406</v>
      </c>
      <c r="Q309" s="16"/>
      <c r="R309" s="16"/>
      <c r="S309" s="16"/>
      <c r="T309" s="16"/>
      <c r="U309" s="16">
        <v>49</v>
      </c>
      <c r="V309" s="16">
        <v>120</v>
      </c>
      <c r="W309" s="16">
        <v>56</v>
      </c>
      <c r="X309" s="16">
        <v>140</v>
      </c>
      <c r="Y309" s="16">
        <v>32</v>
      </c>
      <c r="Z309" s="16">
        <v>80</v>
      </c>
      <c r="AA309" s="16"/>
      <c r="AB309" s="16"/>
      <c r="AC309" s="16">
        <v>144</v>
      </c>
      <c r="AD309" s="16">
        <v>360</v>
      </c>
      <c r="AE309" s="16">
        <v>38</v>
      </c>
      <c r="AF309" s="16">
        <v>95</v>
      </c>
      <c r="AG309" s="16"/>
      <c r="AH309" s="16"/>
      <c r="AI309" s="16">
        <v>19</v>
      </c>
      <c r="AJ309" s="16">
        <v>44</v>
      </c>
      <c r="AK309" s="16"/>
      <c r="AL309" s="16"/>
      <c r="AM309" s="16"/>
      <c r="AN309" s="16"/>
      <c r="AO309" s="15">
        <v>44</v>
      </c>
      <c r="AP309" s="15">
        <v>106</v>
      </c>
      <c r="AQ309" s="15"/>
      <c r="AR309" s="15"/>
      <c r="AS309" s="15"/>
      <c r="AT309" s="15"/>
      <c r="AU309" s="15"/>
      <c r="AV309" s="15"/>
      <c r="AW309" s="15"/>
      <c r="AX309" s="15"/>
      <c r="AY309" s="27">
        <f t="shared" si="17"/>
        <v>1399</v>
      </c>
      <c r="AZ309" s="27">
        <f t="shared" si="18"/>
        <v>3479</v>
      </c>
    </row>
    <row r="310" spans="1:52" x14ac:dyDescent="0.25">
      <c r="A310" s="13">
        <v>377</v>
      </c>
      <c r="B310" s="19" t="s">
        <v>658</v>
      </c>
      <c r="C310" s="26" t="s">
        <v>659</v>
      </c>
      <c r="D310" s="19" t="s">
        <v>42</v>
      </c>
      <c r="E310" s="16"/>
      <c r="F310" s="16"/>
      <c r="G310" s="16"/>
      <c r="H310" s="16"/>
      <c r="I310" s="16">
        <v>80</v>
      </c>
      <c r="J310" s="16">
        <v>200</v>
      </c>
      <c r="K310" s="16">
        <v>12</v>
      </c>
      <c r="L310" s="16">
        <v>30</v>
      </c>
      <c r="M310" s="16">
        <v>44</v>
      </c>
      <c r="N310" s="16">
        <v>110</v>
      </c>
      <c r="O310" s="16">
        <v>157</v>
      </c>
      <c r="P310" s="16">
        <v>392</v>
      </c>
      <c r="Q310" s="16"/>
      <c r="R310" s="16"/>
      <c r="S310" s="16"/>
      <c r="T310" s="16"/>
      <c r="U310" s="16">
        <v>4</v>
      </c>
      <c r="V310" s="16">
        <v>10</v>
      </c>
      <c r="W310" s="16"/>
      <c r="X310" s="16"/>
      <c r="Y310" s="16"/>
      <c r="Z310" s="16"/>
      <c r="AA310" s="16"/>
      <c r="AB310" s="16"/>
      <c r="AC310" s="16">
        <v>24</v>
      </c>
      <c r="AD310" s="16">
        <v>60</v>
      </c>
      <c r="AE310" s="16"/>
      <c r="AF310" s="16"/>
      <c r="AG310" s="16"/>
      <c r="AH310" s="16"/>
      <c r="AI310" s="16"/>
      <c r="AJ310" s="16"/>
      <c r="AK310" s="16">
        <v>48</v>
      </c>
      <c r="AL310" s="16">
        <v>120</v>
      </c>
      <c r="AM310" s="16"/>
      <c r="AN310" s="16"/>
      <c r="AO310" s="15">
        <v>534</v>
      </c>
      <c r="AP310" s="15">
        <v>1334</v>
      </c>
      <c r="AQ310" s="15"/>
      <c r="AR310" s="15"/>
      <c r="AS310" s="15"/>
      <c r="AT310" s="15"/>
      <c r="AU310" s="15"/>
      <c r="AV310" s="15"/>
      <c r="AW310" s="15"/>
      <c r="AX310" s="15"/>
      <c r="AY310" s="27">
        <f t="shared" si="17"/>
        <v>903</v>
      </c>
      <c r="AZ310" s="27">
        <f t="shared" si="18"/>
        <v>2256</v>
      </c>
    </row>
    <row r="311" spans="1:52" x14ac:dyDescent="0.25">
      <c r="A311" s="13">
        <v>380</v>
      </c>
      <c r="B311" s="19" t="s">
        <v>660</v>
      </c>
      <c r="C311" s="26" t="s">
        <v>661</v>
      </c>
      <c r="D311" s="19" t="s">
        <v>42</v>
      </c>
      <c r="E311" s="16">
        <v>6412</v>
      </c>
      <c r="F311" s="16">
        <v>16030</v>
      </c>
      <c r="G311" s="16">
        <v>4500</v>
      </c>
      <c r="H311" s="16">
        <v>11250</v>
      </c>
      <c r="I311" s="16">
        <v>75896</v>
      </c>
      <c r="J311" s="16">
        <v>189737</v>
      </c>
      <c r="K311" s="16">
        <v>15684</v>
      </c>
      <c r="L311" s="16">
        <v>39210</v>
      </c>
      <c r="M311" s="16">
        <v>1457</v>
      </c>
      <c r="N311" s="16">
        <v>3641</v>
      </c>
      <c r="O311" s="16">
        <v>30133</v>
      </c>
      <c r="P311" s="16">
        <v>75329</v>
      </c>
      <c r="Q311" s="16">
        <v>4570</v>
      </c>
      <c r="R311" s="16">
        <v>11424</v>
      </c>
      <c r="S311" s="16">
        <v>4400</v>
      </c>
      <c r="T311" s="16">
        <v>11000</v>
      </c>
      <c r="U311" s="16">
        <v>7412</v>
      </c>
      <c r="V311" s="16">
        <v>18527</v>
      </c>
      <c r="W311" s="16">
        <v>14400</v>
      </c>
      <c r="X311" s="16">
        <v>36000</v>
      </c>
      <c r="Y311" s="16">
        <v>14400</v>
      </c>
      <c r="Z311" s="16">
        <v>36000</v>
      </c>
      <c r="AA311" s="16">
        <v>1220</v>
      </c>
      <c r="AB311" s="16">
        <v>3050</v>
      </c>
      <c r="AC311" s="16">
        <v>17281</v>
      </c>
      <c r="AD311" s="16">
        <v>43202</v>
      </c>
      <c r="AE311" s="16">
        <v>47640</v>
      </c>
      <c r="AF311" s="16">
        <v>119100</v>
      </c>
      <c r="AG311" s="16">
        <v>40</v>
      </c>
      <c r="AH311" s="16">
        <v>100</v>
      </c>
      <c r="AI311" s="16">
        <v>19296</v>
      </c>
      <c r="AJ311" s="16">
        <v>48240</v>
      </c>
      <c r="AK311" s="16">
        <v>10080</v>
      </c>
      <c r="AL311" s="16">
        <v>25200</v>
      </c>
      <c r="AM311" s="16">
        <v>9600</v>
      </c>
      <c r="AN311" s="16">
        <v>24000</v>
      </c>
      <c r="AO311" s="15">
        <v>23249</v>
      </c>
      <c r="AP311" s="15">
        <v>58121</v>
      </c>
      <c r="AQ311" s="15">
        <v>1608</v>
      </c>
      <c r="AR311" s="15">
        <v>4020</v>
      </c>
      <c r="AS311" s="15">
        <v>8</v>
      </c>
      <c r="AT311" s="15">
        <v>20</v>
      </c>
      <c r="AU311" s="15">
        <v>6000</v>
      </c>
      <c r="AV311" s="15">
        <v>15000</v>
      </c>
      <c r="AW311" s="15">
        <v>1068</v>
      </c>
      <c r="AX311" s="15">
        <v>2666</v>
      </c>
      <c r="AY311" s="27">
        <f t="shared" si="17"/>
        <v>316354</v>
      </c>
      <c r="AZ311" s="27">
        <f t="shared" si="18"/>
        <v>790867</v>
      </c>
    </row>
    <row r="312" spans="1:52" x14ac:dyDescent="0.25">
      <c r="A312" s="13">
        <v>381</v>
      </c>
      <c r="B312" s="19" t="s">
        <v>662</v>
      </c>
      <c r="C312" s="26" t="s">
        <v>663</v>
      </c>
      <c r="D312" s="19" t="s">
        <v>42</v>
      </c>
      <c r="E312" s="16">
        <v>240</v>
      </c>
      <c r="F312" s="16">
        <v>600</v>
      </c>
      <c r="G312" s="16">
        <v>6</v>
      </c>
      <c r="H312" s="16">
        <v>12</v>
      </c>
      <c r="I312" s="16">
        <v>1880</v>
      </c>
      <c r="J312" s="16">
        <v>4700</v>
      </c>
      <c r="K312" s="16"/>
      <c r="L312" s="16"/>
      <c r="M312" s="16">
        <v>2362</v>
      </c>
      <c r="N312" s="16">
        <v>5902</v>
      </c>
      <c r="O312" s="16">
        <v>917</v>
      </c>
      <c r="P312" s="16">
        <v>2290</v>
      </c>
      <c r="Q312" s="16"/>
      <c r="R312" s="16"/>
      <c r="S312" s="16">
        <v>288</v>
      </c>
      <c r="T312" s="16">
        <v>720</v>
      </c>
      <c r="U312" s="16">
        <v>301</v>
      </c>
      <c r="V312" s="16">
        <v>752</v>
      </c>
      <c r="W312" s="16"/>
      <c r="X312" s="16"/>
      <c r="Y312" s="16">
        <v>512</v>
      </c>
      <c r="Z312" s="16">
        <v>1280</v>
      </c>
      <c r="AA312" s="16">
        <v>28</v>
      </c>
      <c r="AB312" s="16">
        <v>70</v>
      </c>
      <c r="AC312" s="16"/>
      <c r="AD312" s="16"/>
      <c r="AE312" s="16"/>
      <c r="AF312" s="16"/>
      <c r="AG312" s="16">
        <v>80</v>
      </c>
      <c r="AH312" s="16">
        <v>200</v>
      </c>
      <c r="AI312" s="16"/>
      <c r="AJ312" s="16"/>
      <c r="AK312" s="16"/>
      <c r="AL312" s="16"/>
      <c r="AM312" s="16"/>
      <c r="AN312" s="16"/>
      <c r="AO312" s="15">
        <v>664</v>
      </c>
      <c r="AP312" s="15">
        <v>1660</v>
      </c>
      <c r="AQ312" s="15"/>
      <c r="AR312" s="15"/>
      <c r="AS312" s="15"/>
      <c r="AT312" s="15"/>
      <c r="AU312" s="15"/>
      <c r="AV312" s="15"/>
      <c r="AW312" s="15">
        <v>8</v>
      </c>
      <c r="AX312" s="15">
        <v>16</v>
      </c>
      <c r="AY312" s="27">
        <f t="shared" si="17"/>
        <v>7286</v>
      </c>
      <c r="AZ312" s="27">
        <f t="shared" si="18"/>
        <v>18202</v>
      </c>
    </row>
    <row r="313" spans="1:52" x14ac:dyDescent="0.25">
      <c r="A313" s="13">
        <v>382</v>
      </c>
      <c r="B313" s="19" t="s">
        <v>664</v>
      </c>
      <c r="C313" s="26" t="s">
        <v>665</v>
      </c>
      <c r="D313" s="19" t="s">
        <v>42</v>
      </c>
      <c r="E313" s="16"/>
      <c r="F313" s="16"/>
      <c r="G313" s="16"/>
      <c r="H313" s="16"/>
      <c r="I313" s="16"/>
      <c r="J313" s="16"/>
      <c r="K313" s="16">
        <v>240</v>
      </c>
      <c r="L313" s="16">
        <v>600</v>
      </c>
      <c r="M313" s="16"/>
      <c r="N313" s="16"/>
      <c r="O313" s="16"/>
      <c r="P313" s="16"/>
      <c r="Q313" s="16"/>
      <c r="R313" s="16"/>
      <c r="S313" s="16"/>
      <c r="T313" s="16"/>
      <c r="U313" s="16">
        <v>44</v>
      </c>
      <c r="V313" s="16">
        <v>110</v>
      </c>
      <c r="W313" s="16"/>
      <c r="X313" s="16"/>
      <c r="Y313" s="16"/>
      <c r="Z313" s="16"/>
      <c r="AA313" s="16"/>
      <c r="AB313" s="16"/>
      <c r="AC313" s="16"/>
      <c r="AD313" s="16"/>
      <c r="AE313" s="16"/>
      <c r="AF313" s="16"/>
      <c r="AG313" s="16"/>
      <c r="AH313" s="16"/>
      <c r="AI313" s="16"/>
      <c r="AJ313" s="16"/>
      <c r="AK313" s="16"/>
      <c r="AL313" s="16"/>
      <c r="AM313" s="16"/>
      <c r="AN313" s="16"/>
      <c r="AO313" s="15">
        <v>120</v>
      </c>
      <c r="AP313" s="15">
        <v>300</v>
      </c>
      <c r="AQ313" s="15"/>
      <c r="AR313" s="15"/>
      <c r="AS313" s="15"/>
      <c r="AT313" s="15"/>
      <c r="AU313" s="15"/>
      <c r="AV313" s="15"/>
      <c r="AW313" s="15"/>
      <c r="AX313" s="15"/>
      <c r="AY313" s="27">
        <f t="shared" si="17"/>
        <v>404</v>
      </c>
      <c r="AZ313" s="27">
        <f t="shared" si="18"/>
        <v>1010</v>
      </c>
    </row>
    <row r="314" spans="1:52" x14ac:dyDescent="0.25">
      <c r="A314" s="13">
        <v>384</v>
      </c>
      <c r="B314" s="19" t="s">
        <v>666</v>
      </c>
      <c r="C314" s="26" t="s">
        <v>667</v>
      </c>
      <c r="D314" s="19" t="s">
        <v>42</v>
      </c>
      <c r="E314" s="16">
        <v>8</v>
      </c>
      <c r="F314" s="16">
        <v>20</v>
      </c>
      <c r="G314" s="16">
        <v>4</v>
      </c>
      <c r="H314" s="16">
        <v>6</v>
      </c>
      <c r="I314" s="16">
        <v>6000</v>
      </c>
      <c r="J314" s="16">
        <v>15000</v>
      </c>
      <c r="K314" s="16">
        <v>899</v>
      </c>
      <c r="L314" s="16">
        <v>2243</v>
      </c>
      <c r="M314" s="16">
        <v>80</v>
      </c>
      <c r="N314" s="16">
        <v>200</v>
      </c>
      <c r="O314" s="16">
        <v>803</v>
      </c>
      <c r="P314" s="16">
        <v>2002</v>
      </c>
      <c r="Q314" s="16">
        <v>276</v>
      </c>
      <c r="R314" s="16">
        <v>686</v>
      </c>
      <c r="S314" s="16">
        <v>40</v>
      </c>
      <c r="T314" s="16">
        <v>98</v>
      </c>
      <c r="U314" s="16">
        <v>1372</v>
      </c>
      <c r="V314" s="16">
        <v>3430</v>
      </c>
      <c r="W314" s="16">
        <v>320</v>
      </c>
      <c r="X314" s="16">
        <v>800</v>
      </c>
      <c r="Y314" s="16">
        <v>96</v>
      </c>
      <c r="Z314" s="16">
        <v>240</v>
      </c>
      <c r="AA314" s="16">
        <v>208</v>
      </c>
      <c r="AB314" s="16">
        <v>516</v>
      </c>
      <c r="AC314" s="16">
        <v>63</v>
      </c>
      <c r="AD314" s="16">
        <v>154</v>
      </c>
      <c r="AE314" s="16"/>
      <c r="AF314" s="16"/>
      <c r="AG314" s="16">
        <v>3820</v>
      </c>
      <c r="AH314" s="16">
        <v>9548</v>
      </c>
      <c r="AI314" s="16">
        <v>36</v>
      </c>
      <c r="AJ314" s="16">
        <v>90</v>
      </c>
      <c r="AK314" s="16">
        <v>40</v>
      </c>
      <c r="AL314" s="16">
        <v>100</v>
      </c>
      <c r="AM314" s="16">
        <v>164</v>
      </c>
      <c r="AN314" s="16">
        <v>408</v>
      </c>
      <c r="AO314" s="15">
        <v>24</v>
      </c>
      <c r="AP314" s="15">
        <v>60</v>
      </c>
      <c r="AQ314" s="15"/>
      <c r="AR314" s="15"/>
      <c r="AS314" s="15">
        <v>72</v>
      </c>
      <c r="AT314" s="15">
        <v>180</v>
      </c>
      <c r="AU314" s="15">
        <v>2</v>
      </c>
      <c r="AV314" s="15">
        <v>4</v>
      </c>
      <c r="AW314" s="15"/>
      <c r="AX314" s="15"/>
      <c r="AY314" s="27">
        <f t="shared" si="17"/>
        <v>14327</v>
      </c>
      <c r="AZ314" s="27">
        <f t="shared" si="18"/>
        <v>35785</v>
      </c>
    </row>
    <row r="315" spans="1:52" x14ac:dyDescent="0.25">
      <c r="A315" s="13">
        <v>387</v>
      </c>
      <c r="B315" s="19" t="s">
        <v>668</v>
      </c>
      <c r="C315" s="26" t="s">
        <v>669</v>
      </c>
      <c r="D315" s="19" t="s">
        <v>42</v>
      </c>
      <c r="E315" s="16">
        <v>6000</v>
      </c>
      <c r="F315" s="16">
        <v>15000</v>
      </c>
      <c r="G315" s="16">
        <v>800</v>
      </c>
      <c r="H315" s="16">
        <v>2000</v>
      </c>
      <c r="I315" s="16">
        <v>30410</v>
      </c>
      <c r="J315" s="16">
        <v>76022</v>
      </c>
      <c r="K315" s="16">
        <v>3574</v>
      </c>
      <c r="L315" s="16">
        <v>8935</v>
      </c>
      <c r="M315" s="16">
        <v>12365</v>
      </c>
      <c r="N315" s="16">
        <v>30908</v>
      </c>
      <c r="O315" s="16">
        <v>1513</v>
      </c>
      <c r="P315" s="16">
        <v>3778</v>
      </c>
      <c r="Q315" s="16">
        <v>3284</v>
      </c>
      <c r="R315" s="16">
        <v>8204</v>
      </c>
      <c r="S315" s="16">
        <v>360</v>
      </c>
      <c r="T315" s="16">
        <v>900</v>
      </c>
      <c r="U315" s="16">
        <v>740</v>
      </c>
      <c r="V315" s="16">
        <v>1850</v>
      </c>
      <c r="W315" s="16">
        <v>1800</v>
      </c>
      <c r="X315" s="16">
        <v>4500</v>
      </c>
      <c r="Y315" s="16">
        <v>4696</v>
      </c>
      <c r="Z315" s="16">
        <v>11740</v>
      </c>
      <c r="AA315" s="16">
        <v>220</v>
      </c>
      <c r="AB315" s="16">
        <v>550</v>
      </c>
      <c r="AC315" s="16">
        <v>17160</v>
      </c>
      <c r="AD315" s="16">
        <v>42900</v>
      </c>
      <c r="AE315" s="16">
        <v>12000</v>
      </c>
      <c r="AF315" s="16">
        <v>30000</v>
      </c>
      <c r="AG315" s="16">
        <v>4640</v>
      </c>
      <c r="AH315" s="16">
        <v>11600</v>
      </c>
      <c r="AI315" s="16">
        <v>32000</v>
      </c>
      <c r="AJ315" s="16">
        <v>80000</v>
      </c>
      <c r="AK315" s="16">
        <v>7640</v>
      </c>
      <c r="AL315" s="16">
        <v>19100</v>
      </c>
      <c r="AM315" s="16">
        <v>24000</v>
      </c>
      <c r="AN315" s="16">
        <v>60000</v>
      </c>
      <c r="AO315" s="15">
        <v>20000</v>
      </c>
      <c r="AP315" s="15">
        <v>50000</v>
      </c>
      <c r="AQ315" s="15">
        <v>1240</v>
      </c>
      <c r="AR315" s="15">
        <v>3100</v>
      </c>
      <c r="AS315" s="15"/>
      <c r="AT315" s="15"/>
      <c r="AU315" s="15"/>
      <c r="AV315" s="15"/>
      <c r="AW315" s="15"/>
      <c r="AX315" s="15"/>
      <c r="AY315" s="27">
        <f t="shared" si="17"/>
        <v>184442</v>
      </c>
      <c r="AZ315" s="27">
        <f t="shared" si="18"/>
        <v>461087</v>
      </c>
    </row>
    <row r="316" spans="1:52" x14ac:dyDescent="0.25">
      <c r="A316" s="13">
        <v>388</v>
      </c>
      <c r="B316" s="19" t="s">
        <v>670</v>
      </c>
      <c r="C316" s="26" t="s">
        <v>671</v>
      </c>
      <c r="D316" s="19" t="s">
        <v>42</v>
      </c>
      <c r="E316" s="16"/>
      <c r="F316" s="16"/>
      <c r="G316" s="16"/>
      <c r="H316" s="16"/>
      <c r="I316" s="16">
        <v>192</v>
      </c>
      <c r="J316" s="16">
        <v>480</v>
      </c>
      <c r="K316" s="16">
        <v>74</v>
      </c>
      <c r="L316" s="16">
        <v>184</v>
      </c>
      <c r="M316" s="16"/>
      <c r="N316" s="16"/>
      <c r="O316" s="16"/>
      <c r="P316" s="16"/>
      <c r="Q316" s="16">
        <v>244</v>
      </c>
      <c r="R316" s="16">
        <v>608</v>
      </c>
      <c r="S316" s="16">
        <v>4</v>
      </c>
      <c r="T316" s="16">
        <v>10</v>
      </c>
      <c r="U316" s="16"/>
      <c r="V316" s="16"/>
      <c r="W316" s="16">
        <v>216</v>
      </c>
      <c r="X316" s="16">
        <v>540</v>
      </c>
      <c r="Y316" s="16">
        <v>12</v>
      </c>
      <c r="Z316" s="16">
        <v>26</v>
      </c>
      <c r="AA316" s="16">
        <v>400</v>
      </c>
      <c r="AB316" s="16">
        <v>1000</v>
      </c>
      <c r="AC316" s="16">
        <v>62</v>
      </c>
      <c r="AD316" s="16">
        <v>155</v>
      </c>
      <c r="AE316" s="16"/>
      <c r="AF316" s="16"/>
      <c r="AG316" s="16">
        <v>288</v>
      </c>
      <c r="AH316" s="16">
        <v>720</v>
      </c>
      <c r="AI316" s="16">
        <v>800</v>
      </c>
      <c r="AJ316" s="16">
        <v>2000</v>
      </c>
      <c r="AK316" s="16">
        <v>360</v>
      </c>
      <c r="AL316" s="16">
        <v>900</v>
      </c>
      <c r="AM316" s="16"/>
      <c r="AN316" s="16"/>
      <c r="AO316" s="15"/>
      <c r="AP316" s="15"/>
      <c r="AQ316" s="15"/>
      <c r="AR316" s="15"/>
      <c r="AS316" s="15"/>
      <c r="AT316" s="15"/>
      <c r="AU316" s="15"/>
      <c r="AV316" s="15"/>
      <c r="AW316" s="15"/>
      <c r="AX316" s="15"/>
      <c r="AY316" s="27">
        <f t="shared" si="17"/>
        <v>2652</v>
      </c>
      <c r="AZ316" s="27">
        <f t="shared" si="18"/>
        <v>6623</v>
      </c>
    </row>
    <row r="317" spans="1:52" x14ac:dyDescent="0.25">
      <c r="A317" s="13">
        <v>389</v>
      </c>
      <c r="B317" s="19" t="s">
        <v>672</v>
      </c>
      <c r="C317" s="26" t="s">
        <v>673</v>
      </c>
      <c r="D317" s="19" t="s">
        <v>42</v>
      </c>
      <c r="E317" s="16">
        <v>160</v>
      </c>
      <c r="F317" s="16">
        <v>400</v>
      </c>
      <c r="G317" s="16">
        <v>2360</v>
      </c>
      <c r="H317" s="16">
        <v>5900</v>
      </c>
      <c r="I317" s="16">
        <v>2320</v>
      </c>
      <c r="J317" s="16">
        <v>5800</v>
      </c>
      <c r="K317" s="16"/>
      <c r="L317" s="16"/>
      <c r="M317" s="16">
        <v>1831</v>
      </c>
      <c r="N317" s="16">
        <v>4577</v>
      </c>
      <c r="O317" s="16">
        <v>115</v>
      </c>
      <c r="P317" s="16">
        <v>284</v>
      </c>
      <c r="Q317" s="16">
        <v>60</v>
      </c>
      <c r="R317" s="16">
        <v>144</v>
      </c>
      <c r="S317" s="16">
        <v>49</v>
      </c>
      <c r="T317" s="16">
        <v>120</v>
      </c>
      <c r="U317" s="16">
        <v>1589</v>
      </c>
      <c r="V317" s="16">
        <v>3970</v>
      </c>
      <c r="W317" s="16">
        <v>232</v>
      </c>
      <c r="X317" s="16">
        <v>580</v>
      </c>
      <c r="Y317" s="16">
        <v>52</v>
      </c>
      <c r="Z317" s="16">
        <v>128</v>
      </c>
      <c r="AA317" s="16">
        <v>400</v>
      </c>
      <c r="AB317" s="16">
        <v>1000</v>
      </c>
      <c r="AC317" s="16">
        <v>205</v>
      </c>
      <c r="AD317" s="16">
        <v>510</v>
      </c>
      <c r="AE317" s="16">
        <v>491</v>
      </c>
      <c r="AF317" s="16">
        <v>1221</v>
      </c>
      <c r="AG317" s="16">
        <v>2</v>
      </c>
      <c r="AH317" s="16">
        <v>5</v>
      </c>
      <c r="AI317" s="16">
        <v>1008</v>
      </c>
      <c r="AJ317" s="16">
        <v>2520</v>
      </c>
      <c r="AK317" s="16">
        <v>140</v>
      </c>
      <c r="AL317" s="16">
        <v>350</v>
      </c>
      <c r="AM317" s="16">
        <v>144</v>
      </c>
      <c r="AN317" s="16">
        <v>360</v>
      </c>
      <c r="AO317" s="15">
        <v>1772</v>
      </c>
      <c r="AP317" s="15">
        <v>4430</v>
      </c>
      <c r="AQ317" s="15">
        <v>156</v>
      </c>
      <c r="AR317" s="15">
        <v>390</v>
      </c>
      <c r="AS317" s="15">
        <v>8</v>
      </c>
      <c r="AT317" s="15">
        <v>20</v>
      </c>
      <c r="AU317" s="15">
        <v>200</v>
      </c>
      <c r="AV317" s="15">
        <v>500</v>
      </c>
      <c r="AW317" s="15">
        <v>118</v>
      </c>
      <c r="AX317" s="15">
        <v>292</v>
      </c>
      <c r="AY317" s="27">
        <f t="shared" si="17"/>
        <v>13412</v>
      </c>
      <c r="AZ317" s="27">
        <f t="shared" si="18"/>
        <v>33501</v>
      </c>
    </row>
    <row r="318" spans="1:52" x14ac:dyDescent="0.25">
      <c r="A318" s="13">
        <v>391</v>
      </c>
      <c r="B318" s="19" t="s">
        <v>674</v>
      </c>
      <c r="C318" s="26" t="s">
        <v>675</v>
      </c>
      <c r="D318" s="19" t="s">
        <v>42</v>
      </c>
      <c r="E318" s="16">
        <v>480</v>
      </c>
      <c r="F318" s="16">
        <v>1200</v>
      </c>
      <c r="G318" s="16">
        <v>1892</v>
      </c>
      <c r="H318" s="16">
        <v>4730</v>
      </c>
      <c r="I318" s="16">
        <v>19226</v>
      </c>
      <c r="J318" s="16">
        <v>48064</v>
      </c>
      <c r="K318" s="16">
        <v>332</v>
      </c>
      <c r="L318" s="16">
        <v>830</v>
      </c>
      <c r="M318" s="16">
        <v>3140</v>
      </c>
      <c r="N318" s="16">
        <v>7845</v>
      </c>
      <c r="O318" s="16">
        <v>67</v>
      </c>
      <c r="P318" s="16">
        <v>164</v>
      </c>
      <c r="Q318" s="16">
        <v>4066</v>
      </c>
      <c r="R318" s="16">
        <v>10164</v>
      </c>
      <c r="S318" s="16">
        <v>800</v>
      </c>
      <c r="T318" s="16">
        <v>2000</v>
      </c>
      <c r="U318" s="16">
        <v>1449</v>
      </c>
      <c r="V318" s="16">
        <v>3620</v>
      </c>
      <c r="W318" s="16">
        <v>760</v>
      </c>
      <c r="X318" s="16">
        <v>1900</v>
      </c>
      <c r="Y318" s="16">
        <v>1024</v>
      </c>
      <c r="Z318" s="16">
        <v>2560</v>
      </c>
      <c r="AA318" s="16">
        <v>120</v>
      </c>
      <c r="AB318" s="16">
        <v>300</v>
      </c>
      <c r="AC318" s="16">
        <v>286</v>
      </c>
      <c r="AD318" s="16">
        <v>715</v>
      </c>
      <c r="AE318" s="16">
        <v>1840</v>
      </c>
      <c r="AF318" s="16">
        <v>4600</v>
      </c>
      <c r="AG318" s="16"/>
      <c r="AH318" s="16"/>
      <c r="AI318" s="16">
        <v>400</v>
      </c>
      <c r="AJ318" s="16">
        <v>1000</v>
      </c>
      <c r="AK318" s="16">
        <v>1080</v>
      </c>
      <c r="AL318" s="16">
        <v>2700</v>
      </c>
      <c r="AM318" s="16"/>
      <c r="AN318" s="16"/>
      <c r="AO318" s="15">
        <v>1400</v>
      </c>
      <c r="AP318" s="15">
        <v>3500</v>
      </c>
      <c r="AQ318" s="15">
        <v>88</v>
      </c>
      <c r="AR318" s="15">
        <v>216</v>
      </c>
      <c r="AS318" s="15"/>
      <c r="AT318" s="15"/>
      <c r="AU318" s="15"/>
      <c r="AV318" s="15"/>
      <c r="AW318" s="15">
        <v>728</v>
      </c>
      <c r="AX318" s="15">
        <v>1816</v>
      </c>
      <c r="AY318" s="27">
        <f t="shared" si="17"/>
        <v>39178</v>
      </c>
      <c r="AZ318" s="27">
        <f t="shared" si="18"/>
        <v>97924</v>
      </c>
    </row>
    <row r="319" spans="1:52" x14ac:dyDescent="0.25">
      <c r="A319" s="13">
        <v>393</v>
      </c>
      <c r="B319" s="19" t="s">
        <v>676</v>
      </c>
      <c r="C319" s="26" t="s">
        <v>677</v>
      </c>
      <c r="D319" s="19" t="s">
        <v>42</v>
      </c>
      <c r="E319" s="16">
        <v>15</v>
      </c>
      <c r="F319" s="16">
        <v>37</v>
      </c>
      <c r="G319" s="16">
        <v>48</v>
      </c>
      <c r="H319" s="16">
        <v>120</v>
      </c>
      <c r="I319" s="16">
        <v>1932</v>
      </c>
      <c r="J319" s="16">
        <v>4828</v>
      </c>
      <c r="K319" s="16">
        <v>396</v>
      </c>
      <c r="L319" s="16">
        <v>985</v>
      </c>
      <c r="M319" s="16">
        <v>2904</v>
      </c>
      <c r="N319" s="16">
        <v>7256</v>
      </c>
      <c r="O319" s="16">
        <v>140</v>
      </c>
      <c r="P319" s="16">
        <v>350</v>
      </c>
      <c r="Q319" s="16">
        <v>68</v>
      </c>
      <c r="R319" s="16">
        <v>166</v>
      </c>
      <c r="S319" s="16">
        <v>21</v>
      </c>
      <c r="T319" s="16">
        <v>50</v>
      </c>
      <c r="U319" s="16">
        <v>966</v>
      </c>
      <c r="V319" s="16">
        <v>2415</v>
      </c>
      <c r="W319" s="16">
        <v>151</v>
      </c>
      <c r="X319" s="16">
        <v>376</v>
      </c>
      <c r="Y319" s="16">
        <v>166</v>
      </c>
      <c r="Z319" s="16">
        <v>414</v>
      </c>
      <c r="AA319" s="16">
        <v>178</v>
      </c>
      <c r="AB319" s="16">
        <v>442</v>
      </c>
      <c r="AC319" s="16">
        <v>89</v>
      </c>
      <c r="AD319" s="16">
        <v>219</v>
      </c>
      <c r="AE319" s="16">
        <v>386</v>
      </c>
      <c r="AF319" s="16">
        <v>961</v>
      </c>
      <c r="AG319" s="16">
        <v>44</v>
      </c>
      <c r="AH319" s="16">
        <v>110</v>
      </c>
      <c r="AI319" s="16">
        <v>496</v>
      </c>
      <c r="AJ319" s="16">
        <v>1240</v>
      </c>
      <c r="AK319" s="16">
        <v>144</v>
      </c>
      <c r="AL319" s="16">
        <v>360</v>
      </c>
      <c r="AM319" s="16">
        <v>80</v>
      </c>
      <c r="AN319" s="16">
        <v>200</v>
      </c>
      <c r="AO319" s="15">
        <v>452</v>
      </c>
      <c r="AP319" s="15">
        <v>1130</v>
      </c>
      <c r="AQ319" s="15"/>
      <c r="AR319" s="15"/>
      <c r="AS319" s="15"/>
      <c r="AT319" s="15"/>
      <c r="AU319" s="15"/>
      <c r="AV319" s="15"/>
      <c r="AW319" s="15">
        <v>4</v>
      </c>
      <c r="AX319" s="15">
        <v>10</v>
      </c>
      <c r="AY319" s="27">
        <f t="shared" si="17"/>
        <v>8680</v>
      </c>
      <c r="AZ319" s="27">
        <f t="shared" si="18"/>
        <v>21669</v>
      </c>
    </row>
    <row r="320" spans="1:52" x14ac:dyDescent="0.25">
      <c r="A320" s="13">
        <v>396</v>
      </c>
      <c r="B320" s="19" t="s">
        <v>682</v>
      </c>
      <c r="C320" s="26" t="s">
        <v>683</v>
      </c>
      <c r="D320" s="19" t="s">
        <v>42</v>
      </c>
      <c r="E320" s="16"/>
      <c r="F320" s="16"/>
      <c r="G320" s="16">
        <v>4</v>
      </c>
      <c r="H320" s="16">
        <v>6</v>
      </c>
      <c r="I320" s="16"/>
      <c r="J320" s="16"/>
      <c r="K320" s="16">
        <v>8</v>
      </c>
      <c r="L320" s="16">
        <v>16</v>
      </c>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5"/>
      <c r="AP320" s="15"/>
      <c r="AQ320" s="15"/>
      <c r="AR320" s="15"/>
      <c r="AS320" s="15"/>
      <c r="AT320" s="15"/>
      <c r="AU320" s="15"/>
      <c r="AV320" s="15"/>
      <c r="AW320" s="15"/>
      <c r="AX320" s="15"/>
      <c r="AY320" s="27">
        <f t="shared" si="17"/>
        <v>12</v>
      </c>
      <c r="AZ320" s="27">
        <f t="shared" si="18"/>
        <v>22</v>
      </c>
    </row>
    <row r="321" spans="1:52" x14ac:dyDescent="0.25">
      <c r="A321" s="13">
        <v>399</v>
      </c>
      <c r="B321" s="19" t="s">
        <v>688</v>
      </c>
      <c r="C321" s="26" t="s">
        <v>689</v>
      </c>
      <c r="D321" s="19" t="s">
        <v>42</v>
      </c>
      <c r="E321" s="16"/>
      <c r="F321" s="16"/>
      <c r="G321" s="16"/>
      <c r="H321" s="16"/>
      <c r="I321" s="16"/>
      <c r="J321" s="16"/>
      <c r="K321" s="16">
        <v>2</v>
      </c>
      <c r="L321" s="16">
        <v>4</v>
      </c>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5"/>
      <c r="AP321" s="15"/>
      <c r="AQ321" s="15"/>
      <c r="AR321" s="15"/>
      <c r="AS321" s="15"/>
      <c r="AT321" s="15"/>
      <c r="AU321" s="15"/>
      <c r="AV321" s="15"/>
      <c r="AW321" s="15"/>
      <c r="AX321" s="15"/>
      <c r="AY321" s="27">
        <f t="shared" ref="AY321:AY347" si="19">SUM(E321+G321+I321+K321+M321+O321+Q321+S321+U321+W321+Y321+AA321+AC321+AE321+AG321+AI321+AK321+AM321+AO321+AQ321+AS321+AU321+AW321)</f>
        <v>2</v>
      </c>
      <c r="AZ321" s="27">
        <f t="shared" ref="AZ321:AZ347" si="20">SUM(F321+H321+J321+L321+N321+P321+R321+T321+V321+X321+Z321+AB321+AD321+AF321+AH321+AJ321+AL321+AN321+AP321+AR321+AT321+AV321+AX321)</f>
        <v>4</v>
      </c>
    </row>
    <row r="322" spans="1:52" x14ac:dyDescent="0.25">
      <c r="A322" s="13">
        <v>401</v>
      </c>
      <c r="B322" s="19" t="s">
        <v>690</v>
      </c>
      <c r="C322" s="26" t="s">
        <v>691</v>
      </c>
      <c r="D322" s="19" t="s">
        <v>42</v>
      </c>
      <c r="E322" s="16">
        <v>376</v>
      </c>
      <c r="F322" s="16">
        <v>940</v>
      </c>
      <c r="G322" s="16"/>
      <c r="H322" s="16"/>
      <c r="I322" s="16">
        <v>1240</v>
      </c>
      <c r="J322" s="16">
        <v>3100</v>
      </c>
      <c r="K322" s="16">
        <v>58</v>
      </c>
      <c r="L322" s="16">
        <v>144</v>
      </c>
      <c r="M322" s="16">
        <v>980</v>
      </c>
      <c r="N322" s="16">
        <v>2450</v>
      </c>
      <c r="O322" s="16">
        <v>199</v>
      </c>
      <c r="P322" s="16">
        <v>493</v>
      </c>
      <c r="Q322" s="16"/>
      <c r="R322" s="16"/>
      <c r="S322" s="16">
        <v>3</v>
      </c>
      <c r="T322" s="16">
        <v>6</v>
      </c>
      <c r="U322" s="16"/>
      <c r="V322" s="16"/>
      <c r="W322" s="16">
        <v>204</v>
      </c>
      <c r="X322" s="16">
        <v>510</v>
      </c>
      <c r="Y322" s="16">
        <v>2768</v>
      </c>
      <c r="Z322" s="16">
        <v>6914</v>
      </c>
      <c r="AA322" s="16"/>
      <c r="AB322" s="16"/>
      <c r="AC322" s="16">
        <v>30</v>
      </c>
      <c r="AD322" s="16">
        <v>72</v>
      </c>
      <c r="AE322" s="16">
        <v>61</v>
      </c>
      <c r="AF322" s="16">
        <v>151</v>
      </c>
      <c r="AG322" s="16"/>
      <c r="AH322" s="16"/>
      <c r="AI322" s="16">
        <v>158</v>
      </c>
      <c r="AJ322" s="16">
        <v>392</v>
      </c>
      <c r="AK322" s="16"/>
      <c r="AL322" s="16"/>
      <c r="AM322" s="16"/>
      <c r="AN322" s="16"/>
      <c r="AO322" s="15">
        <v>4762</v>
      </c>
      <c r="AP322" s="15">
        <v>11902</v>
      </c>
      <c r="AQ322" s="15"/>
      <c r="AR322" s="15"/>
      <c r="AS322" s="15"/>
      <c r="AT322" s="15"/>
      <c r="AU322" s="15">
        <v>24</v>
      </c>
      <c r="AV322" s="15">
        <v>60</v>
      </c>
      <c r="AW322" s="15"/>
      <c r="AX322" s="15"/>
      <c r="AY322" s="27">
        <f t="shared" si="19"/>
        <v>10863</v>
      </c>
      <c r="AZ322" s="27">
        <f t="shared" si="20"/>
        <v>27134</v>
      </c>
    </row>
    <row r="323" spans="1:52" x14ac:dyDescent="0.25">
      <c r="A323" s="13">
        <v>403</v>
      </c>
      <c r="B323" s="19" t="s">
        <v>692</v>
      </c>
      <c r="C323" s="26" t="s">
        <v>693</v>
      </c>
      <c r="D323" s="19" t="s">
        <v>42</v>
      </c>
      <c r="E323" s="16">
        <v>400</v>
      </c>
      <c r="F323" s="16">
        <v>1000</v>
      </c>
      <c r="G323" s="16">
        <v>800</v>
      </c>
      <c r="H323" s="16">
        <v>2000</v>
      </c>
      <c r="I323" s="16">
        <v>3072</v>
      </c>
      <c r="J323" s="16">
        <v>7680</v>
      </c>
      <c r="K323" s="16">
        <v>3837</v>
      </c>
      <c r="L323" s="16">
        <v>9591</v>
      </c>
      <c r="M323" s="16">
        <v>436</v>
      </c>
      <c r="N323" s="16">
        <v>1086</v>
      </c>
      <c r="O323" s="16">
        <v>1720</v>
      </c>
      <c r="P323" s="16">
        <v>4300</v>
      </c>
      <c r="Q323" s="16">
        <v>1382</v>
      </c>
      <c r="R323" s="16">
        <v>3454</v>
      </c>
      <c r="S323" s="16">
        <v>720</v>
      </c>
      <c r="T323" s="16">
        <v>1800</v>
      </c>
      <c r="U323" s="16">
        <v>3080</v>
      </c>
      <c r="V323" s="16">
        <v>7700</v>
      </c>
      <c r="W323" s="16">
        <v>960</v>
      </c>
      <c r="X323" s="16">
        <v>2400</v>
      </c>
      <c r="Y323" s="16">
        <v>740</v>
      </c>
      <c r="Z323" s="16">
        <v>1848</v>
      </c>
      <c r="AA323" s="16">
        <v>40</v>
      </c>
      <c r="AB323" s="16">
        <v>100</v>
      </c>
      <c r="AC323" s="16">
        <v>858</v>
      </c>
      <c r="AD323" s="16">
        <v>2145</v>
      </c>
      <c r="AE323" s="16">
        <v>4800</v>
      </c>
      <c r="AF323" s="16">
        <v>12000</v>
      </c>
      <c r="AG323" s="16">
        <v>1920</v>
      </c>
      <c r="AH323" s="16">
        <v>4800</v>
      </c>
      <c r="AI323" s="16">
        <v>12000</v>
      </c>
      <c r="AJ323" s="16">
        <v>30000</v>
      </c>
      <c r="AK323" s="16">
        <v>2560</v>
      </c>
      <c r="AL323" s="16">
        <v>6400</v>
      </c>
      <c r="AM323" s="16">
        <v>922</v>
      </c>
      <c r="AN323" s="16">
        <v>2304</v>
      </c>
      <c r="AO323" s="15"/>
      <c r="AP323" s="15"/>
      <c r="AQ323" s="15"/>
      <c r="AR323" s="15"/>
      <c r="AS323" s="15"/>
      <c r="AT323" s="15"/>
      <c r="AU323" s="15">
        <v>803</v>
      </c>
      <c r="AV323" s="15">
        <v>2007</v>
      </c>
      <c r="AW323" s="15"/>
      <c r="AX323" s="15"/>
      <c r="AY323" s="27">
        <f t="shared" si="19"/>
        <v>41050</v>
      </c>
      <c r="AZ323" s="27">
        <f t="shared" si="20"/>
        <v>102615</v>
      </c>
    </row>
    <row r="324" spans="1:52" x14ac:dyDescent="0.25">
      <c r="A324" s="13">
        <v>404</v>
      </c>
      <c r="B324" s="19" t="s">
        <v>694</v>
      </c>
      <c r="C324" s="26" t="s">
        <v>695</v>
      </c>
      <c r="D324" s="19" t="s">
        <v>42</v>
      </c>
      <c r="E324" s="16"/>
      <c r="F324" s="16"/>
      <c r="G324" s="16"/>
      <c r="H324" s="16"/>
      <c r="I324" s="16"/>
      <c r="J324" s="16"/>
      <c r="K324" s="16"/>
      <c r="L324" s="16"/>
      <c r="M324" s="16"/>
      <c r="N324" s="16"/>
      <c r="O324" s="16">
        <v>140</v>
      </c>
      <c r="P324" s="16">
        <v>350</v>
      </c>
      <c r="Q324" s="16"/>
      <c r="R324" s="16"/>
      <c r="S324" s="16">
        <v>3</v>
      </c>
      <c r="T324" s="16">
        <v>6</v>
      </c>
      <c r="U324" s="16">
        <v>88</v>
      </c>
      <c r="V324" s="16">
        <v>216</v>
      </c>
      <c r="W324" s="16"/>
      <c r="X324" s="16"/>
      <c r="Y324" s="16">
        <v>24</v>
      </c>
      <c r="Z324" s="16">
        <v>60</v>
      </c>
      <c r="AA324" s="16"/>
      <c r="AB324" s="16"/>
      <c r="AC324" s="16">
        <v>366</v>
      </c>
      <c r="AD324" s="16">
        <v>913</v>
      </c>
      <c r="AE324" s="16"/>
      <c r="AF324" s="16"/>
      <c r="AG324" s="16">
        <v>360</v>
      </c>
      <c r="AH324" s="16">
        <v>900</v>
      </c>
      <c r="AI324" s="16">
        <v>128</v>
      </c>
      <c r="AJ324" s="16">
        <v>320</v>
      </c>
      <c r="AK324" s="16"/>
      <c r="AL324" s="16"/>
      <c r="AM324" s="16"/>
      <c r="AN324" s="16"/>
      <c r="AO324" s="15">
        <v>520</v>
      </c>
      <c r="AP324" s="15">
        <v>1300</v>
      </c>
      <c r="AQ324" s="15"/>
      <c r="AR324" s="15"/>
      <c r="AS324" s="15"/>
      <c r="AT324" s="15"/>
      <c r="AU324" s="15"/>
      <c r="AV324" s="15"/>
      <c r="AW324" s="15"/>
      <c r="AX324" s="15"/>
      <c r="AY324" s="27">
        <f t="shared" si="19"/>
        <v>1629</v>
      </c>
      <c r="AZ324" s="27">
        <f t="shared" si="20"/>
        <v>4065</v>
      </c>
    </row>
    <row r="325" spans="1:52" x14ac:dyDescent="0.25">
      <c r="A325" s="13">
        <v>405</v>
      </c>
      <c r="B325" s="19" t="s">
        <v>696</v>
      </c>
      <c r="C325" s="26" t="s">
        <v>697</v>
      </c>
      <c r="D325" s="19" t="s">
        <v>42</v>
      </c>
      <c r="E325" s="16">
        <v>200</v>
      </c>
      <c r="F325" s="16">
        <v>500</v>
      </c>
      <c r="G325" s="16">
        <v>24</v>
      </c>
      <c r="H325" s="16">
        <v>56</v>
      </c>
      <c r="I325" s="16">
        <v>1896</v>
      </c>
      <c r="J325" s="16">
        <v>4740</v>
      </c>
      <c r="K325" s="16">
        <v>430</v>
      </c>
      <c r="L325" s="16">
        <v>1070</v>
      </c>
      <c r="M325" s="16">
        <v>3824</v>
      </c>
      <c r="N325" s="16">
        <v>9560</v>
      </c>
      <c r="O325" s="16">
        <v>498</v>
      </c>
      <c r="P325" s="16">
        <v>1241</v>
      </c>
      <c r="Q325" s="16">
        <v>8</v>
      </c>
      <c r="R325" s="16">
        <v>20</v>
      </c>
      <c r="S325" s="16">
        <v>8</v>
      </c>
      <c r="T325" s="16">
        <v>20</v>
      </c>
      <c r="U325" s="16">
        <v>692</v>
      </c>
      <c r="V325" s="16">
        <v>1730</v>
      </c>
      <c r="W325" s="16"/>
      <c r="X325" s="16"/>
      <c r="Y325" s="16">
        <v>128</v>
      </c>
      <c r="Z325" s="16">
        <v>316</v>
      </c>
      <c r="AA325" s="16"/>
      <c r="AB325" s="16"/>
      <c r="AC325" s="16"/>
      <c r="AD325" s="16"/>
      <c r="AE325" s="16"/>
      <c r="AF325" s="16"/>
      <c r="AG325" s="16">
        <v>400</v>
      </c>
      <c r="AH325" s="16">
        <v>1000</v>
      </c>
      <c r="AI325" s="16">
        <v>720</v>
      </c>
      <c r="AJ325" s="16">
        <v>1800</v>
      </c>
      <c r="AK325" s="16"/>
      <c r="AL325" s="16"/>
      <c r="AM325" s="16"/>
      <c r="AN325" s="16"/>
      <c r="AO325" s="15">
        <v>1698</v>
      </c>
      <c r="AP325" s="15">
        <v>4244</v>
      </c>
      <c r="AQ325" s="15">
        <v>150</v>
      </c>
      <c r="AR325" s="15">
        <v>372</v>
      </c>
      <c r="AS325" s="15"/>
      <c r="AT325" s="15"/>
      <c r="AU325" s="15"/>
      <c r="AV325" s="15"/>
      <c r="AW325" s="15"/>
      <c r="AX325" s="15"/>
      <c r="AY325" s="27">
        <f t="shared" si="19"/>
        <v>10676</v>
      </c>
      <c r="AZ325" s="27">
        <f t="shared" si="20"/>
        <v>26669</v>
      </c>
    </row>
    <row r="326" spans="1:52" x14ac:dyDescent="0.25">
      <c r="A326" s="13">
        <v>406</v>
      </c>
      <c r="B326" s="19" t="s">
        <v>698</v>
      </c>
      <c r="C326" s="26" t="s">
        <v>699</v>
      </c>
      <c r="D326" s="19" t="s">
        <v>42</v>
      </c>
      <c r="E326" s="16">
        <v>112</v>
      </c>
      <c r="F326" s="16">
        <v>280</v>
      </c>
      <c r="G326" s="16">
        <v>20</v>
      </c>
      <c r="H326" s="16">
        <v>50</v>
      </c>
      <c r="I326" s="16"/>
      <c r="J326" s="16"/>
      <c r="K326" s="16">
        <v>120</v>
      </c>
      <c r="L326" s="16">
        <v>300</v>
      </c>
      <c r="M326" s="16"/>
      <c r="N326" s="16"/>
      <c r="O326" s="16">
        <v>758</v>
      </c>
      <c r="P326" s="16">
        <v>1890</v>
      </c>
      <c r="Q326" s="16"/>
      <c r="R326" s="16"/>
      <c r="S326" s="16">
        <v>3</v>
      </c>
      <c r="T326" s="16">
        <v>7</v>
      </c>
      <c r="U326" s="16">
        <v>340</v>
      </c>
      <c r="V326" s="16">
        <v>850</v>
      </c>
      <c r="W326" s="16">
        <v>116</v>
      </c>
      <c r="X326" s="16">
        <v>290</v>
      </c>
      <c r="Y326" s="16">
        <v>136</v>
      </c>
      <c r="Z326" s="16">
        <v>340</v>
      </c>
      <c r="AA326" s="16"/>
      <c r="AB326" s="16"/>
      <c r="AC326" s="16"/>
      <c r="AD326" s="16"/>
      <c r="AE326" s="16"/>
      <c r="AF326" s="16"/>
      <c r="AG326" s="16">
        <v>16</v>
      </c>
      <c r="AH326" s="16">
        <v>40</v>
      </c>
      <c r="AI326" s="16">
        <v>720</v>
      </c>
      <c r="AJ326" s="16">
        <v>1800</v>
      </c>
      <c r="AK326" s="16"/>
      <c r="AL326" s="16"/>
      <c r="AM326" s="16">
        <v>10</v>
      </c>
      <c r="AN326" s="16">
        <v>24</v>
      </c>
      <c r="AO326" s="15">
        <v>100</v>
      </c>
      <c r="AP326" s="15">
        <v>250</v>
      </c>
      <c r="AQ326" s="15">
        <v>28</v>
      </c>
      <c r="AR326" s="15">
        <v>70</v>
      </c>
      <c r="AS326" s="15">
        <v>330</v>
      </c>
      <c r="AT326" s="15">
        <v>825</v>
      </c>
      <c r="AU326" s="15"/>
      <c r="AV326" s="15"/>
      <c r="AW326" s="15"/>
      <c r="AX326" s="15"/>
      <c r="AY326" s="27">
        <f t="shared" si="19"/>
        <v>2809</v>
      </c>
      <c r="AZ326" s="27">
        <f t="shared" si="20"/>
        <v>7016</v>
      </c>
    </row>
    <row r="327" spans="1:52" x14ac:dyDescent="0.25">
      <c r="A327" s="13">
        <v>413</v>
      </c>
      <c r="B327" s="19" t="s">
        <v>700</v>
      </c>
      <c r="C327" s="26" t="s">
        <v>701</v>
      </c>
      <c r="D327" s="19" t="s">
        <v>42</v>
      </c>
      <c r="E327" s="16">
        <v>10</v>
      </c>
      <c r="F327" s="16">
        <v>24</v>
      </c>
      <c r="G327" s="16">
        <v>2</v>
      </c>
      <c r="H327" s="16">
        <v>4</v>
      </c>
      <c r="I327" s="16"/>
      <c r="J327" s="16"/>
      <c r="K327" s="16">
        <v>312</v>
      </c>
      <c r="L327" s="16">
        <v>780</v>
      </c>
      <c r="M327" s="16">
        <v>808</v>
      </c>
      <c r="N327" s="16">
        <v>2016</v>
      </c>
      <c r="O327" s="16">
        <v>20</v>
      </c>
      <c r="P327" s="16">
        <v>50</v>
      </c>
      <c r="Q327" s="16">
        <v>8</v>
      </c>
      <c r="R327" s="16">
        <v>18</v>
      </c>
      <c r="S327" s="16">
        <v>48</v>
      </c>
      <c r="T327" s="16">
        <v>120</v>
      </c>
      <c r="U327" s="16">
        <v>30</v>
      </c>
      <c r="V327" s="16">
        <v>73</v>
      </c>
      <c r="W327" s="16"/>
      <c r="X327" s="16"/>
      <c r="Y327" s="16"/>
      <c r="Z327" s="16"/>
      <c r="AA327" s="16"/>
      <c r="AB327" s="16"/>
      <c r="AC327" s="16"/>
      <c r="AD327" s="16"/>
      <c r="AE327" s="16"/>
      <c r="AF327" s="16"/>
      <c r="AG327" s="16">
        <v>800</v>
      </c>
      <c r="AH327" s="16">
        <v>2000</v>
      </c>
      <c r="AI327" s="16"/>
      <c r="AJ327" s="16"/>
      <c r="AK327" s="16">
        <v>1088</v>
      </c>
      <c r="AL327" s="16">
        <v>2720</v>
      </c>
      <c r="AM327" s="16">
        <v>304</v>
      </c>
      <c r="AN327" s="16">
        <v>760</v>
      </c>
      <c r="AO327" s="15">
        <v>26</v>
      </c>
      <c r="AP327" s="15">
        <v>65</v>
      </c>
      <c r="AQ327" s="15"/>
      <c r="AR327" s="15"/>
      <c r="AS327" s="15"/>
      <c r="AT327" s="15"/>
      <c r="AU327" s="15"/>
      <c r="AV327" s="15"/>
      <c r="AW327" s="15"/>
      <c r="AX327" s="15"/>
      <c r="AY327" s="27">
        <f t="shared" si="19"/>
        <v>3456</v>
      </c>
      <c r="AZ327" s="27">
        <f t="shared" si="20"/>
        <v>8630</v>
      </c>
    </row>
    <row r="328" spans="1:52" x14ac:dyDescent="0.25">
      <c r="A328" s="13">
        <v>414</v>
      </c>
      <c r="B328" s="19" t="s">
        <v>702</v>
      </c>
      <c r="C328" s="26" t="s">
        <v>703</v>
      </c>
      <c r="D328" s="19" t="s">
        <v>42</v>
      </c>
      <c r="E328" s="16"/>
      <c r="F328" s="16"/>
      <c r="G328" s="16"/>
      <c r="H328" s="16"/>
      <c r="I328" s="16"/>
      <c r="J328" s="16"/>
      <c r="K328" s="16"/>
      <c r="L328" s="16"/>
      <c r="M328" s="16"/>
      <c r="N328" s="16"/>
      <c r="O328" s="16"/>
      <c r="P328" s="16"/>
      <c r="Q328" s="16"/>
      <c r="R328" s="16"/>
      <c r="S328" s="16"/>
      <c r="T328" s="16"/>
      <c r="U328" s="16"/>
      <c r="V328" s="16"/>
      <c r="W328" s="16">
        <v>72</v>
      </c>
      <c r="X328" s="16">
        <v>180</v>
      </c>
      <c r="Y328" s="16"/>
      <c r="Z328" s="16"/>
      <c r="AA328" s="16"/>
      <c r="AB328" s="16"/>
      <c r="AC328" s="16">
        <v>9</v>
      </c>
      <c r="AD328" s="16">
        <v>22</v>
      </c>
      <c r="AE328" s="16"/>
      <c r="AF328" s="16"/>
      <c r="AG328" s="16"/>
      <c r="AH328" s="16"/>
      <c r="AI328" s="16"/>
      <c r="AJ328" s="16"/>
      <c r="AK328" s="16"/>
      <c r="AL328" s="16"/>
      <c r="AM328" s="16"/>
      <c r="AN328" s="16"/>
      <c r="AO328" s="15"/>
      <c r="AP328" s="15"/>
      <c r="AQ328" s="15"/>
      <c r="AR328" s="15"/>
      <c r="AS328" s="15"/>
      <c r="AT328" s="15"/>
      <c r="AU328" s="15"/>
      <c r="AV328" s="15"/>
      <c r="AW328" s="15"/>
      <c r="AX328" s="15"/>
      <c r="AY328" s="27">
        <f t="shared" si="19"/>
        <v>81</v>
      </c>
      <c r="AZ328" s="27">
        <f t="shared" si="20"/>
        <v>202</v>
      </c>
    </row>
    <row r="329" spans="1:52" x14ac:dyDescent="0.25">
      <c r="A329" s="13">
        <v>416</v>
      </c>
      <c r="B329" s="19" t="s">
        <v>704</v>
      </c>
      <c r="C329" s="26" t="s">
        <v>705</v>
      </c>
      <c r="D329" s="19" t="s">
        <v>42</v>
      </c>
      <c r="E329" s="16">
        <v>80</v>
      </c>
      <c r="F329" s="16">
        <v>200</v>
      </c>
      <c r="G329" s="16"/>
      <c r="H329" s="16"/>
      <c r="I329" s="16">
        <v>9600</v>
      </c>
      <c r="J329" s="16">
        <v>24000</v>
      </c>
      <c r="K329" s="16">
        <v>3700</v>
      </c>
      <c r="L329" s="16">
        <v>9250</v>
      </c>
      <c r="M329" s="16"/>
      <c r="N329" s="16"/>
      <c r="O329" s="16"/>
      <c r="P329" s="16"/>
      <c r="Q329" s="16">
        <v>244</v>
      </c>
      <c r="R329" s="16">
        <v>608</v>
      </c>
      <c r="S329" s="16"/>
      <c r="T329" s="16"/>
      <c r="U329" s="16">
        <v>176</v>
      </c>
      <c r="V329" s="16">
        <v>440</v>
      </c>
      <c r="W329" s="16"/>
      <c r="X329" s="16"/>
      <c r="Y329" s="16"/>
      <c r="Z329" s="16"/>
      <c r="AA329" s="16"/>
      <c r="AB329" s="16"/>
      <c r="AC329" s="16">
        <v>42</v>
      </c>
      <c r="AD329" s="16">
        <v>102</v>
      </c>
      <c r="AE329" s="16">
        <v>288</v>
      </c>
      <c r="AF329" s="16">
        <v>720</v>
      </c>
      <c r="AG329" s="16">
        <v>2016</v>
      </c>
      <c r="AH329" s="16">
        <v>5040</v>
      </c>
      <c r="AI329" s="16">
        <v>960</v>
      </c>
      <c r="AJ329" s="16">
        <v>2400</v>
      </c>
      <c r="AK329" s="16">
        <v>16</v>
      </c>
      <c r="AL329" s="16">
        <v>40</v>
      </c>
      <c r="AM329" s="16">
        <v>96</v>
      </c>
      <c r="AN329" s="16">
        <v>240</v>
      </c>
      <c r="AO329" s="15">
        <v>136</v>
      </c>
      <c r="AP329" s="15">
        <v>340</v>
      </c>
      <c r="AQ329" s="15"/>
      <c r="AR329" s="15"/>
      <c r="AS329" s="15"/>
      <c r="AT329" s="15"/>
      <c r="AU329" s="15"/>
      <c r="AV329" s="15"/>
      <c r="AW329" s="15">
        <v>2</v>
      </c>
      <c r="AX329" s="15">
        <v>4</v>
      </c>
      <c r="AY329" s="27">
        <f t="shared" si="19"/>
        <v>17356</v>
      </c>
      <c r="AZ329" s="27">
        <f t="shared" si="20"/>
        <v>43384</v>
      </c>
    </row>
    <row r="330" spans="1:52" x14ac:dyDescent="0.25">
      <c r="A330" s="13">
        <v>417</v>
      </c>
      <c r="B330" s="19" t="s">
        <v>706</v>
      </c>
      <c r="C330" s="26" t="s">
        <v>707</v>
      </c>
      <c r="D330" s="19" t="s">
        <v>42</v>
      </c>
      <c r="E330" s="16">
        <v>120</v>
      </c>
      <c r="F330" s="16">
        <v>300</v>
      </c>
      <c r="G330" s="16">
        <v>892</v>
      </c>
      <c r="H330" s="16">
        <v>2230</v>
      </c>
      <c r="I330" s="16">
        <v>6400</v>
      </c>
      <c r="J330" s="16">
        <v>16000</v>
      </c>
      <c r="K330" s="16">
        <v>5694</v>
      </c>
      <c r="L330" s="16">
        <v>14232</v>
      </c>
      <c r="M330" s="16">
        <v>684</v>
      </c>
      <c r="N330" s="16">
        <v>1710</v>
      </c>
      <c r="O330" s="16">
        <v>3412</v>
      </c>
      <c r="P330" s="16">
        <v>8528</v>
      </c>
      <c r="Q330" s="16"/>
      <c r="R330" s="16"/>
      <c r="S330" s="16">
        <v>40</v>
      </c>
      <c r="T330" s="16">
        <v>96</v>
      </c>
      <c r="U330" s="16">
        <v>449</v>
      </c>
      <c r="V330" s="16">
        <v>1122</v>
      </c>
      <c r="W330" s="16">
        <v>232</v>
      </c>
      <c r="X330" s="16">
        <v>580</v>
      </c>
      <c r="Y330" s="16">
        <v>820</v>
      </c>
      <c r="Z330" s="16">
        <v>2048</v>
      </c>
      <c r="AA330" s="16">
        <v>160</v>
      </c>
      <c r="AB330" s="16">
        <v>400</v>
      </c>
      <c r="AC330" s="16">
        <v>10</v>
      </c>
      <c r="AD330" s="16">
        <v>23</v>
      </c>
      <c r="AE330" s="16">
        <v>3840</v>
      </c>
      <c r="AF330" s="16">
        <v>9600</v>
      </c>
      <c r="AG330" s="16">
        <v>608</v>
      </c>
      <c r="AH330" s="16">
        <v>1520</v>
      </c>
      <c r="AI330" s="16">
        <v>9696</v>
      </c>
      <c r="AJ330" s="16">
        <v>24240</v>
      </c>
      <c r="AK330" s="16">
        <v>216</v>
      </c>
      <c r="AL330" s="16">
        <v>540</v>
      </c>
      <c r="AM330" s="16">
        <v>2362</v>
      </c>
      <c r="AN330" s="16">
        <v>5904</v>
      </c>
      <c r="AO330" s="15">
        <v>132</v>
      </c>
      <c r="AP330" s="15">
        <v>330</v>
      </c>
      <c r="AQ330" s="15">
        <v>26</v>
      </c>
      <c r="AR330" s="15">
        <v>62</v>
      </c>
      <c r="AS330" s="15">
        <v>5180</v>
      </c>
      <c r="AT330" s="15">
        <v>12950</v>
      </c>
      <c r="AU330" s="15">
        <v>3140</v>
      </c>
      <c r="AV330" s="15">
        <v>7850</v>
      </c>
      <c r="AW330" s="15">
        <v>14</v>
      </c>
      <c r="AX330" s="15">
        <v>34</v>
      </c>
      <c r="AY330" s="27">
        <f t="shared" si="19"/>
        <v>44127</v>
      </c>
      <c r="AZ330" s="27">
        <f t="shared" si="20"/>
        <v>110299</v>
      </c>
    </row>
    <row r="331" spans="1:52" x14ac:dyDescent="0.25">
      <c r="A331" s="13">
        <v>418</v>
      </c>
      <c r="B331" s="19" t="s">
        <v>708</v>
      </c>
      <c r="C331" s="26" t="s">
        <v>709</v>
      </c>
      <c r="D331" s="19" t="s">
        <v>42</v>
      </c>
      <c r="E331" s="16">
        <v>70</v>
      </c>
      <c r="F331" s="16">
        <v>174</v>
      </c>
      <c r="G331" s="16">
        <v>420</v>
      </c>
      <c r="H331" s="16">
        <v>1050</v>
      </c>
      <c r="I331" s="16">
        <v>7600</v>
      </c>
      <c r="J331" s="16">
        <v>19000</v>
      </c>
      <c r="K331" s="16">
        <v>3858</v>
      </c>
      <c r="L331" s="16">
        <v>9642</v>
      </c>
      <c r="M331" s="16">
        <v>548</v>
      </c>
      <c r="N331" s="16">
        <v>1366</v>
      </c>
      <c r="O331" s="16">
        <v>2260</v>
      </c>
      <c r="P331" s="16">
        <v>5649</v>
      </c>
      <c r="Q331" s="16">
        <v>16</v>
      </c>
      <c r="R331" s="16">
        <v>38</v>
      </c>
      <c r="S331" s="16">
        <v>7</v>
      </c>
      <c r="T331" s="16">
        <v>16</v>
      </c>
      <c r="U331" s="16">
        <v>482</v>
      </c>
      <c r="V331" s="16">
        <v>1204</v>
      </c>
      <c r="W331" s="16">
        <v>120</v>
      </c>
      <c r="X331" s="16">
        <v>300</v>
      </c>
      <c r="Y331" s="16">
        <v>672</v>
      </c>
      <c r="Z331" s="16">
        <v>1674</v>
      </c>
      <c r="AA331" s="16">
        <v>240</v>
      </c>
      <c r="AB331" s="16">
        <v>600</v>
      </c>
      <c r="AC331" s="16"/>
      <c r="AD331" s="16"/>
      <c r="AE331" s="16">
        <v>2400</v>
      </c>
      <c r="AF331" s="16">
        <v>6000</v>
      </c>
      <c r="AG331" s="16">
        <v>488</v>
      </c>
      <c r="AH331" s="16">
        <v>1220</v>
      </c>
      <c r="AI331" s="16">
        <v>2680</v>
      </c>
      <c r="AJ331" s="16">
        <v>6700</v>
      </c>
      <c r="AK331" s="16"/>
      <c r="AL331" s="16"/>
      <c r="AM331" s="16">
        <v>1536</v>
      </c>
      <c r="AN331" s="16">
        <v>3840</v>
      </c>
      <c r="AO331" s="15">
        <v>40</v>
      </c>
      <c r="AP331" s="15">
        <v>100</v>
      </c>
      <c r="AQ331" s="15"/>
      <c r="AR331" s="15"/>
      <c r="AS331" s="15">
        <v>1720</v>
      </c>
      <c r="AT331" s="15">
        <v>4300</v>
      </c>
      <c r="AU331" s="15">
        <v>2080</v>
      </c>
      <c r="AV331" s="15">
        <v>5200</v>
      </c>
      <c r="AW331" s="15"/>
      <c r="AX331" s="15"/>
      <c r="AY331" s="27">
        <f t="shared" si="19"/>
        <v>27237</v>
      </c>
      <c r="AZ331" s="27">
        <f t="shared" si="20"/>
        <v>68073</v>
      </c>
    </row>
    <row r="332" spans="1:52" x14ac:dyDescent="0.25">
      <c r="A332" s="13">
        <v>419</v>
      </c>
      <c r="B332" s="19" t="s">
        <v>710</v>
      </c>
      <c r="C332" s="26" t="s">
        <v>711</v>
      </c>
      <c r="D332" s="19" t="s">
        <v>42</v>
      </c>
      <c r="E332" s="16">
        <v>296</v>
      </c>
      <c r="F332" s="16">
        <v>740</v>
      </c>
      <c r="G332" s="16">
        <v>600</v>
      </c>
      <c r="H332" s="16">
        <v>1500</v>
      </c>
      <c r="I332" s="16">
        <v>7158</v>
      </c>
      <c r="J332" s="16">
        <v>17894</v>
      </c>
      <c r="K332" s="16">
        <v>1228</v>
      </c>
      <c r="L332" s="16">
        <v>3066</v>
      </c>
      <c r="M332" s="16">
        <v>1325</v>
      </c>
      <c r="N332" s="16">
        <v>3309</v>
      </c>
      <c r="O332" s="16">
        <v>3121</v>
      </c>
      <c r="P332" s="16">
        <v>7797</v>
      </c>
      <c r="Q332" s="16">
        <v>162</v>
      </c>
      <c r="R332" s="16">
        <v>404</v>
      </c>
      <c r="S332" s="16">
        <v>65</v>
      </c>
      <c r="T332" s="16">
        <v>157</v>
      </c>
      <c r="U332" s="16">
        <v>1124</v>
      </c>
      <c r="V332" s="16">
        <v>2810</v>
      </c>
      <c r="W332" s="16">
        <v>840</v>
      </c>
      <c r="X332" s="16">
        <v>2100</v>
      </c>
      <c r="Y332" s="16">
        <v>1278</v>
      </c>
      <c r="Z332" s="16">
        <v>3192</v>
      </c>
      <c r="AA332" s="16">
        <v>1612</v>
      </c>
      <c r="AB332" s="16">
        <v>4030</v>
      </c>
      <c r="AC332" s="16">
        <v>30</v>
      </c>
      <c r="AD332" s="16">
        <v>72</v>
      </c>
      <c r="AE332" s="16">
        <v>1920</v>
      </c>
      <c r="AF332" s="16">
        <v>4800</v>
      </c>
      <c r="AG332" s="16">
        <v>2076</v>
      </c>
      <c r="AH332" s="16">
        <v>5190</v>
      </c>
      <c r="AI332" s="16">
        <v>3040</v>
      </c>
      <c r="AJ332" s="16">
        <v>7600</v>
      </c>
      <c r="AK332" s="16">
        <v>144</v>
      </c>
      <c r="AL332" s="16">
        <v>360</v>
      </c>
      <c r="AM332" s="16">
        <v>1432</v>
      </c>
      <c r="AN332" s="16">
        <v>3576</v>
      </c>
      <c r="AO332" s="15">
        <v>677</v>
      </c>
      <c r="AP332" s="15">
        <v>1688</v>
      </c>
      <c r="AQ332" s="15">
        <v>2</v>
      </c>
      <c r="AR332" s="15">
        <v>2</v>
      </c>
      <c r="AS332" s="15">
        <v>368</v>
      </c>
      <c r="AT332" s="15">
        <v>918</v>
      </c>
      <c r="AU332" s="15">
        <v>2352</v>
      </c>
      <c r="AV332" s="15">
        <v>5880</v>
      </c>
      <c r="AW332" s="15"/>
      <c r="AX332" s="15"/>
      <c r="AY332" s="27">
        <f t="shared" si="19"/>
        <v>30850</v>
      </c>
      <c r="AZ332" s="27">
        <f t="shared" si="20"/>
        <v>77085</v>
      </c>
    </row>
    <row r="333" spans="1:52" x14ac:dyDescent="0.25">
      <c r="A333" s="13">
        <v>421</v>
      </c>
      <c r="B333" s="19" t="s">
        <v>712</v>
      </c>
      <c r="C333" s="26" t="s">
        <v>713</v>
      </c>
      <c r="D333" s="19" t="s">
        <v>42</v>
      </c>
      <c r="E333" s="16"/>
      <c r="F333" s="16"/>
      <c r="G333" s="16"/>
      <c r="H333" s="16"/>
      <c r="I333" s="16"/>
      <c r="J333" s="16"/>
      <c r="K333" s="16">
        <v>96</v>
      </c>
      <c r="L333" s="16">
        <v>240</v>
      </c>
      <c r="M333" s="16"/>
      <c r="N333" s="16"/>
      <c r="O333" s="16"/>
      <c r="P333" s="16"/>
      <c r="Q333" s="16"/>
      <c r="R333" s="16"/>
      <c r="S333" s="16"/>
      <c r="T333" s="16"/>
      <c r="U333" s="16">
        <v>4</v>
      </c>
      <c r="V333" s="16">
        <v>8</v>
      </c>
      <c r="W333" s="16"/>
      <c r="X333" s="16"/>
      <c r="Y333" s="16">
        <v>24</v>
      </c>
      <c r="Z333" s="16">
        <v>58</v>
      </c>
      <c r="AA333" s="16"/>
      <c r="AB333" s="16"/>
      <c r="AC333" s="16">
        <v>4</v>
      </c>
      <c r="AD333" s="16">
        <v>9</v>
      </c>
      <c r="AE333" s="16"/>
      <c r="AF333" s="16"/>
      <c r="AG333" s="16"/>
      <c r="AH333" s="16"/>
      <c r="AI333" s="16"/>
      <c r="AJ333" s="16"/>
      <c r="AK333" s="16"/>
      <c r="AL333" s="16"/>
      <c r="AM333" s="16"/>
      <c r="AN333" s="16"/>
      <c r="AO333" s="15"/>
      <c r="AP333" s="15"/>
      <c r="AQ333" s="15"/>
      <c r="AR333" s="15"/>
      <c r="AS333" s="15"/>
      <c r="AT333" s="15"/>
      <c r="AU333" s="15"/>
      <c r="AV333" s="15"/>
      <c r="AW333" s="15"/>
      <c r="AX333" s="15"/>
      <c r="AY333" s="27">
        <f t="shared" si="19"/>
        <v>128</v>
      </c>
      <c r="AZ333" s="27">
        <f t="shared" si="20"/>
        <v>315</v>
      </c>
    </row>
    <row r="334" spans="1:52" x14ac:dyDescent="0.25">
      <c r="A334" s="13">
        <v>422</v>
      </c>
      <c r="B334" s="19" t="s">
        <v>714</v>
      </c>
      <c r="C334" s="26" t="s">
        <v>715</v>
      </c>
      <c r="D334" s="19" t="s">
        <v>42</v>
      </c>
      <c r="E334" s="16"/>
      <c r="F334" s="16"/>
      <c r="G334" s="16"/>
      <c r="H334" s="16"/>
      <c r="I334" s="16">
        <v>2040</v>
      </c>
      <c r="J334" s="16">
        <v>5100</v>
      </c>
      <c r="K334" s="16">
        <v>400</v>
      </c>
      <c r="L334" s="16">
        <v>1000</v>
      </c>
      <c r="M334" s="16"/>
      <c r="N334" s="16"/>
      <c r="O334" s="16"/>
      <c r="P334" s="16"/>
      <c r="Q334" s="16"/>
      <c r="R334" s="16"/>
      <c r="S334" s="16">
        <v>2</v>
      </c>
      <c r="T334" s="16">
        <v>2</v>
      </c>
      <c r="U334" s="16">
        <v>1832</v>
      </c>
      <c r="V334" s="16">
        <v>4580</v>
      </c>
      <c r="W334" s="16"/>
      <c r="X334" s="16"/>
      <c r="Y334" s="16">
        <v>242</v>
      </c>
      <c r="Z334" s="16">
        <v>604</v>
      </c>
      <c r="AA334" s="16"/>
      <c r="AB334" s="16"/>
      <c r="AC334" s="16"/>
      <c r="AD334" s="16"/>
      <c r="AE334" s="16"/>
      <c r="AF334" s="16"/>
      <c r="AG334" s="16"/>
      <c r="AH334" s="16"/>
      <c r="AI334" s="16">
        <v>402</v>
      </c>
      <c r="AJ334" s="16">
        <v>1004</v>
      </c>
      <c r="AK334" s="16"/>
      <c r="AL334" s="16"/>
      <c r="AM334" s="16">
        <v>480</v>
      </c>
      <c r="AN334" s="16">
        <v>1200</v>
      </c>
      <c r="AO334" s="15"/>
      <c r="AP334" s="15"/>
      <c r="AQ334" s="15"/>
      <c r="AR334" s="15"/>
      <c r="AS334" s="15"/>
      <c r="AT334" s="15"/>
      <c r="AU334" s="15"/>
      <c r="AV334" s="15"/>
      <c r="AW334" s="15"/>
      <c r="AX334" s="15"/>
      <c r="AY334" s="27">
        <f t="shared" si="19"/>
        <v>5398</v>
      </c>
      <c r="AZ334" s="27">
        <f t="shared" si="20"/>
        <v>13490</v>
      </c>
    </row>
    <row r="335" spans="1:52" x14ac:dyDescent="0.25">
      <c r="A335" s="13">
        <v>423</v>
      </c>
      <c r="B335" s="19" t="s">
        <v>716</v>
      </c>
      <c r="C335" s="26" t="s">
        <v>717</v>
      </c>
      <c r="D335" s="19" t="s">
        <v>42</v>
      </c>
      <c r="E335" s="16">
        <v>12</v>
      </c>
      <c r="F335" s="16">
        <v>30</v>
      </c>
      <c r="G335" s="16"/>
      <c r="H335" s="16"/>
      <c r="I335" s="16"/>
      <c r="J335" s="16"/>
      <c r="K335" s="16">
        <v>28</v>
      </c>
      <c r="L335" s="16">
        <v>70</v>
      </c>
      <c r="M335" s="16"/>
      <c r="N335" s="16"/>
      <c r="O335" s="16"/>
      <c r="P335" s="16"/>
      <c r="Q335" s="16"/>
      <c r="R335" s="16"/>
      <c r="S335" s="16">
        <v>3</v>
      </c>
      <c r="T335" s="16">
        <v>6</v>
      </c>
      <c r="U335" s="16">
        <v>115</v>
      </c>
      <c r="V335" s="16">
        <v>286</v>
      </c>
      <c r="W335" s="16"/>
      <c r="X335" s="16"/>
      <c r="Y335" s="16"/>
      <c r="Z335" s="16"/>
      <c r="AA335" s="16"/>
      <c r="AB335" s="16"/>
      <c r="AC335" s="16">
        <v>2</v>
      </c>
      <c r="AD335" s="16">
        <v>4</v>
      </c>
      <c r="AE335" s="16"/>
      <c r="AF335" s="16"/>
      <c r="AG335" s="16"/>
      <c r="AH335" s="16"/>
      <c r="AI335" s="16"/>
      <c r="AJ335" s="16"/>
      <c r="AK335" s="16"/>
      <c r="AL335" s="16"/>
      <c r="AM335" s="16"/>
      <c r="AN335" s="16"/>
      <c r="AO335" s="15">
        <v>160</v>
      </c>
      <c r="AP335" s="15">
        <v>400</v>
      </c>
      <c r="AQ335" s="15"/>
      <c r="AR335" s="15"/>
      <c r="AS335" s="15"/>
      <c r="AT335" s="15"/>
      <c r="AU335" s="15"/>
      <c r="AV335" s="15"/>
      <c r="AW335" s="15"/>
      <c r="AX335" s="15"/>
      <c r="AY335" s="27">
        <f t="shared" si="19"/>
        <v>320</v>
      </c>
      <c r="AZ335" s="27">
        <f t="shared" si="20"/>
        <v>796</v>
      </c>
    </row>
    <row r="336" spans="1:52" x14ac:dyDescent="0.25">
      <c r="A336" s="13">
        <v>424</v>
      </c>
      <c r="B336" s="19" t="s">
        <v>718</v>
      </c>
      <c r="C336" s="26" t="s">
        <v>719</v>
      </c>
      <c r="D336" s="19" t="s">
        <v>42</v>
      </c>
      <c r="E336" s="16"/>
      <c r="F336" s="16"/>
      <c r="G336" s="16"/>
      <c r="H336" s="16"/>
      <c r="I336" s="16"/>
      <c r="J336" s="16"/>
      <c r="K336" s="16"/>
      <c r="L336" s="16"/>
      <c r="M336" s="16"/>
      <c r="N336" s="16"/>
      <c r="O336" s="16">
        <v>4</v>
      </c>
      <c r="P336" s="16">
        <v>7</v>
      </c>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5"/>
      <c r="AP336" s="15"/>
      <c r="AQ336" s="15"/>
      <c r="AR336" s="15"/>
      <c r="AS336" s="15"/>
      <c r="AT336" s="15"/>
      <c r="AU336" s="15"/>
      <c r="AV336" s="15"/>
      <c r="AW336" s="15"/>
      <c r="AX336" s="15"/>
      <c r="AY336" s="27">
        <f t="shared" si="19"/>
        <v>4</v>
      </c>
      <c r="AZ336" s="27">
        <f t="shared" si="20"/>
        <v>7</v>
      </c>
    </row>
    <row r="337" spans="1:52" x14ac:dyDescent="0.25">
      <c r="A337" s="13">
        <v>426</v>
      </c>
      <c r="B337" s="19" t="s">
        <v>722</v>
      </c>
      <c r="C337" s="26" t="s">
        <v>723</v>
      </c>
      <c r="D337" s="19" t="s">
        <v>42</v>
      </c>
      <c r="E337" s="16"/>
      <c r="F337" s="16"/>
      <c r="G337" s="16">
        <v>3640</v>
      </c>
      <c r="H337" s="16">
        <v>9100</v>
      </c>
      <c r="I337" s="16">
        <v>1200</v>
      </c>
      <c r="J337" s="16">
        <v>3000</v>
      </c>
      <c r="K337" s="16">
        <v>192</v>
      </c>
      <c r="L337" s="16">
        <v>480</v>
      </c>
      <c r="M337" s="16">
        <v>1128</v>
      </c>
      <c r="N337" s="16">
        <v>2816</v>
      </c>
      <c r="O337" s="16"/>
      <c r="P337" s="16"/>
      <c r="Q337" s="16">
        <v>34</v>
      </c>
      <c r="R337" s="16">
        <v>82</v>
      </c>
      <c r="S337" s="16">
        <v>17</v>
      </c>
      <c r="T337" s="16">
        <v>40</v>
      </c>
      <c r="U337" s="16"/>
      <c r="V337" s="16"/>
      <c r="W337" s="16">
        <v>360</v>
      </c>
      <c r="X337" s="16">
        <v>900</v>
      </c>
      <c r="Y337" s="16">
        <v>48</v>
      </c>
      <c r="Z337" s="16">
        <v>120</v>
      </c>
      <c r="AA337" s="16">
        <v>60</v>
      </c>
      <c r="AB337" s="16">
        <v>150</v>
      </c>
      <c r="AC337" s="16"/>
      <c r="AD337" s="16"/>
      <c r="AE337" s="16">
        <v>98</v>
      </c>
      <c r="AF337" s="16">
        <v>241</v>
      </c>
      <c r="AG337" s="16"/>
      <c r="AH337" s="16"/>
      <c r="AI337" s="16">
        <v>1000</v>
      </c>
      <c r="AJ337" s="16">
        <v>2500</v>
      </c>
      <c r="AK337" s="16">
        <v>24</v>
      </c>
      <c r="AL337" s="16">
        <v>60</v>
      </c>
      <c r="AM337" s="16">
        <v>3744</v>
      </c>
      <c r="AN337" s="16">
        <v>9360</v>
      </c>
      <c r="AO337" s="15">
        <v>3032</v>
      </c>
      <c r="AP337" s="15">
        <v>7580</v>
      </c>
      <c r="AQ337" s="15"/>
      <c r="AR337" s="15"/>
      <c r="AS337" s="15">
        <v>64</v>
      </c>
      <c r="AT337" s="15">
        <v>160</v>
      </c>
      <c r="AU337" s="15">
        <v>80</v>
      </c>
      <c r="AV337" s="15">
        <v>200</v>
      </c>
      <c r="AW337" s="15"/>
      <c r="AX337" s="15"/>
      <c r="AY337" s="27">
        <f t="shared" si="19"/>
        <v>14721</v>
      </c>
      <c r="AZ337" s="27">
        <f t="shared" si="20"/>
        <v>36789</v>
      </c>
    </row>
    <row r="338" spans="1:52" x14ac:dyDescent="0.25">
      <c r="A338" s="13">
        <v>427</v>
      </c>
      <c r="B338" s="19" t="s">
        <v>724</v>
      </c>
      <c r="C338" s="26" t="s">
        <v>725</v>
      </c>
      <c r="D338" s="19" t="s">
        <v>42</v>
      </c>
      <c r="E338" s="16"/>
      <c r="F338" s="16"/>
      <c r="G338" s="16"/>
      <c r="H338" s="16"/>
      <c r="I338" s="16">
        <v>736</v>
      </c>
      <c r="J338" s="16">
        <v>1840</v>
      </c>
      <c r="K338" s="16">
        <v>66</v>
      </c>
      <c r="L338" s="16">
        <v>163</v>
      </c>
      <c r="M338" s="16"/>
      <c r="N338" s="16"/>
      <c r="O338" s="16"/>
      <c r="P338" s="16"/>
      <c r="Q338" s="16"/>
      <c r="R338" s="16"/>
      <c r="S338" s="16"/>
      <c r="T338" s="16"/>
      <c r="U338" s="16">
        <v>1161</v>
      </c>
      <c r="V338" s="16">
        <v>2902</v>
      </c>
      <c r="W338" s="16">
        <v>173</v>
      </c>
      <c r="X338" s="16">
        <v>432</v>
      </c>
      <c r="Y338" s="16"/>
      <c r="Z338" s="16"/>
      <c r="AA338" s="16"/>
      <c r="AB338" s="16"/>
      <c r="AC338" s="16"/>
      <c r="AD338" s="16"/>
      <c r="AE338" s="16"/>
      <c r="AF338" s="16"/>
      <c r="AG338" s="16"/>
      <c r="AH338" s="16"/>
      <c r="AI338" s="16">
        <v>152</v>
      </c>
      <c r="AJ338" s="16">
        <v>380</v>
      </c>
      <c r="AK338" s="16"/>
      <c r="AL338" s="16"/>
      <c r="AM338" s="16">
        <v>338</v>
      </c>
      <c r="AN338" s="16">
        <v>840</v>
      </c>
      <c r="AO338" s="15"/>
      <c r="AP338" s="15"/>
      <c r="AQ338" s="15"/>
      <c r="AR338" s="15"/>
      <c r="AS338" s="15"/>
      <c r="AT338" s="15"/>
      <c r="AU338" s="15"/>
      <c r="AV338" s="15"/>
      <c r="AW338" s="15"/>
      <c r="AX338" s="15"/>
      <c r="AY338" s="27">
        <f t="shared" si="19"/>
        <v>2626</v>
      </c>
      <c r="AZ338" s="27">
        <f t="shared" si="20"/>
        <v>6557</v>
      </c>
    </row>
    <row r="339" spans="1:52" x14ac:dyDescent="0.25">
      <c r="A339" s="13">
        <v>428</v>
      </c>
      <c r="B339" s="19" t="s">
        <v>726</v>
      </c>
      <c r="C339" s="26" t="s">
        <v>727</v>
      </c>
      <c r="D339" s="19" t="s">
        <v>42</v>
      </c>
      <c r="E339" s="16"/>
      <c r="F339" s="16"/>
      <c r="G339" s="16"/>
      <c r="H339" s="16"/>
      <c r="I339" s="16">
        <v>600</v>
      </c>
      <c r="J339" s="16">
        <v>1500</v>
      </c>
      <c r="K339" s="16">
        <v>80</v>
      </c>
      <c r="L339" s="16">
        <v>200</v>
      </c>
      <c r="M339" s="16"/>
      <c r="N339" s="16"/>
      <c r="O339" s="16"/>
      <c r="P339" s="16"/>
      <c r="Q339" s="16"/>
      <c r="R339" s="16"/>
      <c r="S339" s="16">
        <v>3</v>
      </c>
      <c r="T339" s="16">
        <v>4</v>
      </c>
      <c r="U339" s="16">
        <v>44</v>
      </c>
      <c r="V339" s="16">
        <v>110</v>
      </c>
      <c r="W339" s="16">
        <v>173</v>
      </c>
      <c r="X339" s="16">
        <v>432</v>
      </c>
      <c r="Y339" s="16">
        <v>2</v>
      </c>
      <c r="Z339" s="16">
        <v>4</v>
      </c>
      <c r="AA339" s="16"/>
      <c r="AB339" s="16"/>
      <c r="AC339" s="16"/>
      <c r="AD339" s="16"/>
      <c r="AE339" s="16">
        <v>192</v>
      </c>
      <c r="AF339" s="16">
        <v>480</v>
      </c>
      <c r="AG339" s="16"/>
      <c r="AH339" s="16"/>
      <c r="AI339" s="16">
        <v>152</v>
      </c>
      <c r="AJ339" s="16">
        <v>380</v>
      </c>
      <c r="AK339" s="16"/>
      <c r="AL339" s="16"/>
      <c r="AM339" s="16">
        <v>68</v>
      </c>
      <c r="AN339" s="16">
        <v>168</v>
      </c>
      <c r="AO339" s="15"/>
      <c r="AP339" s="15"/>
      <c r="AQ339" s="15"/>
      <c r="AR339" s="15"/>
      <c r="AS339" s="15">
        <v>96</v>
      </c>
      <c r="AT339" s="15">
        <v>240</v>
      </c>
      <c r="AU339" s="15"/>
      <c r="AV339" s="15"/>
      <c r="AW339" s="15"/>
      <c r="AX339" s="15"/>
      <c r="AY339" s="27">
        <f t="shared" si="19"/>
        <v>1410</v>
      </c>
      <c r="AZ339" s="27">
        <f t="shared" si="20"/>
        <v>3518</v>
      </c>
    </row>
    <row r="340" spans="1:52" x14ac:dyDescent="0.25">
      <c r="A340" s="13">
        <v>429</v>
      </c>
      <c r="B340" s="19" t="s">
        <v>728</v>
      </c>
      <c r="C340" s="26" t="s">
        <v>729</v>
      </c>
      <c r="D340" s="19" t="s">
        <v>42</v>
      </c>
      <c r="E340" s="16"/>
      <c r="F340" s="16"/>
      <c r="G340" s="16"/>
      <c r="H340" s="16"/>
      <c r="I340" s="16"/>
      <c r="J340" s="16"/>
      <c r="K340" s="16">
        <v>2</v>
      </c>
      <c r="L340" s="16">
        <v>4</v>
      </c>
      <c r="M340" s="16"/>
      <c r="N340" s="16"/>
      <c r="O340" s="16"/>
      <c r="P340" s="16"/>
      <c r="Q340" s="16"/>
      <c r="R340" s="16"/>
      <c r="S340" s="16"/>
      <c r="T340" s="16"/>
      <c r="U340" s="16"/>
      <c r="V340" s="16"/>
      <c r="W340" s="16"/>
      <c r="X340" s="16"/>
      <c r="Y340" s="16"/>
      <c r="Z340" s="16"/>
      <c r="AA340" s="16"/>
      <c r="AB340" s="16"/>
      <c r="AC340" s="16"/>
      <c r="AD340" s="16"/>
      <c r="AE340" s="16">
        <v>194</v>
      </c>
      <c r="AF340" s="16">
        <v>481</v>
      </c>
      <c r="AG340" s="16"/>
      <c r="AH340" s="16"/>
      <c r="AI340" s="16">
        <v>96</v>
      </c>
      <c r="AJ340" s="16">
        <v>240</v>
      </c>
      <c r="AK340" s="16"/>
      <c r="AL340" s="16"/>
      <c r="AM340" s="16"/>
      <c r="AN340" s="16"/>
      <c r="AO340" s="15"/>
      <c r="AP340" s="15"/>
      <c r="AQ340" s="15"/>
      <c r="AR340" s="15"/>
      <c r="AS340" s="15"/>
      <c r="AT340" s="15"/>
      <c r="AU340" s="15"/>
      <c r="AV340" s="15"/>
      <c r="AW340" s="15"/>
      <c r="AX340" s="15"/>
      <c r="AY340" s="27">
        <f t="shared" si="19"/>
        <v>292</v>
      </c>
      <c r="AZ340" s="27">
        <f t="shared" si="20"/>
        <v>725</v>
      </c>
    </row>
    <row r="341" spans="1:52" x14ac:dyDescent="0.25">
      <c r="A341" s="13">
        <v>430</v>
      </c>
      <c r="B341" s="19" t="s">
        <v>730</v>
      </c>
      <c r="C341" s="26" t="s">
        <v>731</v>
      </c>
      <c r="D341" s="19" t="s">
        <v>42</v>
      </c>
      <c r="E341" s="16"/>
      <c r="F341" s="16"/>
      <c r="G341" s="16"/>
      <c r="H341" s="16"/>
      <c r="I341" s="16"/>
      <c r="J341" s="16"/>
      <c r="K341" s="16"/>
      <c r="L341" s="16"/>
      <c r="M341" s="16">
        <v>36</v>
      </c>
      <c r="N341" s="16">
        <v>84</v>
      </c>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5">
        <v>4</v>
      </c>
      <c r="AP341" s="15">
        <v>8</v>
      </c>
      <c r="AQ341" s="15"/>
      <c r="AR341" s="15"/>
      <c r="AS341" s="15"/>
      <c r="AT341" s="15"/>
      <c r="AU341" s="15"/>
      <c r="AV341" s="15"/>
      <c r="AW341" s="15"/>
      <c r="AX341" s="15"/>
      <c r="AY341" s="27">
        <f t="shared" si="19"/>
        <v>40</v>
      </c>
      <c r="AZ341" s="27">
        <f t="shared" si="20"/>
        <v>92</v>
      </c>
    </row>
    <row r="342" spans="1:52" x14ac:dyDescent="0.25">
      <c r="A342" s="13">
        <v>432</v>
      </c>
      <c r="B342" s="19" t="s">
        <v>732</v>
      </c>
      <c r="C342" s="26" t="s">
        <v>733</v>
      </c>
      <c r="D342" s="19" t="s">
        <v>42</v>
      </c>
      <c r="E342" s="16">
        <v>14</v>
      </c>
      <c r="F342" s="16">
        <v>34</v>
      </c>
      <c r="G342" s="16">
        <v>16</v>
      </c>
      <c r="H342" s="16">
        <v>36</v>
      </c>
      <c r="I342" s="16">
        <v>1960</v>
      </c>
      <c r="J342" s="16">
        <v>4900</v>
      </c>
      <c r="K342" s="16">
        <v>294</v>
      </c>
      <c r="L342" s="16">
        <v>733</v>
      </c>
      <c r="M342" s="16">
        <v>442</v>
      </c>
      <c r="N342" s="16">
        <v>1099</v>
      </c>
      <c r="O342" s="16">
        <v>169</v>
      </c>
      <c r="P342" s="16">
        <v>420</v>
      </c>
      <c r="Q342" s="16">
        <v>26</v>
      </c>
      <c r="R342" s="16">
        <v>64</v>
      </c>
      <c r="S342" s="16">
        <v>29</v>
      </c>
      <c r="T342" s="16">
        <v>70</v>
      </c>
      <c r="U342" s="16">
        <v>156</v>
      </c>
      <c r="V342" s="16">
        <v>390</v>
      </c>
      <c r="W342" s="16"/>
      <c r="X342" s="16"/>
      <c r="Y342" s="16">
        <v>68</v>
      </c>
      <c r="Z342" s="16">
        <v>168</v>
      </c>
      <c r="AA342" s="16"/>
      <c r="AB342" s="16"/>
      <c r="AC342" s="16">
        <v>101</v>
      </c>
      <c r="AD342" s="16">
        <v>248</v>
      </c>
      <c r="AE342" s="16">
        <v>20</v>
      </c>
      <c r="AF342" s="16">
        <v>49</v>
      </c>
      <c r="AG342" s="16">
        <v>40</v>
      </c>
      <c r="AH342" s="16">
        <v>100</v>
      </c>
      <c r="AI342" s="16">
        <v>10</v>
      </c>
      <c r="AJ342" s="16">
        <v>24</v>
      </c>
      <c r="AK342" s="16">
        <v>20</v>
      </c>
      <c r="AL342" s="16">
        <v>50</v>
      </c>
      <c r="AM342" s="16">
        <v>96</v>
      </c>
      <c r="AN342" s="16">
        <v>240</v>
      </c>
      <c r="AO342" s="15">
        <v>56</v>
      </c>
      <c r="AP342" s="15">
        <v>140</v>
      </c>
      <c r="AQ342" s="15">
        <v>24</v>
      </c>
      <c r="AR342" s="15">
        <v>60</v>
      </c>
      <c r="AS342" s="15"/>
      <c r="AT342" s="15"/>
      <c r="AU342" s="15">
        <v>600</v>
      </c>
      <c r="AV342" s="15">
        <v>1500</v>
      </c>
      <c r="AW342" s="15">
        <v>18</v>
      </c>
      <c r="AX342" s="15">
        <v>44</v>
      </c>
      <c r="AY342" s="27">
        <f t="shared" si="19"/>
        <v>4159</v>
      </c>
      <c r="AZ342" s="27">
        <f t="shared" si="20"/>
        <v>10369</v>
      </c>
    </row>
    <row r="343" spans="1:52" x14ac:dyDescent="0.25">
      <c r="A343" s="13">
        <v>433</v>
      </c>
      <c r="B343" s="19" t="s">
        <v>734</v>
      </c>
      <c r="C343" s="26" t="s">
        <v>735</v>
      </c>
      <c r="D343" s="19" t="s">
        <v>42</v>
      </c>
      <c r="E343" s="16">
        <v>26</v>
      </c>
      <c r="F343" s="16">
        <v>64</v>
      </c>
      <c r="G343" s="16"/>
      <c r="H343" s="16"/>
      <c r="I343" s="16"/>
      <c r="J343" s="16"/>
      <c r="K343" s="16">
        <v>80</v>
      </c>
      <c r="L343" s="16">
        <v>200</v>
      </c>
      <c r="M343" s="16"/>
      <c r="N343" s="16"/>
      <c r="O343" s="16"/>
      <c r="P343" s="16"/>
      <c r="Q343" s="16">
        <v>36</v>
      </c>
      <c r="R343" s="16">
        <v>86</v>
      </c>
      <c r="S343" s="16">
        <v>2</v>
      </c>
      <c r="T343" s="16">
        <v>4</v>
      </c>
      <c r="U343" s="16">
        <v>208</v>
      </c>
      <c r="V343" s="16">
        <v>520</v>
      </c>
      <c r="W343" s="16"/>
      <c r="X343" s="16"/>
      <c r="Y343" s="16"/>
      <c r="Z343" s="16"/>
      <c r="AA343" s="16">
        <v>2</v>
      </c>
      <c r="AB343" s="16">
        <v>2</v>
      </c>
      <c r="AC343" s="16"/>
      <c r="AD343" s="16"/>
      <c r="AE343" s="16">
        <v>12</v>
      </c>
      <c r="AF343" s="16">
        <v>30</v>
      </c>
      <c r="AG343" s="16">
        <v>240</v>
      </c>
      <c r="AH343" s="16">
        <v>600</v>
      </c>
      <c r="AI343" s="16">
        <v>96</v>
      </c>
      <c r="AJ343" s="16">
        <v>240</v>
      </c>
      <c r="AK343" s="16"/>
      <c r="AL343" s="16"/>
      <c r="AM343" s="16">
        <v>48</v>
      </c>
      <c r="AN343" s="16">
        <v>120</v>
      </c>
      <c r="AO343" s="15"/>
      <c r="AP343" s="15"/>
      <c r="AQ343" s="15"/>
      <c r="AR343" s="15"/>
      <c r="AS343" s="15"/>
      <c r="AT343" s="15"/>
      <c r="AU343" s="15"/>
      <c r="AV343" s="15"/>
      <c r="AW343" s="15"/>
      <c r="AX343" s="15"/>
      <c r="AY343" s="27">
        <f t="shared" si="19"/>
        <v>750</v>
      </c>
      <c r="AZ343" s="27">
        <f t="shared" si="20"/>
        <v>1866</v>
      </c>
    </row>
    <row r="344" spans="1:52" x14ac:dyDescent="0.25">
      <c r="A344" s="13">
        <v>434</v>
      </c>
      <c r="B344" s="19" t="s">
        <v>736</v>
      </c>
      <c r="C344" s="26" t="s">
        <v>737</v>
      </c>
      <c r="D344" s="19" t="s">
        <v>42</v>
      </c>
      <c r="E344" s="16">
        <v>32</v>
      </c>
      <c r="F344" s="16">
        <v>80</v>
      </c>
      <c r="G344" s="16"/>
      <c r="H344" s="16"/>
      <c r="I344" s="16">
        <v>648</v>
      </c>
      <c r="J344" s="16">
        <v>1620</v>
      </c>
      <c r="K344" s="16">
        <v>660</v>
      </c>
      <c r="L344" s="16">
        <v>1650</v>
      </c>
      <c r="M344" s="16">
        <v>438</v>
      </c>
      <c r="N344" s="16">
        <v>1089</v>
      </c>
      <c r="O344" s="16">
        <v>560</v>
      </c>
      <c r="P344" s="16">
        <v>1400</v>
      </c>
      <c r="Q344" s="16">
        <v>44</v>
      </c>
      <c r="R344" s="16">
        <v>108</v>
      </c>
      <c r="S344" s="16">
        <v>26</v>
      </c>
      <c r="T344" s="16">
        <v>64</v>
      </c>
      <c r="U344" s="16">
        <v>168</v>
      </c>
      <c r="V344" s="16">
        <v>420</v>
      </c>
      <c r="W344" s="16"/>
      <c r="X344" s="16"/>
      <c r="Y344" s="16"/>
      <c r="Z344" s="16"/>
      <c r="AA344" s="16"/>
      <c r="AB344" s="16"/>
      <c r="AC344" s="16">
        <v>35</v>
      </c>
      <c r="AD344" s="16">
        <v>86</v>
      </c>
      <c r="AE344" s="16">
        <v>8</v>
      </c>
      <c r="AF344" s="16">
        <v>16</v>
      </c>
      <c r="AG344" s="16"/>
      <c r="AH344" s="16"/>
      <c r="AI344" s="16">
        <v>8</v>
      </c>
      <c r="AJ344" s="16">
        <v>16</v>
      </c>
      <c r="AK344" s="16"/>
      <c r="AL344" s="16"/>
      <c r="AM344" s="16">
        <v>96</v>
      </c>
      <c r="AN344" s="16">
        <v>240</v>
      </c>
      <c r="AO344" s="15">
        <v>32</v>
      </c>
      <c r="AP344" s="15">
        <v>80</v>
      </c>
      <c r="AQ344" s="15">
        <v>58</v>
      </c>
      <c r="AR344" s="15">
        <v>144</v>
      </c>
      <c r="AS344" s="15"/>
      <c r="AT344" s="15"/>
      <c r="AU344" s="15"/>
      <c r="AV344" s="15"/>
      <c r="AW344" s="15">
        <v>10</v>
      </c>
      <c r="AX344" s="15">
        <v>24</v>
      </c>
      <c r="AY344" s="27">
        <f t="shared" si="19"/>
        <v>2823</v>
      </c>
      <c r="AZ344" s="27">
        <f t="shared" si="20"/>
        <v>7037</v>
      </c>
    </row>
    <row r="345" spans="1:52" x14ac:dyDescent="0.25">
      <c r="A345" s="13">
        <v>435</v>
      </c>
      <c r="B345" s="19" t="s">
        <v>738</v>
      </c>
      <c r="C345" s="26" t="s">
        <v>739</v>
      </c>
      <c r="D345" s="19" t="s">
        <v>42</v>
      </c>
      <c r="E345" s="16">
        <v>16</v>
      </c>
      <c r="F345" s="16">
        <v>40</v>
      </c>
      <c r="G345" s="16"/>
      <c r="H345" s="16"/>
      <c r="I345" s="16">
        <v>560</v>
      </c>
      <c r="J345" s="16">
        <v>1400</v>
      </c>
      <c r="K345" s="16"/>
      <c r="L345" s="16"/>
      <c r="M345" s="16"/>
      <c r="N345" s="16"/>
      <c r="O345" s="16">
        <v>43</v>
      </c>
      <c r="P345" s="16">
        <v>105</v>
      </c>
      <c r="Q345" s="16">
        <v>62</v>
      </c>
      <c r="R345" s="16">
        <v>152</v>
      </c>
      <c r="S345" s="16"/>
      <c r="T345" s="16"/>
      <c r="U345" s="16">
        <v>124</v>
      </c>
      <c r="V345" s="16">
        <v>310</v>
      </c>
      <c r="W345" s="16">
        <v>8</v>
      </c>
      <c r="X345" s="16">
        <v>18</v>
      </c>
      <c r="Y345" s="16">
        <v>8</v>
      </c>
      <c r="Z345" s="16">
        <v>18</v>
      </c>
      <c r="AA345" s="16">
        <v>10</v>
      </c>
      <c r="AB345" s="16">
        <v>24</v>
      </c>
      <c r="AC345" s="16"/>
      <c r="AD345" s="16"/>
      <c r="AE345" s="16">
        <v>8</v>
      </c>
      <c r="AF345" s="16">
        <v>16</v>
      </c>
      <c r="AG345" s="16">
        <v>40</v>
      </c>
      <c r="AH345" s="16">
        <v>100</v>
      </c>
      <c r="AI345" s="16"/>
      <c r="AJ345" s="16"/>
      <c r="AK345" s="16"/>
      <c r="AL345" s="16"/>
      <c r="AM345" s="16">
        <v>48</v>
      </c>
      <c r="AN345" s="16">
        <v>120</v>
      </c>
      <c r="AO345" s="15"/>
      <c r="AP345" s="15"/>
      <c r="AQ345" s="15"/>
      <c r="AR345" s="15"/>
      <c r="AS345" s="15"/>
      <c r="AT345" s="15"/>
      <c r="AU345" s="15">
        <v>280</v>
      </c>
      <c r="AV345" s="15">
        <v>700</v>
      </c>
      <c r="AW345" s="15"/>
      <c r="AX345" s="15"/>
      <c r="AY345" s="27">
        <f t="shared" si="19"/>
        <v>1207</v>
      </c>
      <c r="AZ345" s="27">
        <f t="shared" si="20"/>
        <v>3003</v>
      </c>
    </row>
    <row r="346" spans="1:52" x14ac:dyDescent="0.25">
      <c r="A346" s="13">
        <v>436</v>
      </c>
      <c r="B346" s="19" t="s">
        <v>740</v>
      </c>
      <c r="C346" s="26" t="s">
        <v>741</v>
      </c>
      <c r="D346" s="19" t="s">
        <v>42</v>
      </c>
      <c r="E346" s="16">
        <v>16</v>
      </c>
      <c r="F346" s="16">
        <v>40</v>
      </c>
      <c r="G346" s="16"/>
      <c r="H346" s="16"/>
      <c r="I346" s="16"/>
      <c r="J346" s="16"/>
      <c r="K346" s="16">
        <v>1840</v>
      </c>
      <c r="L346" s="16">
        <v>4600</v>
      </c>
      <c r="M346" s="16">
        <v>700</v>
      </c>
      <c r="N346" s="16">
        <v>1746</v>
      </c>
      <c r="O346" s="16">
        <v>420</v>
      </c>
      <c r="P346" s="16">
        <v>1050</v>
      </c>
      <c r="Q346" s="16">
        <v>26</v>
      </c>
      <c r="R346" s="16">
        <v>64</v>
      </c>
      <c r="S346" s="16">
        <v>28</v>
      </c>
      <c r="T346" s="16">
        <v>68</v>
      </c>
      <c r="U346" s="16">
        <v>520</v>
      </c>
      <c r="V346" s="16">
        <v>1300</v>
      </c>
      <c r="W346" s="16"/>
      <c r="X346" s="16"/>
      <c r="Y346" s="16"/>
      <c r="Z346" s="16"/>
      <c r="AA346" s="16">
        <v>2</v>
      </c>
      <c r="AB346" s="16">
        <v>2</v>
      </c>
      <c r="AC346" s="16">
        <v>40</v>
      </c>
      <c r="AD346" s="16">
        <v>99</v>
      </c>
      <c r="AE346" s="16">
        <v>8</v>
      </c>
      <c r="AF346" s="16">
        <v>16</v>
      </c>
      <c r="AG346" s="16">
        <v>400</v>
      </c>
      <c r="AH346" s="16">
        <v>1000</v>
      </c>
      <c r="AI346" s="16">
        <v>10</v>
      </c>
      <c r="AJ346" s="16">
        <v>24</v>
      </c>
      <c r="AK346" s="16"/>
      <c r="AL346" s="16"/>
      <c r="AM346" s="16">
        <v>58</v>
      </c>
      <c r="AN346" s="16">
        <v>144</v>
      </c>
      <c r="AO346" s="15"/>
      <c r="AP346" s="15"/>
      <c r="AQ346" s="15"/>
      <c r="AR346" s="15"/>
      <c r="AS346" s="15"/>
      <c r="AT346" s="15"/>
      <c r="AU346" s="15">
        <v>640</v>
      </c>
      <c r="AV346" s="15">
        <v>1600</v>
      </c>
      <c r="AW346" s="15"/>
      <c r="AX346" s="15"/>
      <c r="AY346" s="27">
        <f t="shared" si="19"/>
        <v>4708</v>
      </c>
      <c r="AZ346" s="27">
        <f t="shared" si="20"/>
        <v>11753</v>
      </c>
    </row>
    <row r="347" spans="1:52" x14ac:dyDescent="0.25">
      <c r="A347" s="13">
        <v>437</v>
      </c>
      <c r="B347" s="19" t="s">
        <v>742</v>
      </c>
      <c r="C347" s="26" t="s">
        <v>743</v>
      </c>
      <c r="D347" s="19" t="s">
        <v>42</v>
      </c>
      <c r="E347" s="16">
        <v>16</v>
      </c>
      <c r="F347" s="16">
        <v>40</v>
      </c>
      <c r="G347" s="16"/>
      <c r="H347" s="16"/>
      <c r="I347" s="16">
        <v>480</v>
      </c>
      <c r="J347" s="16">
        <v>1200</v>
      </c>
      <c r="K347" s="16"/>
      <c r="L347" s="16"/>
      <c r="M347" s="16">
        <v>575</v>
      </c>
      <c r="N347" s="16">
        <v>1434</v>
      </c>
      <c r="O347" s="16">
        <v>43</v>
      </c>
      <c r="P347" s="16">
        <v>105</v>
      </c>
      <c r="Q347" s="16">
        <v>36</v>
      </c>
      <c r="R347" s="16">
        <v>86</v>
      </c>
      <c r="S347" s="16"/>
      <c r="T347" s="16"/>
      <c r="U347" s="16">
        <v>528</v>
      </c>
      <c r="V347" s="16">
        <v>1320</v>
      </c>
      <c r="W347" s="16">
        <v>8</v>
      </c>
      <c r="X347" s="16">
        <v>18</v>
      </c>
      <c r="Y347" s="16"/>
      <c r="Z347" s="16"/>
      <c r="AA347" s="16"/>
      <c r="AB347" s="16"/>
      <c r="AC347" s="16"/>
      <c r="AD347" s="16"/>
      <c r="AE347" s="16"/>
      <c r="AF347" s="16"/>
      <c r="AG347" s="16">
        <v>320</v>
      </c>
      <c r="AH347" s="16">
        <v>800</v>
      </c>
      <c r="AI347" s="16">
        <v>6</v>
      </c>
      <c r="AJ347" s="16">
        <v>12</v>
      </c>
      <c r="AK347" s="16">
        <v>40</v>
      </c>
      <c r="AL347" s="16">
        <v>100</v>
      </c>
      <c r="AM347" s="16">
        <v>48</v>
      </c>
      <c r="AN347" s="16">
        <v>120</v>
      </c>
      <c r="AO347" s="15">
        <v>32</v>
      </c>
      <c r="AP347" s="15">
        <v>80</v>
      </c>
      <c r="AQ347" s="15"/>
      <c r="AR347" s="15"/>
      <c r="AS347" s="15"/>
      <c r="AT347" s="15"/>
      <c r="AU347" s="15">
        <v>1400</v>
      </c>
      <c r="AV347" s="15">
        <v>3500</v>
      </c>
      <c r="AW347" s="15"/>
      <c r="AX347" s="15"/>
      <c r="AY347" s="27">
        <f t="shared" si="19"/>
        <v>3532</v>
      </c>
      <c r="AZ347" s="27">
        <f t="shared" si="20"/>
        <v>8815</v>
      </c>
    </row>
    <row r="348" spans="1:52" x14ac:dyDescent="0.25">
      <c r="A348" s="13">
        <v>438</v>
      </c>
      <c r="B348" s="19" t="s">
        <v>744</v>
      </c>
      <c r="C348" s="26" t="s">
        <v>745</v>
      </c>
      <c r="D348" s="19" t="s">
        <v>42</v>
      </c>
      <c r="E348" s="16">
        <v>16</v>
      </c>
      <c r="F348" s="16">
        <v>40</v>
      </c>
      <c r="G348" s="16"/>
      <c r="H348" s="16"/>
      <c r="I348" s="16"/>
      <c r="J348" s="16"/>
      <c r="K348" s="16">
        <v>240</v>
      </c>
      <c r="L348" s="16">
        <v>600</v>
      </c>
      <c r="M348" s="16">
        <v>746</v>
      </c>
      <c r="N348" s="16">
        <v>1860</v>
      </c>
      <c r="O348" s="16">
        <v>57</v>
      </c>
      <c r="P348" s="16">
        <v>140</v>
      </c>
      <c r="Q348" s="16">
        <v>26</v>
      </c>
      <c r="R348" s="16">
        <v>64</v>
      </c>
      <c r="S348" s="16"/>
      <c r="T348" s="16"/>
      <c r="U348" s="16">
        <v>560</v>
      </c>
      <c r="V348" s="16">
        <v>1400</v>
      </c>
      <c r="W348" s="16"/>
      <c r="X348" s="16"/>
      <c r="Y348" s="16"/>
      <c r="Z348" s="16"/>
      <c r="AA348" s="16"/>
      <c r="AB348" s="16"/>
      <c r="AC348" s="16">
        <v>7</v>
      </c>
      <c r="AD348" s="16">
        <v>15</v>
      </c>
      <c r="AE348" s="16">
        <v>12</v>
      </c>
      <c r="AF348" s="16">
        <v>30</v>
      </c>
      <c r="AG348" s="16">
        <v>600</v>
      </c>
      <c r="AH348" s="16">
        <v>1500</v>
      </c>
      <c r="AI348" s="16">
        <v>48</v>
      </c>
      <c r="AJ348" s="16">
        <v>120</v>
      </c>
      <c r="AK348" s="16"/>
      <c r="AL348" s="16"/>
      <c r="AM348" s="16">
        <v>48</v>
      </c>
      <c r="AN348" s="16">
        <v>120</v>
      </c>
      <c r="AO348" s="15"/>
      <c r="AP348" s="15"/>
      <c r="AQ348" s="15"/>
      <c r="AR348" s="15"/>
      <c r="AS348" s="15"/>
      <c r="AT348" s="15"/>
      <c r="AU348" s="15"/>
      <c r="AV348" s="15"/>
      <c r="AW348" s="15"/>
      <c r="AX348" s="15"/>
      <c r="AY348" s="27">
        <f t="shared" ref="AY348:AY395" si="21">SUM(E348+G348+I348+K348+M348+O348+Q348+S348+U348+W348+Y348+AA348+AC348+AE348+AG348+AI348+AK348+AM348+AO348+AQ348+AS348+AU348+AW348)</f>
        <v>2360</v>
      </c>
      <c r="AZ348" s="27">
        <f t="shared" ref="AZ348:AZ395" si="22">SUM(F348+H348+J348+L348+N348+P348+R348+T348+V348+X348+Z348+AB348+AD348+AF348+AH348+AJ348+AL348+AN348+AP348+AR348+AT348+AV348+AX348)</f>
        <v>5889</v>
      </c>
    </row>
    <row r="349" spans="1:52" x14ac:dyDescent="0.25">
      <c r="A349" s="13">
        <v>439</v>
      </c>
      <c r="B349" s="19" t="s">
        <v>746</v>
      </c>
      <c r="C349" s="26" t="s">
        <v>747</v>
      </c>
      <c r="D349" s="19" t="s">
        <v>42</v>
      </c>
      <c r="E349" s="16">
        <v>180</v>
      </c>
      <c r="F349" s="16">
        <v>450</v>
      </c>
      <c r="G349" s="16">
        <v>24</v>
      </c>
      <c r="H349" s="16">
        <v>60</v>
      </c>
      <c r="I349" s="16">
        <v>1003</v>
      </c>
      <c r="J349" s="16">
        <v>2506</v>
      </c>
      <c r="K349" s="16"/>
      <c r="L349" s="16"/>
      <c r="M349" s="16">
        <v>463</v>
      </c>
      <c r="N349" s="16">
        <v>1156</v>
      </c>
      <c r="O349" s="16">
        <v>68</v>
      </c>
      <c r="P349" s="16">
        <v>168</v>
      </c>
      <c r="Q349" s="16"/>
      <c r="R349" s="16"/>
      <c r="S349" s="16"/>
      <c r="T349" s="16"/>
      <c r="U349" s="16">
        <v>8</v>
      </c>
      <c r="V349" s="16">
        <v>20</v>
      </c>
      <c r="W349" s="16"/>
      <c r="X349" s="16"/>
      <c r="Y349" s="16">
        <v>84</v>
      </c>
      <c r="Z349" s="16">
        <v>208</v>
      </c>
      <c r="AA349" s="16"/>
      <c r="AB349" s="16"/>
      <c r="AC349" s="16">
        <v>136</v>
      </c>
      <c r="AD349" s="16">
        <v>340</v>
      </c>
      <c r="AE349" s="16"/>
      <c r="AF349" s="16"/>
      <c r="AG349" s="16"/>
      <c r="AH349" s="16"/>
      <c r="AI349" s="16">
        <v>17</v>
      </c>
      <c r="AJ349" s="16">
        <v>41</v>
      </c>
      <c r="AK349" s="16"/>
      <c r="AL349" s="16"/>
      <c r="AM349" s="16"/>
      <c r="AN349" s="16"/>
      <c r="AO349" s="15">
        <v>318</v>
      </c>
      <c r="AP349" s="15">
        <v>792</v>
      </c>
      <c r="AQ349" s="15"/>
      <c r="AR349" s="15"/>
      <c r="AS349" s="15"/>
      <c r="AT349" s="15"/>
      <c r="AU349" s="15"/>
      <c r="AV349" s="15"/>
      <c r="AW349" s="15"/>
      <c r="AX349" s="15"/>
      <c r="AY349" s="27">
        <f t="shared" si="21"/>
        <v>2301</v>
      </c>
      <c r="AZ349" s="27">
        <f t="shared" si="22"/>
        <v>5741</v>
      </c>
    </row>
    <row r="350" spans="1:52" x14ac:dyDescent="0.25">
      <c r="A350" s="13">
        <v>440</v>
      </c>
      <c r="B350" s="19" t="s">
        <v>748</v>
      </c>
      <c r="C350" s="26" t="s">
        <v>749</v>
      </c>
      <c r="D350" s="19" t="s">
        <v>42</v>
      </c>
      <c r="E350" s="16">
        <v>568</v>
      </c>
      <c r="F350" s="16">
        <v>1420</v>
      </c>
      <c r="G350" s="16">
        <v>760</v>
      </c>
      <c r="H350" s="16">
        <v>1900</v>
      </c>
      <c r="I350" s="16">
        <v>592</v>
      </c>
      <c r="J350" s="16">
        <v>1476</v>
      </c>
      <c r="K350" s="16">
        <v>144</v>
      </c>
      <c r="L350" s="16">
        <v>360</v>
      </c>
      <c r="M350" s="16">
        <v>1400</v>
      </c>
      <c r="N350" s="16">
        <v>3499</v>
      </c>
      <c r="O350" s="16">
        <v>1623</v>
      </c>
      <c r="P350" s="16">
        <v>4054</v>
      </c>
      <c r="Q350" s="16"/>
      <c r="R350" s="16"/>
      <c r="S350" s="16">
        <v>400</v>
      </c>
      <c r="T350" s="16">
        <v>1000</v>
      </c>
      <c r="U350" s="16">
        <v>1097</v>
      </c>
      <c r="V350" s="16">
        <v>2742</v>
      </c>
      <c r="W350" s="16">
        <v>520</v>
      </c>
      <c r="X350" s="16">
        <v>1300</v>
      </c>
      <c r="Y350" s="16">
        <v>1088</v>
      </c>
      <c r="Z350" s="16">
        <v>2720</v>
      </c>
      <c r="AA350" s="16">
        <v>120</v>
      </c>
      <c r="AB350" s="16">
        <v>300</v>
      </c>
      <c r="AC350" s="16">
        <v>4492</v>
      </c>
      <c r="AD350" s="16">
        <v>11224</v>
      </c>
      <c r="AE350" s="16">
        <v>18295</v>
      </c>
      <c r="AF350" s="16">
        <v>45733</v>
      </c>
      <c r="AG350" s="16"/>
      <c r="AH350" s="16"/>
      <c r="AI350" s="16">
        <v>1162</v>
      </c>
      <c r="AJ350" s="16">
        <v>2900</v>
      </c>
      <c r="AK350" s="16">
        <v>96</v>
      </c>
      <c r="AL350" s="16">
        <v>240</v>
      </c>
      <c r="AM350" s="16">
        <v>216</v>
      </c>
      <c r="AN350" s="16">
        <v>540</v>
      </c>
      <c r="AO350" s="15">
        <v>564</v>
      </c>
      <c r="AP350" s="15">
        <v>1408</v>
      </c>
      <c r="AQ350" s="15"/>
      <c r="AR350" s="15"/>
      <c r="AS350" s="15"/>
      <c r="AT350" s="15"/>
      <c r="AU350" s="15"/>
      <c r="AV350" s="15"/>
      <c r="AW350" s="15"/>
      <c r="AX350" s="15"/>
      <c r="AY350" s="27">
        <f t="shared" si="21"/>
        <v>33137</v>
      </c>
      <c r="AZ350" s="27">
        <f t="shared" si="22"/>
        <v>82816</v>
      </c>
    </row>
    <row r="351" spans="1:52" x14ac:dyDescent="0.25">
      <c r="A351" s="13">
        <v>441</v>
      </c>
      <c r="B351" s="19" t="s">
        <v>750</v>
      </c>
      <c r="C351" s="26" t="s">
        <v>751</v>
      </c>
      <c r="D351" s="19" t="s">
        <v>43</v>
      </c>
      <c r="E351" s="16">
        <v>1124</v>
      </c>
      <c r="F351" s="16">
        <v>2810</v>
      </c>
      <c r="G351" s="16">
        <v>80</v>
      </c>
      <c r="H351" s="16">
        <v>200</v>
      </c>
      <c r="I351" s="16">
        <v>3647</v>
      </c>
      <c r="J351" s="16">
        <v>9116</v>
      </c>
      <c r="K351" s="16"/>
      <c r="L351" s="16"/>
      <c r="M351" s="16">
        <v>2964</v>
      </c>
      <c r="N351" s="16">
        <v>7408</v>
      </c>
      <c r="O351" s="16">
        <v>4091</v>
      </c>
      <c r="P351" s="16">
        <v>10220</v>
      </c>
      <c r="Q351" s="16"/>
      <c r="R351" s="16"/>
      <c r="S351" s="16">
        <v>29</v>
      </c>
      <c r="T351" s="16">
        <v>70</v>
      </c>
      <c r="U351" s="16">
        <v>751</v>
      </c>
      <c r="V351" s="16">
        <v>1875</v>
      </c>
      <c r="W351" s="16">
        <v>120</v>
      </c>
      <c r="X351" s="16">
        <v>300</v>
      </c>
      <c r="Y351" s="16">
        <v>1296</v>
      </c>
      <c r="Z351" s="16">
        <v>3240</v>
      </c>
      <c r="AA351" s="16">
        <v>60</v>
      </c>
      <c r="AB351" s="16">
        <v>150</v>
      </c>
      <c r="AC351" s="16">
        <v>1981</v>
      </c>
      <c r="AD351" s="16">
        <v>4949</v>
      </c>
      <c r="AE351" s="16">
        <v>8576</v>
      </c>
      <c r="AF351" s="16">
        <v>21440</v>
      </c>
      <c r="AG351" s="16"/>
      <c r="AH351" s="16"/>
      <c r="AI351" s="16">
        <v>656</v>
      </c>
      <c r="AJ351" s="16">
        <v>1635</v>
      </c>
      <c r="AK351" s="16">
        <v>218</v>
      </c>
      <c r="AL351" s="16">
        <v>544</v>
      </c>
      <c r="AM351" s="16"/>
      <c r="AN351" s="16"/>
      <c r="AO351" s="15">
        <v>1435</v>
      </c>
      <c r="AP351" s="15">
        <v>3587</v>
      </c>
      <c r="AQ351" s="15"/>
      <c r="AR351" s="15"/>
      <c r="AS351" s="15"/>
      <c r="AT351" s="15"/>
      <c r="AU351" s="15"/>
      <c r="AV351" s="15"/>
      <c r="AW351" s="15"/>
      <c r="AX351" s="15"/>
      <c r="AY351" s="27">
        <f t="shared" si="21"/>
        <v>27028</v>
      </c>
      <c r="AZ351" s="27">
        <f t="shared" si="22"/>
        <v>67544</v>
      </c>
    </row>
    <row r="352" spans="1:52" x14ac:dyDescent="0.25">
      <c r="A352" s="13">
        <v>442</v>
      </c>
      <c r="B352" s="19" t="s">
        <v>752</v>
      </c>
      <c r="C352" s="26" t="s">
        <v>753</v>
      </c>
      <c r="D352" s="19" t="s">
        <v>42</v>
      </c>
      <c r="E352" s="16">
        <v>40</v>
      </c>
      <c r="F352" s="16">
        <v>100</v>
      </c>
      <c r="G352" s="16"/>
      <c r="H352" s="16"/>
      <c r="I352" s="16"/>
      <c r="J352" s="16"/>
      <c r="K352" s="16"/>
      <c r="L352" s="16"/>
      <c r="M352" s="16"/>
      <c r="N352" s="16"/>
      <c r="O352" s="16">
        <v>211</v>
      </c>
      <c r="P352" s="16">
        <v>524</v>
      </c>
      <c r="Q352" s="16"/>
      <c r="R352" s="16"/>
      <c r="S352" s="16"/>
      <c r="T352" s="16"/>
      <c r="U352" s="16">
        <v>8</v>
      </c>
      <c r="V352" s="16">
        <v>20</v>
      </c>
      <c r="W352" s="16">
        <v>112</v>
      </c>
      <c r="X352" s="16">
        <v>280</v>
      </c>
      <c r="Y352" s="16">
        <v>30</v>
      </c>
      <c r="Z352" s="16">
        <v>72</v>
      </c>
      <c r="AA352" s="16"/>
      <c r="AB352" s="16"/>
      <c r="AC352" s="16">
        <v>40</v>
      </c>
      <c r="AD352" s="16">
        <v>100</v>
      </c>
      <c r="AE352" s="16">
        <v>128</v>
      </c>
      <c r="AF352" s="16">
        <v>320</v>
      </c>
      <c r="AG352" s="16"/>
      <c r="AH352" s="16"/>
      <c r="AI352" s="16">
        <v>24</v>
      </c>
      <c r="AJ352" s="16">
        <v>57</v>
      </c>
      <c r="AK352" s="16"/>
      <c r="AL352" s="16"/>
      <c r="AM352" s="16"/>
      <c r="AN352" s="16"/>
      <c r="AO352" s="15">
        <v>159</v>
      </c>
      <c r="AP352" s="15">
        <v>396</v>
      </c>
      <c r="AQ352" s="15"/>
      <c r="AR352" s="15"/>
      <c r="AS352" s="15"/>
      <c r="AT352" s="15"/>
      <c r="AU352" s="15"/>
      <c r="AV352" s="15"/>
      <c r="AW352" s="15"/>
      <c r="AX352" s="15"/>
      <c r="AY352" s="27">
        <f t="shared" si="21"/>
        <v>752</v>
      </c>
      <c r="AZ352" s="27">
        <f t="shared" si="22"/>
        <v>1869</v>
      </c>
    </row>
    <row r="353" spans="1:52" x14ac:dyDescent="0.25">
      <c r="A353" s="13">
        <v>443</v>
      </c>
      <c r="B353" s="19" t="s">
        <v>754</v>
      </c>
      <c r="C353" s="26" t="s">
        <v>755</v>
      </c>
      <c r="D353" s="19" t="s">
        <v>42</v>
      </c>
      <c r="E353" s="16"/>
      <c r="F353" s="16"/>
      <c r="G353" s="16">
        <v>64</v>
      </c>
      <c r="H353" s="16">
        <v>160</v>
      </c>
      <c r="I353" s="16">
        <v>992</v>
      </c>
      <c r="J353" s="16">
        <v>2474</v>
      </c>
      <c r="K353" s="16"/>
      <c r="L353" s="16"/>
      <c r="M353" s="16"/>
      <c r="N353" s="16"/>
      <c r="O353" s="16"/>
      <c r="P353" s="16"/>
      <c r="Q353" s="16"/>
      <c r="R353" s="16"/>
      <c r="S353" s="16"/>
      <c r="T353" s="16"/>
      <c r="U353" s="16">
        <v>37</v>
      </c>
      <c r="V353" s="16">
        <v>91</v>
      </c>
      <c r="W353" s="16"/>
      <c r="X353" s="16"/>
      <c r="Y353" s="16">
        <v>30</v>
      </c>
      <c r="Z353" s="16">
        <v>72</v>
      </c>
      <c r="AA353" s="16">
        <v>12</v>
      </c>
      <c r="AB353" s="16">
        <v>30</v>
      </c>
      <c r="AC353" s="16">
        <v>336</v>
      </c>
      <c r="AD353" s="16">
        <v>840</v>
      </c>
      <c r="AE353" s="16">
        <v>480</v>
      </c>
      <c r="AF353" s="16">
        <v>1200</v>
      </c>
      <c r="AG353" s="16"/>
      <c r="AH353" s="16"/>
      <c r="AI353" s="16">
        <v>26</v>
      </c>
      <c r="AJ353" s="16">
        <v>62</v>
      </c>
      <c r="AK353" s="16">
        <v>80</v>
      </c>
      <c r="AL353" s="16">
        <v>200</v>
      </c>
      <c r="AM353" s="16"/>
      <c r="AN353" s="16"/>
      <c r="AO353" s="15"/>
      <c r="AP353" s="15"/>
      <c r="AQ353" s="15"/>
      <c r="AR353" s="15"/>
      <c r="AS353" s="15"/>
      <c r="AT353" s="15"/>
      <c r="AU353" s="15"/>
      <c r="AV353" s="15"/>
      <c r="AW353" s="15"/>
      <c r="AX353" s="15"/>
      <c r="AY353" s="27">
        <f t="shared" si="21"/>
        <v>2057</v>
      </c>
      <c r="AZ353" s="27">
        <f t="shared" si="22"/>
        <v>5129</v>
      </c>
    </row>
    <row r="354" spans="1:52" x14ac:dyDescent="0.25">
      <c r="A354" s="13">
        <v>444</v>
      </c>
      <c r="B354" s="19" t="s">
        <v>756</v>
      </c>
      <c r="C354" s="26" t="s">
        <v>757</v>
      </c>
      <c r="D354" s="19" t="s">
        <v>42</v>
      </c>
      <c r="E354" s="16">
        <v>908</v>
      </c>
      <c r="F354" s="16">
        <v>2270</v>
      </c>
      <c r="G354" s="16">
        <v>60</v>
      </c>
      <c r="H354" s="16">
        <v>150</v>
      </c>
      <c r="I354" s="16">
        <v>8755</v>
      </c>
      <c r="J354" s="16">
        <v>21885</v>
      </c>
      <c r="K354" s="16"/>
      <c r="L354" s="16"/>
      <c r="M354" s="16">
        <v>236</v>
      </c>
      <c r="N354" s="16">
        <v>586</v>
      </c>
      <c r="O354" s="16">
        <v>4347</v>
      </c>
      <c r="P354" s="16">
        <v>10861</v>
      </c>
      <c r="Q354" s="16"/>
      <c r="R354" s="16"/>
      <c r="S354" s="16">
        <v>48</v>
      </c>
      <c r="T354" s="16">
        <v>120</v>
      </c>
      <c r="U354" s="16">
        <v>42</v>
      </c>
      <c r="V354" s="16">
        <v>102</v>
      </c>
      <c r="W354" s="16">
        <v>160</v>
      </c>
      <c r="X354" s="16">
        <v>400</v>
      </c>
      <c r="Y354" s="16">
        <v>800</v>
      </c>
      <c r="Z354" s="16">
        <v>2000</v>
      </c>
      <c r="AA354" s="16">
        <v>200</v>
      </c>
      <c r="AB354" s="16">
        <v>500</v>
      </c>
      <c r="AC354" s="16">
        <v>1093</v>
      </c>
      <c r="AD354" s="16">
        <v>2730</v>
      </c>
      <c r="AE354" s="16">
        <v>2499</v>
      </c>
      <c r="AF354" s="16">
        <v>6247</v>
      </c>
      <c r="AG354" s="16"/>
      <c r="AH354" s="16"/>
      <c r="AI354" s="16">
        <v>48</v>
      </c>
      <c r="AJ354" s="16">
        <v>120</v>
      </c>
      <c r="AK354" s="16">
        <v>36</v>
      </c>
      <c r="AL354" s="16">
        <v>90</v>
      </c>
      <c r="AM354" s="16"/>
      <c r="AN354" s="16"/>
      <c r="AO354" s="15">
        <v>229</v>
      </c>
      <c r="AP354" s="15">
        <v>572</v>
      </c>
      <c r="AQ354" s="15"/>
      <c r="AR354" s="15"/>
      <c r="AS354" s="15"/>
      <c r="AT354" s="15"/>
      <c r="AU354" s="15"/>
      <c r="AV354" s="15"/>
      <c r="AW354" s="15"/>
      <c r="AX354" s="15"/>
      <c r="AY354" s="27">
        <f t="shared" si="21"/>
        <v>19461</v>
      </c>
      <c r="AZ354" s="27">
        <f t="shared" si="22"/>
        <v>48633</v>
      </c>
    </row>
    <row r="355" spans="1:52" x14ac:dyDescent="0.25">
      <c r="A355" s="13">
        <v>445</v>
      </c>
      <c r="B355" s="19" t="s">
        <v>758</v>
      </c>
      <c r="C355" s="26" t="s">
        <v>759</v>
      </c>
      <c r="D355" s="19" t="s">
        <v>42</v>
      </c>
      <c r="E355" s="16"/>
      <c r="F355" s="16"/>
      <c r="G355" s="16"/>
      <c r="H355" s="16"/>
      <c r="I355" s="16"/>
      <c r="J355" s="16"/>
      <c r="K355" s="16">
        <v>14</v>
      </c>
      <c r="L355" s="16">
        <v>32</v>
      </c>
      <c r="M355" s="16"/>
      <c r="N355" s="16"/>
      <c r="O355" s="16">
        <v>74</v>
      </c>
      <c r="P355" s="16">
        <v>178</v>
      </c>
      <c r="Q355" s="16"/>
      <c r="R355" s="16"/>
      <c r="S355" s="16"/>
      <c r="T355" s="16"/>
      <c r="U355" s="16">
        <v>74</v>
      </c>
      <c r="V355" s="16">
        <v>183</v>
      </c>
      <c r="W355" s="16">
        <v>200</v>
      </c>
      <c r="X355" s="16">
        <v>500</v>
      </c>
      <c r="Y355" s="16">
        <v>38</v>
      </c>
      <c r="Z355" s="16">
        <v>88</v>
      </c>
      <c r="AA355" s="16">
        <v>8</v>
      </c>
      <c r="AB355" s="16">
        <v>20</v>
      </c>
      <c r="AC355" s="16">
        <v>186</v>
      </c>
      <c r="AD355" s="16">
        <v>462</v>
      </c>
      <c r="AE355" s="16">
        <v>248</v>
      </c>
      <c r="AF355" s="16">
        <v>620</v>
      </c>
      <c r="AG355" s="16"/>
      <c r="AH355" s="16"/>
      <c r="AI355" s="16">
        <v>766</v>
      </c>
      <c r="AJ355" s="16">
        <v>1912</v>
      </c>
      <c r="AK355" s="16">
        <v>16</v>
      </c>
      <c r="AL355" s="16">
        <v>40</v>
      </c>
      <c r="AM355" s="16"/>
      <c r="AN355" s="16"/>
      <c r="AO355" s="15">
        <v>12</v>
      </c>
      <c r="AP355" s="15">
        <v>30</v>
      </c>
      <c r="AQ355" s="15"/>
      <c r="AR355" s="15"/>
      <c r="AS355" s="15"/>
      <c r="AT355" s="15"/>
      <c r="AU355" s="15"/>
      <c r="AV355" s="15"/>
      <c r="AW355" s="15"/>
      <c r="AX355" s="15"/>
      <c r="AY355" s="27">
        <f t="shared" si="21"/>
        <v>1636</v>
      </c>
      <c r="AZ355" s="27">
        <f t="shared" si="22"/>
        <v>4065</v>
      </c>
    </row>
    <row r="356" spans="1:52" x14ac:dyDescent="0.25">
      <c r="A356" s="13">
        <v>446</v>
      </c>
      <c r="B356" s="19" t="s">
        <v>760</v>
      </c>
      <c r="C356" s="26" t="s">
        <v>761</v>
      </c>
      <c r="D356" s="19" t="s">
        <v>42</v>
      </c>
      <c r="E356" s="16"/>
      <c r="F356" s="16"/>
      <c r="G356" s="16"/>
      <c r="H356" s="16"/>
      <c r="I356" s="16">
        <v>580</v>
      </c>
      <c r="J356" s="16">
        <v>1450</v>
      </c>
      <c r="K356" s="16"/>
      <c r="L356" s="16"/>
      <c r="M356" s="16"/>
      <c r="N356" s="16"/>
      <c r="O356" s="16"/>
      <c r="P356" s="16"/>
      <c r="Q356" s="16"/>
      <c r="R356" s="16"/>
      <c r="S356" s="16"/>
      <c r="T356" s="16"/>
      <c r="U356" s="16">
        <v>132</v>
      </c>
      <c r="V356" s="16">
        <v>330</v>
      </c>
      <c r="W356" s="16">
        <v>36</v>
      </c>
      <c r="X356" s="16">
        <v>90</v>
      </c>
      <c r="Y356" s="16"/>
      <c r="Z356" s="16"/>
      <c r="AA356" s="16"/>
      <c r="AB356" s="16"/>
      <c r="AC356" s="16"/>
      <c r="AD356" s="16"/>
      <c r="AE356" s="16">
        <v>192</v>
      </c>
      <c r="AF356" s="16">
        <v>480</v>
      </c>
      <c r="AG356" s="16"/>
      <c r="AH356" s="16"/>
      <c r="AI356" s="16"/>
      <c r="AJ356" s="16"/>
      <c r="AK356" s="16"/>
      <c r="AL356" s="16"/>
      <c r="AM356" s="16">
        <v>10</v>
      </c>
      <c r="AN356" s="16">
        <v>24</v>
      </c>
      <c r="AO356" s="15"/>
      <c r="AP356" s="15"/>
      <c r="AQ356" s="15"/>
      <c r="AR356" s="15"/>
      <c r="AS356" s="15"/>
      <c r="AT356" s="15"/>
      <c r="AU356" s="15"/>
      <c r="AV356" s="15"/>
      <c r="AW356" s="15"/>
      <c r="AX356" s="15"/>
      <c r="AY356" s="27">
        <f t="shared" si="21"/>
        <v>950</v>
      </c>
      <c r="AZ356" s="27">
        <f t="shared" si="22"/>
        <v>2374</v>
      </c>
    </row>
    <row r="357" spans="1:52" x14ac:dyDescent="0.25">
      <c r="A357" s="13">
        <v>447</v>
      </c>
      <c r="B357" s="19" t="s">
        <v>762</v>
      </c>
      <c r="C357" s="26" t="s">
        <v>763</v>
      </c>
      <c r="D357" s="19" t="s">
        <v>42</v>
      </c>
      <c r="E357" s="16">
        <v>88</v>
      </c>
      <c r="F357" s="16">
        <v>220</v>
      </c>
      <c r="G357" s="16"/>
      <c r="H357" s="16"/>
      <c r="I357" s="16">
        <v>1200</v>
      </c>
      <c r="J357" s="16">
        <v>3000</v>
      </c>
      <c r="K357" s="16">
        <v>2736</v>
      </c>
      <c r="L357" s="16">
        <v>6834</v>
      </c>
      <c r="M357" s="16">
        <v>170</v>
      </c>
      <c r="N357" s="16">
        <v>420</v>
      </c>
      <c r="O357" s="16">
        <v>77</v>
      </c>
      <c r="P357" s="16">
        <v>189</v>
      </c>
      <c r="Q357" s="16"/>
      <c r="R357" s="16"/>
      <c r="S357" s="16">
        <v>20</v>
      </c>
      <c r="T357" s="16">
        <v>50</v>
      </c>
      <c r="U357" s="16">
        <v>2212</v>
      </c>
      <c r="V357" s="16">
        <v>5530</v>
      </c>
      <c r="W357" s="16">
        <v>22</v>
      </c>
      <c r="X357" s="16">
        <v>54</v>
      </c>
      <c r="Y357" s="16">
        <v>488</v>
      </c>
      <c r="Z357" s="16">
        <v>1218</v>
      </c>
      <c r="AA357" s="16">
        <v>96</v>
      </c>
      <c r="AB357" s="16">
        <v>240</v>
      </c>
      <c r="AC357" s="16"/>
      <c r="AD357" s="16"/>
      <c r="AE357" s="16">
        <v>386</v>
      </c>
      <c r="AF357" s="16">
        <v>961</v>
      </c>
      <c r="AG357" s="16">
        <v>2880</v>
      </c>
      <c r="AH357" s="16">
        <v>7200</v>
      </c>
      <c r="AI357" s="16">
        <v>1000</v>
      </c>
      <c r="AJ357" s="16">
        <v>2500</v>
      </c>
      <c r="AK357" s="16">
        <v>2200</v>
      </c>
      <c r="AL357" s="16">
        <v>5500</v>
      </c>
      <c r="AM357" s="16">
        <v>4560</v>
      </c>
      <c r="AN357" s="16">
        <v>11400</v>
      </c>
      <c r="AO357" s="15"/>
      <c r="AP357" s="15"/>
      <c r="AQ357" s="15"/>
      <c r="AR357" s="15"/>
      <c r="AS357" s="15">
        <v>11944</v>
      </c>
      <c r="AT357" s="15">
        <v>29860</v>
      </c>
      <c r="AU357" s="15">
        <v>280</v>
      </c>
      <c r="AV357" s="15">
        <v>700</v>
      </c>
      <c r="AW357" s="15"/>
      <c r="AX357" s="15"/>
      <c r="AY357" s="27">
        <f t="shared" si="21"/>
        <v>30359</v>
      </c>
      <c r="AZ357" s="27">
        <f t="shared" si="22"/>
        <v>75876</v>
      </c>
    </row>
    <row r="358" spans="1:52" x14ac:dyDescent="0.25">
      <c r="A358" s="13">
        <v>448</v>
      </c>
      <c r="B358" s="19" t="s">
        <v>764</v>
      </c>
      <c r="C358" s="26" t="s">
        <v>765</v>
      </c>
      <c r="D358" s="19" t="s">
        <v>42</v>
      </c>
      <c r="E358" s="16">
        <v>30</v>
      </c>
      <c r="F358" s="16">
        <v>75</v>
      </c>
      <c r="G358" s="16">
        <v>28</v>
      </c>
      <c r="H358" s="16">
        <v>70</v>
      </c>
      <c r="I358" s="16"/>
      <c r="J358" s="16"/>
      <c r="K358" s="16">
        <v>774</v>
      </c>
      <c r="L358" s="16">
        <v>1932</v>
      </c>
      <c r="M358" s="16"/>
      <c r="N358" s="16"/>
      <c r="O358" s="16">
        <v>113</v>
      </c>
      <c r="P358" s="16">
        <v>280</v>
      </c>
      <c r="Q358" s="16"/>
      <c r="R358" s="16"/>
      <c r="S358" s="16">
        <v>22</v>
      </c>
      <c r="T358" s="16">
        <v>53</v>
      </c>
      <c r="U358" s="16">
        <v>2200</v>
      </c>
      <c r="V358" s="16">
        <v>5500</v>
      </c>
      <c r="W358" s="16">
        <v>180</v>
      </c>
      <c r="X358" s="16">
        <v>450</v>
      </c>
      <c r="Y358" s="16">
        <v>400</v>
      </c>
      <c r="Z358" s="16">
        <v>1000</v>
      </c>
      <c r="AA358" s="16"/>
      <c r="AB358" s="16"/>
      <c r="AC358" s="16">
        <v>44</v>
      </c>
      <c r="AD358" s="16">
        <v>106</v>
      </c>
      <c r="AE358" s="16">
        <v>194</v>
      </c>
      <c r="AF358" s="16">
        <v>481</v>
      </c>
      <c r="AG358" s="16">
        <v>560</v>
      </c>
      <c r="AH358" s="16">
        <v>1400</v>
      </c>
      <c r="AI358" s="16">
        <v>1680</v>
      </c>
      <c r="AJ358" s="16">
        <v>4200</v>
      </c>
      <c r="AK358" s="16">
        <v>1184</v>
      </c>
      <c r="AL358" s="16">
        <v>2960</v>
      </c>
      <c r="AM358" s="16">
        <v>6912</v>
      </c>
      <c r="AN358" s="16">
        <v>17280</v>
      </c>
      <c r="AO358" s="15"/>
      <c r="AP358" s="15"/>
      <c r="AQ358" s="15">
        <v>76</v>
      </c>
      <c r="AR358" s="15">
        <v>190</v>
      </c>
      <c r="AS358" s="15">
        <v>39692</v>
      </c>
      <c r="AT358" s="15">
        <v>99230</v>
      </c>
      <c r="AU358" s="15">
        <v>400</v>
      </c>
      <c r="AV358" s="15">
        <v>1000</v>
      </c>
      <c r="AW358" s="15"/>
      <c r="AX358" s="15"/>
      <c r="AY358" s="27">
        <f t="shared" si="21"/>
        <v>54489</v>
      </c>
      <c r="AZ358" s="27">
        <f t="shared" si="22"/>
        <v>136207</v>
      </c>
    </row>
    <row r="359" spans="1:52" x14ac:dyDescent="0.25">
      <c r="A359" s="13">
        <v>449</v>
      </c>
      <c r="B359" s="19" t="s">
        <v>766</v>
      </c>
      <c r="C359" s="26" t="s">
        <v>767</v>
      </c>
      <c r="D359" s="19" t="s">
        <v>42</v>
      </c>
      <c r="E359" s="16"/>
      <c r="F359" s="16"/>
      <c r="G359" s="16"/>
      <c r="H359" s="16"/>
      <c r="I359" s="16">
        <v>320</v>
      </c>
      <c r="J359" s="16">
        <v>800</v>
      </c>
      <c r="K359" s="16"/>
      <c r="L359" s="16"/>
      <c r="M359" s="16"/>
      <c r="N359" s="16"/>
      <c r="O359" s="16">
        <v>57</v>
      </c>
      <c r="P359" s="16">
        <v>140</v>
      </c>
      <c r="Q359" s="16"/>
      <c r="R359" s="16"/>
      <c r="S359" s="16">
        <v>23</v>
      </c>
      <c r="T359" s="16">
        <v>56</v>
      </c>
      <c r="U359" s="16">
        <v>166</v>
      </c>
      <c r="V359" s="16">
        <v>415</v>
      </c>
      <c r="W359" s="16">
        <v>8</v>
      </c>
      <c r="X359" s="16">
        <v>18</v>
      </c>
      <c r="Y359" s="16">
        <v>36</v>
      </c>
      <c r="Z359" s="16">
        <v>90</v>
      </c>
      <c r="AA359" s="16"/>
      <c r="AB359" s="16"/>
      <c r="AC359" s="16"/>
      <c r="AD359" s="16"/>
      <c r="AE359" s="16">
        <v>51</v>
      </c>
      <c r="AF359" s="16">
        <v>121</v>
      </c>
      <c r="AG359" s="16">
        <v>2</v>
      </c>
      <c r="AH359" s="16">
        <v>2</v>
      </c>
      <c r="AI359" s="16">
        <v>312</v>
      </c>
      <c r="AJ359" s="16">
        <v>780</v>
      </c>
      <c r="AK359" s="16">
        <v>380</v>
      </c>
      <c r="AL359" s="16">
        <v>950</v>
      </c>
      <c r="AM359" s="16">
        <v>270</v>
      </c>
      <c r="AN359" s="16">
        <v>672</v>
      </c>
      <c r="AO359" s="15"/>
      <c r="AP359" s="15"/>
      <c r="AQ359" s="15"/>
      <c r="AR359" s="15"/>
      <c r="AS359" s="15">
        <v>11888</v>
      </c>
      <c r="AT359" s="15">
        <v>29720</v>
      </c>
      <c r="AU359" s="15"/>
      <c r="AV359" s="15"/>
      <c r="AW359" s="15"/>
      <c r="AX359" s="15"/>
      <c r="AY359" s="27">
        <f t="shared" si="21"/>
        <v>13513</v>
      </c>
      <c r="AZ359" s="27">
        <f t="shared" si="22"/>
        <v>33764</v>
      </c>
    </row>
    <row r="360" spans="1:52" x14ac:dyDescent="0.25">
      <c r="A360" s="13">
        <v>450</v>
      </c>
      <c r="B360" s="19" t="s">
        <v>768</v>
      </c>
      <c r="C360" s="26" t="s">
        <v>769</v>
      </c>
      <c r="D360" s="19" t="s">
        <v>42</v>
      </c>
      <c r="E360" s="16">
        <v>10</v>
      </c>
      <c r="F360" s="16">
        <v>24</v>
      </c>
      <c r="G360" s="16"/>
      <c r="H360" s="16"/>
      <c r="I360" s="16"/>
      <c r="J360" s="16"/>
      <c r="K360" s="16"/>
      <c r="L360" s="16"/>
      <c r="M360" s="16"/>
      <c r="N360" s="16"/>
      <c r="O360" s="16">
        <v>57</v>
      </c>
      <c r="P360" s="16">
        <v>140</v>
      </c>
      <c r="Q360" s="16"/>
      <c r="R360" s="16"/>
      <c r="S360" s="16">
        <v>20</v>
      </c>
      <c r="T360" s="16">
        <v>50</v>
      </c>
      <c r="U360" s="16">
        <v>100</v>
      </c>
      <c r="V360" s="16">
        <v>250</v>
      </c>
      <c r="W360" s="16"/>
      <c r="X360" s="16"/>
      <c r="Y360" s="16"/>
      <c r="Z360" s="16"/>
      <c r="AA360" s="16"/>
      <c r="AB360" s="16"/>
      <c r="AC360" s="16"/>
      <c r="AD360" s="16"/>
      <c r="AE360" s="16"/>
      <c r="AF360" s="16"/>
      <c r="AG360" s="16"/>
      <c r="AH360" s="16"/>
      <c r="AI360" s="16">
        <v>240</v>
      </c>
      <c r="AJ360" s="16">
        <v>600</v>
      </c>
      <c r="AK360" s="16">
        <v>730</v>
      </c>
      <c r="AL360" s="16">
        <v>1824</v>
      </c>
      <c r="AM360" s="16">
        <v>96</v>
      </c>
      <c r="AN360" s="16">
        <v>240</v>
      </c>
      <c r="AO360" s="15"/>
      <c r="AP360" s="15"/>
      <c r="AQ360" s="15"/>
      <c r="AR360" s="15"/>
      <c r="AS360" s="15"/>
      <c r="AT360" s="15"/>
      <c r="AU360" s="15"/>
      <c r="AV360" s="15"/>
      <c r="AW360" s="15"/>
      <c r="AX360" s="15"/>
      <c r="AY360" s="27">
        <f t="shared" si="21"/>
        <v>1253</v>
      </c>
      <c r="AZ360" s="27">
        <f t="shared" si="22"/>
        <v>3128</v>
      </c>
    </row>
    <row r="361" spans="1:52" x14ac:dyDescent="0.25">
      <c r="A361" s="13">
        <v>451</v>
      </c>
      <c r="B361" s="19" t="s">
        <v>770</v>
      </c>
      <c r="C361" s="26" t="s">
        <v>771</v>
      </c>
      <c r="D361" s="19" t="s">
        <v>42</v>
      </c>
      <c r="E361" s="16"/>
      <c r="F361" s="16"/>
      <c r="G361" s="16"/>
      <c r="H361" s="16"/>
      <c r="I361" s="16">
        <v>8600</v>
      </c>
      <c r="J361" s="16">
        <v>21500</v>
      </c>
      <c r="K361" s="16">
        <v>106</v>
      </c>
      <c r="L361" s="16">
        <v>264</v>
      </c>
      <c r="M361" s="16">
        <v>780</v>
      </c>
      <c r="N361" s="16">
        <v>1944</v>
      </c>
      <c r="O361" s="16"/>
      <c r="P361" s="16"/>
      <c r="Q361" s="16"/>
      <c r="R361" s="16"/>
      <c r="S361" s="16">
        <v>3</v>
      </c>
      <c r="T361" s="16">
        <v>6</v>
      </c>
      <c r="U361" s="16">
        <v>176</v>
      </c>
      <c r="V361" s="16">
        <v>440</v>
      </c>
      <c r="W361" s="16"/>
      <c r="X361" s="16"/>
      <c r="Y361" s="16"/>
      <c r="Z361" s="16"/>
      <c r="AA361" s="16"/>
      <c r="AB361" s="16"/>
      <c r="AC361" s="16"/>
      <c r="AD361" s="16"/>
      <c r="AE361" s="16"/>
      <c r="AF361" s="16"/>
      <c r="AG361" s="16">
        <v>8</v>
      </c>
      <c r="AH361" s="16">
        <v>20</v>
      </c>
      <c r="AI361" s="16">
        <v>192</v>
      </c>
      <c r="AJ361" s="16">
        <v>480</v>
      </c>
      <c r="AK361" s="16">
        <v>64</v>
      </c>
      <c r="AL361" s="16">
        <v>160</v>
      </c>
      <c r="AM361" s="16">
        <v>1018</v>
      </c>
      <c r="AN361" s="16">
        <v>2544</v>
      </c>
      <c r="AO361" s="15"/>
      <c r="AP361" s="15"/>
      <c r="AQ361" s="15"/>
      <c r="AR361" s="15"/>
      <c r="AS361" s="15"/>
      <c r="AT361" s="15"/>
      <c r="AU361" s="15">
        <v>400</v>
      </c>
      <c r="AV361" s="15">
        <v>1000</v>
      </c>
      <c r="AW361" s="15"/>
      <c r="AX361" s="15"/>
      <c r="AY361" s="27">
        <f t="shared" si="21"/>
        <v>11347</v>
      </c>
      <c r="AZ361" s="27">
        <f t="shared" si="22"/>
        <v>28358</v>
      </c>
    </row>
    <row r="362" spans="1:52" x14ac:dyDescent="0.25">
      <c r="A362" s="13">
        <v>452</v>
      </c>
      <c r="B362" s="19" t="s">
        <v>772</v>
      </c>
      <c r="C362" s="26" t="s">
        <v>773</v>
      </c>
      <c r="D362" s="19" t="s">
        <v>42</v>
      </c>
      <c r="E362" s="16">
        <v>20</v>
      </c>
      <c r="F362" s="16">
        <v>48</v>
      </c>
      <c r="G362" s="16"/>
      <c r="H362" s="16"/>
      <c r="I362" s="16">
        <v>320</v>
      </c>
      <c r="J362" s="16">
        <v>800</v>
      </c>
      <c r="K362" s="16">
        <v>68</v>
      </c>
      <c r="L362" s="16">
        <v>168</v>
      </c>
      <c r="M362" s="16">
        <v>150</v>
      </c>
      <c r="N362" s="16">
        <v>373</v>
      </c>
      <c r="O362" s="16">
        <v>2</v>
      </c>
      <c r="P362" s="16">
        <v>3</v>
      </c>
      <c r="Q362" s="16"/>
      <c r="R362" s="16"/>
      <c r="S362" s="16"/>
      <c r="T362" s="16"/>
      <c r="U362" s="16"/>
      <c r="V362" s="16"/>
      <c r="W362" s="16">
        <v>17</v>
      </c>
      <c r="X362" s="16">
        <v>41</v>
      </c>
      <c r="Y362" s="16">
        <v>17</v>
      </c>
      <c r="Z362" s="16">
        <v>39</v>
      </c>
      <c r="AA362" s="16"/>
      <c r="AB362" s="16"/>
      <c r="AC362" s="16"/>
      <c r="AD362" s="16"/>
      <c r="AE362" s="16"/>
      <c r="AF362" s="16"/>
      <c r="AG362" s="16"/>
      <c r="AH362" s="16"/>
      <c r="AI362" s="16">
        <v>336</v>
      </c>
      <c r="AJ362" s="16">
        <v>840</v>
      </c>
      <c r="AK362" s="16">
        <v>4</v>
      </c>
      <c r="AL362" s="16">
        <v>10</v>
      </c>
      <c r="AM362" s="16"/>
      <c r="AN362" s="16"/>
      <c r="AO362" s="15">
        <v>120</v>
      </c>
      <c r="AP362" s="15">
        <v>300</v>
      </c>
      <c r="AQ362" s="15"/>
      <c r="AR362" s="15"/>
      <c r="AS362" s="15"/>
      <c r="AT362" s="15"/>
      <c r="AU362" s="15">
        <v>72</v>
      </c>
      <c r="AV362" s="15">
        <v>180</v>
      </c>
      <c r="AW362" s="15"/>
      <c r="AX362" s="15"/>
      <c r="AY362" s="27">
        <f t="shared" si="21"/>
        <v>1126</v>
      </c>
      <c r="AZ362" s="27">
        <f t="shared" si="22"/>
        <v>2802</v>
      </c>
    </row>
    <row r="363" spans="1:52" x14ac:dyDescent="0.25">
      <c r="A363" s="13">
        <v>454</v>
      </c>
      <c r="B363" s="19" t="s">
        <v>774</v>
      </c>
      <c r="C363" s="26" t="s">
        <v>775</v>
      </c>
      <c r="D363" s="19" t="s">
        <v>42</v>
      </c>
      <c r="E363" s="16">
        <v>20</v>
      </c>
      <c r="F363" s="16">
        <v>48</v>
      </c>
      <c r="G363" s="16"/>
      <c r="H363" s="16"/>
      <c r="I363" s="16">
        <v>640</v>
      </c>
      <c r="J363" s="16">
        <v>1600</v>
      </c>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5"/>
      <c r="AP363" s="15"/>
      <c r="AQ363" s="15"/>
      <c r="AR363" s="15"/>
      <c r="AS363" s="15"/>
      <c r="AT363" s="15"/>
      <c r="AU363" s="15"/>
      <c r="AV363" s="15"/>
      <c r="AW363" s="15"/>
      <c r="AX363" s="15"/>
      <c r="AY363" s="27">
        <f t="shared" si="21"/>
        <v>660</v>
      </c>
      <c r="AZ363" s="27">
        <f t="shared" si="22"/>
        <v>1648</v>
      </c>
    </row>
    <row r="364" spans="1:52" x14ac:dyDescent="0.25">
      <c r="A364" s="13">
        <v>455</v>
      </c>
      <c r="B364" s="19" t="s">
        <v>776</v>
      </c>
      <c r="C364" s="26" t="s">
        <v>777</v>
      </c>
      <c r="D364" s="19" t="s">
        <v>42</v>
      </c>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v>4</v>
      </c>
      <c r="AL364" s="16">
        <v>10</v>
      </c>
      <c r="AM364" s="16"/>
      <c r="AN364" s="16"/>
      <c r="AO364" s="15">
        <v>24</v>
      </c>
      <c r="AP364" s="15">
        <v>60</v>
      </c>
      <c r="AQ364" s="15"/>
      <c r="AR364" s="15"/>
      <c r="AS364" s="15"/>
      <c r="AT364" s="15"/>
      <c r="AU364" s="15"/>
      <c r="AV364" s="15"/>
      <c r="AW364" s="15"/>
      <c r="AX364" s="15"/>
      <c r="AY364" s="27">
        <f t="shared" si="21"/>
        <v>28</v>
      </c>
      <c r="AZ364" s="27">
        <f t="shared" si="22"/>
        <v>70</v>
      </c>
    </row>
    <row r="365" spans="1:52" x14ac:dyDescent="0.25">
      <c r="A365" s="13">
        <v>456</v>
      </c>
      <c r="B365" s="19" t="s">
        <v>778</v>
      </c>
      <c r="C365" s="26" t="s">
        <v>779</v>
      </c>
      <c r="D365" s="19" t="s">
        <v>42</v>
      </c>
      <c r="E365" s="16">
        <v>48</v>
      </c>
      <c r="F365" s="16">
        <v>120</v>
      </c>
      <c r="G365" s="16"/>
      <c r="H365" s="16"/>
      <c r="I365" s="16"/>
      <c r="J365" s="16"/>
      <c r="K365" s="16"/>
      <c r="L365" s="16"/>
      <c r="M365" s="16"/>
      <c r="N365" s="16"/>
      <c r="O365" s="16"/>
      <c r="P365" s="16"/>
      <c r="Q365" s="16"/>
      <c r="R365" s="16"/>
      <c r="S365" s="16"/>
      <c r="T365" s="16"/>
      <c r="U365" s="16"/>
      <c r="V365" s="16"/>
      <c r="W365" s="16"/>
      <c r="X365" s="16"/>
      <c r="Y365" s="16">
        <v>10</v>
      </c>
      <c r="Z365" s="16">
        <v>24</v>
      </c>
      <c r="AA365" s="16"/>
      <c r="AB365" s="16"/>
      <c r="AC365" s="16"/>
      <c r="AD365" s="16"/>
      <c r="AE365" s="16"/>
      <c r="AF365" s="16"/>
      <c r="AG365" s="16"/>
      <c r="AH365" s="16"/>
      <c r="AI365" s="16"/>
      <c r="AJ365" s="16"/>
      <c r="AK365" s="16"/>
      <c r="AL365" s="16"/>
      <c r="AM365" s="16"/>
      <c r="AN365" s="16"/>
      <c r="AO365" s="15"/>
      <c r="AP365" s="15"/>
      <c r="AQ365" s="15"/>
      <c r="AR365" s="15"/>
      <c r="AS365" s="15"/>
      <c r="AT365" s="15"/>
      <c r="AU365" s="15"/>
      <c r="AV365" s="15"/>
      <c r="AW365" s="15"/>
      <c r="AX365" s="15"/>
      <c r="AY365" s="27">
        <f t="shared" si="21"/>
        <v>58</v>
      </c>
      <c r="AZ365" s="27">
        <f t="shared" si="22"/>
        <v>144</v>
      </c>
    </row>
    <row r="366" spans="1:52" x14ac:dyDescent="0.25">
      <c r="A366" s="13">
        <v>457</v>
      </c>
      <c r="B366" s="19" t="s">
        <v>780</v>
      </c>
      <c r="C366" s="26" t="s">
        <v>781</v>
      </c>
      <c r="D366" s="19" t="s">
        <v>42</v>
      </c>
      <c r="E366" s="16"/>
      <c r="F366" s="16"/>
      <c r="G366" s="16"/>
      <c r="H366" s="16"/>
      <c r="I366" s="16">
        <v>96</v>
      </c>
      <c r="J366" s="16">
        <v>240</v>
      </c>
      <c r="K366" s="16">
        <v>384</v>
      </c>
      <c r="L366" s="16">
        <v>960</v>
      </c>
      <c r="M366" s="16"/>
      <c r="N366" s="16"/>
      <c r="O366" s="16">
        <v>135</v>
      </c>
      <c r="P366" s="16">
        <v>336</v>
      </c>
      <c r="Q366" s="16"/>
      <c r="R366" s="16"/>
      <c r="S366" s="16"/>
      <c r="T366" s="16"/>
      <c r="U366" s="16"/>
      <c r="V366" s="16"/>
      <c r="W366" s="16">
        <v>228</v>
      </c>
      <c r="X366" s="16">
        <v>570</v>
      </c>
      <c r="Y366" s="16"/>
      <c r="Z366" s="16"/>
      <c r="AA366" s="16"/>
      <c r="AB366" s="16"/>
      <c r="AC366" s="16"/>
      <c r="AD366" s="16"/>
      <c r="AE366" s="16"/>
      <c r="AF366" s="16"/>
      <c r="AG366" s="16">
        <v>320</v>
      </c>
      <c r="AH366" s="16">
        <v>800</v>
      </c>
      <c r="AI366" s="16"/>
      <c r="AJ366" s="16"/>
      <c r="AK366" s="16">
        <v>4</v>
      </c>
      <c r="AL366" s="16">
        <v>10</v>
      </c>
      <c r="AM366" s="16"/>
      <c r="AN366" s="16"/>
      <c r="AO366" s="15"/>
      <c r="AP366" s="15"/>
      <c r="AQ366" s="15"/>
      <c r="AR366" s="15"/>
      <c r="AS366" s="15"/>
      <c r="AT366" s="15"/>
      <c r="AU366" s="15">
        <v>356</v>
      </c>
      <c r="AV366" s="15">
        <v>888</v>
      </c>
      <c r="AW366" s="15"/>
      <c r="AX366" s="15"/>
      <c r="AY366" s="27">
        <f t="shared" si="21"/>
        <v>1523</v>
      </c>
      <c r="AZ366" s="27">
        <f t="shared" si="22"/>
        <v>3804</v>
      </c>
    </row>
    <row r="367" spans="1:52" x14ac:dyDescent="0.25">
      <c r="A367" s="13">
        <v>460</v>
      </c>
      <c r="B367" s="19" t="s">
        <v>782</v>
      </c>
      <c r="C367" s="26" t="s">
        <v>783</v>
      </c>
      <c r="D367" s="19" t="s">
        <v>42</v>
      </c>
      <c r="E367" s="16">
        <v>10</v>
      </c>
      <c r="F367" s="16">
        <v>24</v>
      </c>
      <c r="G367" s="16"/>
      <c r="H367" s="16"/>
      <c r="I367" s="16">
        <v>480</v>
      </c>
      <c r="J367" s="16">
        <v>1200</v>
      </c>
      <c r="K367" s="16"/>
      <c r="L367" s="16"/>
      <c r="M367" s="16"/>
      <c r="N367" s="16"/>
      <c r="O367" s="16"/>
      <c r="P367" s="16"/>
      <c r="Q367" s="16"/>
      <c r="R367" s="16"/>
      <c r="S367" s="16">
        <v>12</v>
      </c>
      <c r="T367" s="16">
        <v>27</v>
      </c>
      <c r="U367" s="16">
        <v>17</v>
      </c>
      <c r="V367" s="16">
        <v>40</v>
      </c>
      <c r="W367" s="16">
        <v>36</v>
      </c>
      <c r="X367" s="16">
        <v>90</v>
      </c>
      <c r="Y367" s="16"/>
      <c r="Z367" s="16"/>
      <c r="AA367" s="16"/>
      <c r="AB367" s="16"/>
      <c r="AC367" s="16"/>
      <c r="AD367" s="16"/>
      <c r="AE367" s="16"/>
      <c r="AF367" s="16"/>
      <c r="AG367" s="16"/>
      <c r="AH367" s="16"/>
      <c r="AI367" s="16"/>
      <c r="AJ367" s="16"/>
      <c r="AK367" s="16"/>
      <c r="AL367" s="16"/>
      <c r="AM367" s="16"/>
      <c r="AN367" s="16"/>
      <c r="AO367" s="15">
        <v>90</v>
      </c>
      <c r="AP367" s="15">
        <v>224</v>
      </c>
      <c r="AQ367" s="15"/>
      <c r="AR367" s="15"/>
      <c r="AS367" s="15"/>
      <c r="AT367" s="15"/>
      <c r="AU367" s="15">
        <v>110</v>
      </c>
      <c r="AV367" s="15">
        <v>272</v>
      </c>
      <c r="AW367" s="15"/>
      <c r="AX367" s="15"/>
      <c r="AY367" s="27">
        <f t="shared" si="21"/>
        <v>755</v>
      </c>
      <c r="AZ367" s="27">
        <f t="shared" si="22"/>
        <v>1877</v>
      </c>
    </row>
    <row r="368" spans="1:52" x14ac:dyDescent="0.25">
      <c r="A368" s="13">
        <v>463</v>
      </c>
      <c r="B368" s="19" t="s">
        <v>784</v>
      </c>
      <c r="C368" s="26" t="s">
        <v>785</v>
      </c>
      <c r="D368" s="19" t="s">
        <v>42</v>
      </c>
      <c r="E368" s="16">
        <v>3360</v>
      </c>
      <c r="F368" s="16">
        <v>8400</v>
      </c>
      <c r="G368" s="16">
        <v>172</v>
      </c>
      <c r="H368" s="16">
        <v>430</v>
      </c>
      <c r="I368" s="16">
        <v>1096</v>
      </c>
      <c r="J368" s="16">
        <v>2736</v>
      </c>
      <c r="K368" s="16"/>
      <c r="L368" s="16"/>
      <c r="M368" s="16">
        <v>3864</v>
      </c>
      <c r="N368" s="16">
        <v>9657</v>
      </c>
      <c r="O368" s="16"/>
      <c r="P368" s="16"/>
      <c r="Q368" s="16">
        <v>204</v>
      </c>
      <c r="R368" s="16">
        <v>508</v>
      </c>
      <c r="S368" s="16">
        <v>184</v>
      </c>
      <c r="T368" s="16">
        <v>460</v>
      </c>
      <c r="U368" s="16">
        <v>280</v>
      </c>
      <c r="V368" s="16">
        <v>700</v>
      </c>
      <c r="W368" s="16"/>
      <c r="X368" s="16"/>
      <c r="Y368" s="16">
        <v>46</v>
      </c>
      <c r="Z368" s="16">
        <v>112</v>
      </c>
      <c r="AA368" s="16">
        <v>400</v>
      </c>
      <c r="AB368" s="16">
        <v>1000</v>
      </c>
      <c r="AC368" s="16">
        <v>1144</v>
      </c>
      <c r="AD368" s="16">
        <v>2860</v>
      </c>
      <c r="AE368" s="16"/>
      <c r="AF368" s="16"/>
      <c r="AG368" s="16"/>
      <c r="AH368" s="16"/>
      <c r="AI368" s="16">
        <v>8000</v>
      </c>
      <c r="AJ368" s="16">
        <v>20000</v>
      </c>
      <c r="AK368" s="16"/>
      <c r="AL368" s="16"/>
      <c r="AM368" s="16">
        <v>3592</v>
      </c>
      <c r="AN368" s="16">
        <v>8976</v>
      </c>
      <c r="AO368" s="15"/>
      <c r="AP368" s="15"/>
      <c r="AQ368" s="15">
        <v>60</v>
      </c>
      <c r="AR368" s="15">
        <v>145</v>
      </c>
      <c r="AS368" s="15"/>
      <c r="AT368" s="15"/>
      <c r="AU368" s="15"/>
      <c r="AV368" s="15"/>
      <c r="AW368" s="15"/>
      <c r="AX368" s="15"/>
      <c r="AY368" s="27">
        <f t="shared" si="21"/>
        <v>22402</v>
      </c>
      <c r="AZ368" s="27">
        <f t="shared" si="22"/>
        <v>55984</v>
      </c>
    </row>
    <row r="369" spans="1:52" x14ac:dyDescent="0.25">
      <c r="A369" s="13">
        <v>465</v>
      </c>
      <c r="B369" s="19" t="s">
        <v>786</v>
      </c>
      <c r="C369" s="26" t="s">
        <v>787</v>
      </c>
      <c r="D369" s="19" t="s">
        <v>42</v>
      </c>
      <c r="E369" s="16"/>
      <c r="F369" s="16"/>
      <c r="G369" s="16"/>
      <c r="H369" s="16"/>
      <c r="I369" s="16"/>
      <c r="J369" s="16"/>
      <c r="K369" s="16">
        <v>16</v>
      </c>
      <c r="L369" s="16">
        <v>40</v>
      </c>
      <c r="M369" s="16"/>
      <c r="N369" s="16"/>
      <c r="O369" s="16">
        <v>12</v>
      </c>
      <c r="P369" s="16">
        <v>28</v>
      </c>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5"/>
      <c r="AP369" s="15"/>
      <c r="AQ369" s="15"/>
      <c r="AR369" s="15"/>
      <c r="AS369" s="15"/>
      <c r="AT369" s="15"/>
      <c r="AU369" s="15"/>
      <c r="AV369" s="15"/>
      <c r="AW369" s="15"/>
      <c r="AX369" s="15"/>
      <c r="AY369" s="27">
        <f t="shared" si="21"/>
        <v>28</v>
      </c>
      <c r="AZ369" s="27">
        <f t="shared" si="22"/>
        <v>68</v>
      </c>
    </row>
    <row r="370" spans="1:52" x14ac:dyDescent="0.25">
      <c r="A370" s="13">
        <v>466</v>
      </c>
      <c r="B370" s="19" t="s">
        <v>788</v>
      </c>
      <c r="C370" s="26" t="s">
        <v>789</v>
      </c>
      <c r="D370" s="19" t="s">
        <v>42</v>
      </c>
      <c r="E370" s="16">
        <v>2400</v>
      </c>
      <c r="F370" s="16">
        <v>6000</v>
      </c>
      <c r="G370" s="16">
        <v>800</v>
      </c>
      <c r="H370" s="16">
        <v>2000</v>
      </c>
      <c r="I370" s="16">
        <v>2396</v>
      </c>
      <c r="J370" s="16">
        <v>5990</v>
      </c>
      <c r="K370" s="16">
        <v>206</v>
      </c>
      <c r="L370" s="16">
        <v>514</v>
      </c>
      <c r="M370" s="16">
        <v>2275</v>
      </c>
      <c r="N370" s="16">
        <v>5684</v>
      </c>
      <c r="O370" s="16">
        <v>6102</v>
      </c>
      <c r="P370" s="16">
        <v>15249</v>
      </c>
      <c r="Q370" s="16">
        <v>1056</v>
      </c>
      <c r="R370" s="16">
        <v>2640</v>
      </c>
      <c r="S370" s="16">
        <v>64</v>
      </c>
      <c r="T370" s="16">
        <v>160</v>
      </c>
      <c r="U370" s="16">
        <v>792</v>
      </c>
      <c r="V370" s="16">
        <v>1980</v>
      </c>
      <c r="W370" s="16"/>
      <c r="X370" s="16"/>
      <c r="Y370" s="16">
        <v>4260</v>
      </c>
      <c r="Z370" s="16">
        <v>10650</v>
      </c>
      <c r="AA370" s="16">
        <v>80</v>
      </c>
      <c r="AB370" s="16">
        <v>200</v>
      </c>
      <c r="AC370" s="16">
        <v>4334</v>
      </c>
      <c r="AD370" s="16">
        <v>10835</v>
      </c>
      <c r="AE370" s="16">
        <v>19200</v>
      </c>
      <c r="AF370" s="16">
        <v>48000</v>
      </c>
      <c r="AG370" s="16"/>
      <c r="AH370" s="16"/>
      <c r="AI370" s="16">
        <v>20800</v>
      </c>
      <c r="AJ370" s="16">
        <v>52000</v>
      </c>
      <c r="AK370" s="16">
        <v>22960</v>
      </c>
      <c r="AL370" s="16">
        <v>57400</v>
      </c>
      <c r="AM370" s="16">
        <v>1536</v>
      </c>
      <c r="AN370" s="16">
        <v>3840</v>
      </c>
      <c r="AO370" s="15">
        <v>2214</v>
      </c>
      <c r="AP370" s="15">
        <v>5532</v>
      </c>
      <c r="AQ370" s="15">
        <v>1328</v>
      </c>
      <c r="AR370" s="15">
        <v>3318</v>
      </c>
      <c r="AS370" s="15"/>
      <c r="AT370" s="15"/>
      <c r="AU370" s="15">
        <v>2240</v>
      </c>
      <c r="AV370" s="15">
        <v>5600</v>
      </c>
      <c r="AW370" s="15"/>
      <c r="AX370" s="15"/>
      <c r="AY370" s="27">
        <f t="shared" si="21"/>
        <v>95043</v>
      </c>
      <c r="AZ370" s="27">
        <f t="shared" si="22"/>
        <v>237592</v>
      </c>
    </row>
    <row r="371" spans="1:52" x14ac:dyDescent="0.25">
      <c r="A371" s="13">
        <v>467</v>
      </c>
      <c r="B371" s="19" t="s">
        <v>790</v>
      </c>
      <c r="C371" s="26" t="s">
        <v>791</v>
      </c>
      <c r="D371" s="19" t="s">
        <v>42</v>
      </c>
      <c r="E371" s="16"/>
      <c r="F371" s="16"/>
      <c r="G371" s="16"/>
      <c r="H371" s="16"/>
      <c r="I371" s="16"/>
      <c r="J371" s="16"/>
      <c r="K371" s="16"/>
      <c r="L371" s="16"/>
      <c r="M371" s="16">
        <v>240</v>
      </c>
      <c r="N371" s="16">
        <v>600</v>
      </c>
      <c r="O371" s="16"/>
      <c r="P371" s="16"/>
      <c r="Q371" s="16"/>
      <c r="R371" s="16"/>
      <c r="S371" s="16"/>
      <c r="T371" s="16"/>
      <c r="U371" s="16"/>
      <c r="V371" s="16"/>
      <c r="W371" s="16"/>
      <c r="X371" s="16"/>
      <c r="Y371" s="16"/>
      <c r="Z371" s="16"/>
      <c r="AA371" s="16"/>
      <c r="AB371" s="16"/>
      <c r="AC371" s="16">
        <v>18</v>
      </c>
      <c r="AD371" s="16">
        <v>45</v>
      </c>
      <c r="AE371" s="16"/>
      <c r="AF371" s="16"/>
      <c r="AG371" s="16">
        <v>1752</v>
      </c>
      <c r="AH371" s="16">
        <v>4380</v>
      </c>
      <c r="AI371" s="16"/>
      <c r="AJ371" s="16"/>
      <c r="AK371" s="16">
        <v>16</v>
      </c>
      <c r="AL371" s="16">
        <v>40</v>
      </c>
      <c r="AM371" s="16"/>
      <c r="AN371" s="16"/>
      <c r="AO371" s="15">
        <v>4040</v>
      </c>
      <c r="AP371" s="15">
        <v>10100</v>
      </c>
      <c r="AQ371" s="15"/>
      <c r="AR371" s="15"/>
      <c r="AS371" s="15"/>
      <c r="AT371" s="15"/>
      <c r="AU371" s="15"/>
      <c r="AV371" s="15"/>
      <c r="AW371" s="15"/>
      <c r="AX371" s="15"/>
      <c r="AY371" s="27">
        <f t="shared" si="21"/>
        <v>6066</v>
      </c>
      <c r="AZ371" s="27">
        <f t="shared" si="22"/>
        <v>15165</v>
      </c>
    </row>
    <row r="372" spans="1:52" x14ac:dyDescent="0.25">
      <c r="A372" s="13">
        <v>468</v>
      </c>
      <c r="B372" s="19" t="s">
        <v>792</v>
      </c>
      <c r="C372" s="26" t="s">
        <v>793</v>
      </c>
      <c r="D372" s="19" t="s">
        <v>42</v>
      </c>
      <c r="E372" s="16">
        <v>8</v>
      </c>
      <c r="F372" s="16">
        <v>16</v>
      </c>
      <c r="G372" s="16"/>
      <c r="H372" s="16"/>
      <c r="I372" s="16"/>
      <c r="J372" s="16"/>
      <c r="K372" s="16">
        <v>12</v>
      </c>
      <c r="L372" s="16">
        <v>30</v>
      </c>
      <c r="M372" s="16">
        <v>672</v>
      </c>
      <c r="N372" s="16">
        <v>1676</v>
      </c>
      <c r="O372" s="16">
        <v>30</v>
      </c>
      <c r="P372" s="16">
        <v>67</v>
      </c>
      <c r="Q372" s="16"/>
      <c r="R372" s="16"/>
      <c r="S372" s="16"/>
      <c r="T372" s="16"/>
      <c r="U372" s="16">
        <v>47</v>
      </c>
      <c r="V372" s="16">
        <v>111</v>
      </c>
      <c r="W372" s="16"/>
      <c r="X372" s="16"/>
      <c r="Y372" s="16"/>
      <c r="Z372" s="16"/>
      <c r="AA372" s="16"/>
      <c r="AB372" s="16"/>
      <c r="AC372" s="16">
        <v>12</v>
      </c>
      <c r="AD372" s="16">
        <v>30</v>
      </c>
      <c r="AE372" s="16"/>
      <c r="AF372" s="16"/>
      <c r="AG372" s="16"/>
      <c r="AH372" s="16"/>
      <c r="AI372" s="16">
        <v>96</v>
      </c>
      <c r="AJ372" s="16">
        <v>240</v>
      </c>
      <c r="AK372" s="16">
        <v>160</v>
      </c>
      <c r="AL372" s="16">
        <v>400</v>
      </c>
      <c r="AM372" s="16"/>
      <c r="AN372" s="16"/>
      <c r="AO372" s="15">
        <v>2850</v>
      </c>
      <c r="AP372" s="15">
        <v>7125</v>
      </c>
      <c r="AQ372" s="15"/>
      <c r="AR372" s="15"/>
      <c r="AS372" s="15"/>
      <c r="AT372" s="15"/>
      <c r="AU372" s="15"/>
      <c r="AV372" s="15"/>
      <c r="AW372" s="15"/>
      <c r="AX372" s="15"/>
      <c r="AY372" s="27">
        <f t="shared" si="21"/>
        <v>3887</v>
      </c>
      <c r="AZ372" s="27">
        <f t="shared" si="22"/>
        <v>9695</v>
      </c>
    </row>
    <row r="373" spans="1:52" x14ac:dyDescent="0.25">
      <c r="A373" s="13">
        <v>469</v>
      </c>
      <c r="B373" s="19" t="s">
        <v>794</v>
      </c>
      <c r="C373" s="26" t="s">
        <v>795</v>
      </c>
      <c r="D373" s="19" t="s">
        <v>42</v>
      </c>
      <c r="E373" s="16">
        <v>56</v>
      </c>
      <c r="F373" s="16">
        <v>136</v>
      </c>
      <c r="G373" s="16"/>
      <c r="H373" s="16"/>
      <c r="I373" s="16">
        <v>2496</v>
      </c>
      <c r="J373" s="16">
        <v>6240</v>
      </c>
      <c r="K373" s="16">
        <v>64</v>
      </c>
      <c r="L373" s="16">
        <v>160</v>
      </c>
      <c r="M373" s="16">
        <v>8304</v>
      </c>
      <c r="N373" s="16">
        <v>20758</v>
      </c>
      <c r="O373" s="16">
        <v>4891</v>
      </c>
      <c r="P373" s="16">
        <v>12221</v>
      </c>
      <c r="Q373" s="16"/>
      <c r="R373" s="16"/>
      <c r="S373" s="16">
        <v>4</v>
      </c>
      <c r="T373" s="16">
        <v>10</v>
      </c>
      <c r="U373" s="16">
        <v>472</v>
      </c>
      <c r="V373" s="16">
        <v>1178</v>
      </c>
      <c r="W373" s="16"/>
      <c r="X373" s="16"/>
      <c r="Y373" s="16">
        <v>5776</v>
      </c>
      <c r="Z373" s="16">
        <v>14440</v>
      </c>
      <c r="AA373" s="16">
        <v>2</v>
      </c>
      <c r="AB373" s="16">
        <v>2</v>
      </c>
      <c r="AC373" s="16">
        <v>31</v>
      </c>
      <c r="AD373" s="16">
        <v>74</v>
      </c>
      <c r="AE373" s="16"/>
      <c r="AF373" s="16"/>
      <c r="AG373" s="16">
        <v>2424</v>
      </c>
      <c r="AH373" s="16">
        <v>6060</v>
      </c>
      <c r="AI373" s="16">
        <v>5536</v>
      </c>
      <c r="AJ373" s="16">
        <v>13840</v>
      </c>
      <c r="AK373" s="16">
        <v>105</v>
      </c>
      <c r="AL373" s="16">
        <v>258</v>
      </c>
      <c r="AM373" s="16"/>
      <c r="AN373" s="16"/>
      <c r="AO373" s="15">
        <v>4200</v>
      </c>
      <c r="AP373" s="15">
        <v>10500</v>
      </c>
      <c r="AQ373" s="15"/>
      <c r="AR373" s="15"/>
      <c r="AS373" s="15"/>
      <c r="AT373" s="15"/>
      <c r="AU373" s="15">
        <v>40</v>
      </c>
      <c r="AV373" s="15">
        <v>100</v>
      </c>
      <c r="AW373" s="15"/>
      <c r="AX373" s="15"/>
      <c r="AY373" s="27">
        <f t="shared" si="21"/>
        <v>34401</v>
      </c>
      <c r="AZ373" s="27">
        <f t="shared" si="22"/>
        <v>85977</v>
      </c>
    </row>
    <row r="374" spans="1:52" x14ac:dyDescent="0.25">
      <c r="A374" s="13">
        <v>470</v>
      </c>
      <c r="B374" s="19" t="s">
        <v>796</v>
      </c>
      <c r="C374" s="26" t="s">
        <v>797</v>
      </c>
      <c r="D374" s="19" t="s">
        <v>42</v>
      </c>
      <c r="E374" s="16"/>
      <c r="F374" s="16"/>
      <c r="G374" s="16"/>
      <c r="H374" s="16"/>
      <c r="I374" s="16">
        <v>3360</v>
      </c>
      <c r="J374" s="16">
        <v>8400</v>
      </c>
      <c r="K374" s="16"/>
      <c r="L374" s="16"/>
      <c r="M374" s="16"/>
      <c r="N374" s="16"/>
      <c r="O374" s="16"/>
      <c r="P374" s="16"/>
      <c r="Q374" s="16"/>
      <c r="R374" s="16"/>
      <c r="S374" s="16"/>
      <c r="T374" s="16"/>
      <c r="U374" s="16"/>
      <c r="V374" s="16"/>
      <c r="W374" s="16">
        <v>432</v>
      </c>
      <c r="X374" s="16">
        <v>1080</v>
      </c>
      <c r="Y374" s="16"/>
      <c r="Z374" s="16"/>
      <c r="AA374" s="16"/>
      <c r="AB374" s="16"/>
      <c r="AC374" s="16">
        <v>13</v>
      </c>
      <c r="AD374" s="16">
        <v>29</v>
      </c>
      <c r="AE374" s="16"/>
      <c r="AF374" s="16"/>
      <c r="AG374" s="16">
        <v>20</v>
      </c>
      <c r="AH374" s="16">
        <v>50</v>
      </c>
      <c r="AI374" s="16">
        <v>960</v>
      </c>
      <c r="AJ374" s="16">
        <v>2400</v>
      </c>
      <c r="AK374" s="16">
        <v>480</v>
      </c>
      <c r="AL374" s="16">
        <v>1200</v>
      </c>
      <c r="AM374" s="16"/>
      <c r="AN374" s="16"/>
      <c r="AO374" s="15">
        <v>8840</v>
      </c>
      <c r="AP374" s="15">
        <v>22100</v>
      </c>
      <c r="AQ374" s="15"/>
      <c r="AR374" s="15"/>
      <c r="AS374" s="15"/>
      <c r="AT374" s="15"/>
      <c r="AU374" s="15"/>
      <c r="AV374" s="15"/>
      <c r="AW374" s="15"/>
      <c r="AX374" s="15"/>
      <c r="AY374" s="27">
        <f t="shared" si="21"/>
        <v>14105</v>
      </c>
      <c r="AZ374" s="27">
        <f t="shared" si="22"/>
        <v>35259</v>
      </c>
    </row>
    <row r="375" spans="1:52" x14ac:dyDescent="0.25">
      <c r="A375" s="13">
        <v>471</v>
      </c>
      <c r="B375" s="19" t="s">
        <v>798</v>
      </c>
      <c r="C375" s="26" t="s">
        <v>799</v>
      </c>
      <c r="D375" s="19" t="s">
        <v>42</v>
      </c>
      <c r="E375" s="16">
        <v>4</v>
      </c>
      <c r="F375" s="16">
        <v>10</v>
      </c>
      <c r="G375" s="16"/>
      <c r="H375" s="16"/>
      <c r="I375" s="16"/>
      <c r="J375" s="16"/>
      <c r="K375" s="16"/>
      <c r="L375" s="16"/>
      <c r="M375" s="16">
        <v>244</v>
      </c>
      <c r="N375" s="16">
        <v>610</v>
      </c>
      <c r="O375" s="16">
        <v>2</v>
      </c>
      <c r="P375" s="16">
        <v>3</v>
      </c>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5">
        <v>36</v>
      </c>
      <c r="AP375" s="15">
        <v>88</v>
      </c>
      <c r="AQ375" s="15"/>
      <c r="AR375" s="15"/>
      <c r="AS375" s="15"/>
      <c r="AT375" s="15"/>
      <c r="AU375" s="15"/>
      <c r="AV375" s="15"/>
      <c r="AW375" s="15"/>
      <c r="AX375" s="15"/>
      <c r="AY375" s="27">
        <f t="shared" si="21"/>
        <v>286</v>
      </c>
      <c r="AZ375" s="27">
        <f t="shared" si="22"/>
        <v>711</v>
      </c>
    </row>
    <row r="376" spans="1:52" x14ac:dyDescent="0.25">
      <c r="A376" s="13">
        <v>473</v>
      </c>
      <c r="B376" s="19" t="s">
        <v>800</v>
      </c>
      <c r="C376" s="26" t="s">
        <v>801</v>
      </c>
      <c r="D376" s="19" t="s">
        <v>42</v>
      </c>
      <c r="E376" s="16">
        <v>160</v>
      </c>
      <c r="F376" s="16">
        <v>400</v>
      </c>
      <c r="G376" s="16">
        <v>4</v>
      </c>
      <c r="H376" s="16">
        <v>10</v>
      </c>
      <c r="I376" s="16">
        <v>243</v>
      </c>
      <c r="J376" s="16">
        <v>603</v>
      </c>
      <c r="K376" s="16">
        <v>82</v>
      </c>
      <c r="L376" s="16">
        <v>202</v>
      </c>
      <c r="M376" s="16">
        <v>224</v>
      </c>
      <c r="N376" s="16">
        <v>556</v>
      </c>
      <c r="O376" s="16">
        <v>70</v>
      </c>
      <c r="P376" s="16">
        <v>171</v>
      </c>
      <c r="Q376" s="16">
        <v>120</v>
      </c>
      <c r="R376" s="16">
        <v>300</v>
      </c>
      <c r="S376" s="16">
        <v>56</v>
      </c>
      <c r="T376" s="16">
        <v>140</v>
      </c>
      <c r="U376" s="16">
        <v>1056</v>
      </c>
      <c r="V376" s="16">
        <v>2640</v>
      </c>
      <c r="W376" s="16">
        <v>136</v>
      </c>
      <c r="X376" s="16">
        <v>340</v>
      </c>
      <c r="Y376" s="16">
        <v>712</v>
      </c>
      <c r="Z376" s="16">
        <v>1780</v>
      </c>
      <c r="AA376" s="16">
        <v>46</v>
      </c>
      <c r="AB376" s="16">
        <v>114</v>
      </c>
      <c r="AC376" s="16">
        <v>103</v>
      </c>
      <c r="AD376" s="16">
        <v>256</v>
      </c>
      <c r="AE376" s="16"/>
      <c r="AF376" s="16"/>
      <c r="AG376" s="16">
        <v>524</v>
      </c>
      <c r="AH376" s="16">
        <v>1310</v>
      </c>
      <c r="AI376" s="16">
        <v>80</v>
      </c>
      <c r="AJ376" s="16">
        <v>200</v>
      </c>
      <c r="AK376" s="16">
        <v>60</v>
      </c>
      <c r="AL376" s="16">
        <v>146</v>
      </c>
      <c r="AM376" s="16"/>
      <c r="AN376" s="16"/>
      <c r="AO376" s="15">
        <v>125</v>
      </c>
      <c r="AP376" s="15">
        <v>312</v>
      </c>
      <c r="AQ376" s="15">
        <v>6</v>
      </c>
      <c r="AR376" s="15">
        <v>14</v>
      </c>
      <c r="AS376" s="15"/>
      <c r="AT376" s="15"/>
      <c r="AU376" s="15">
        <v>4</v>
      </c>
      <c r="AV376" s="15">
        <v>8</v>
      </c>
      <c r="AW376" s="15"/>
      <c r="AX376" s="15"/>
      <c r="AY376" s="27">
        <f t="shared" si="21"/>
        <v>3811</v>
      </c>
      <c r="AZ376" s="27">
        <f t="shared" si="22"/>
        <v>9502</v>
      </c>
    </row>
    <row r="377" spans="1:52" x14ac:dyDescent="0.25">
      <c r="A377" s="13">
        <v>475</v>
      </c>
      <c r="B377" s="19" t="s">
        <v>802</v>
      </c>
      <c r="C377" s="26" t="s">
        <v>803</v>
      </c>
      <c r="D377" s="19" t="s">
        <v>42</v>
      </c>
      <c r="E377" s="16"/>
      <c r="F377" s="16"/>
      <c r="G377" s="16">
        <v>156</v>
      </c>
      <c r="H377" s="16">
        <v>384</v>
      </c>
      <c r="I377" s="16">
        <v>419</v>
      </c>
      <c r="J377" s="16">
        <v>1045</v>
      </c>
      <c r="K377" s="16"/>
      <c r="L377" s="16"/>
      <c r="M377" s="16">
        <v>824</v>
      </c>
      <c r="N377" s="16">
        <v>2060</v>
      </c>
      <c r="O377" s="16"/>
      <c r="P377" s="16"/>
      <c r="Q377" s="16"/>
      <c r="R377" s="16"/>
      <c r="S377" s="16"/>
      <c r="T377" s="16"/>
      <c r="U377" s="16">
        <v>168</v>
      </c>
      <c r="V377" s="16">
        <v>420</v>
      </c>
      <c r="W377" s="16">
        <v>1240</v>
      </c>
      <c r="X377" s="16">
        <v>3100</v>
      </c>
      <c r="Y377" s="16">
        <v>4000</v>
      </c>
      <c r="Z377" s="16">
        <v>10000</v>
      </c>
      <c r="AA377" s="16">
        <v>4</v>
      </c>
      <c r="AB377" s="16">
        <v>10</v>
      </c>
      <c r="AC377" s="16">
        <v>532</v>
      </c>
      <c r="AD377" s="16">
        <v>1329</v>
      </c>
      <c r="AE377" s="16"/>
      <c r="AF377" s="16"/>
      <c r="AG377" s="16">
        <v>100</v>
      </c>
      <c r="AH377" s="16">
        <v>250</v>
      </c>
      <c r="AI377" s="16"/>
      <c r="AJ377" s="16"/>
      <c r="AK377" s="16">
        <v>14</v>
      </c>
      <c r="AL377" s="16">
        <v>34</v>
      </c>
      <c r="AM377" s="16">
        <v>168</v>
      </c>
      <c r="AN377" s="16">
        <v>416</v>
      </c>
      <c r="AO377" s="15"/>
      <c r="AP377" s="15"/>
      <c r="AQ377" s="15"/>
      <c r="AR377" s="15"/>
      <c r="AS377" s="15"/>
      <c r="AT377" s="15"/>
      <c r="AU377" s="15"/>
      <c r="AV377" s="15"/>
      <c r="AW377" s="15">
        <v>12</v>
      </c>
      <c r="AX377" s="15">
        <v>30</v>
      </c>
      <c r="AY377" s="27">
        <f t="shared" si="21"/>
        <v>7637</v>
      </c>
      <c r="AZ377" s="27">
        <f t="shared" si="22"/>
        <v>19078</v>
      </c>
    </row>
    <row r="378" spans="1:52" x14ac:dyDescent="0.25">
      <c r="A378" s="13">
        <v>476</v>
      </c>
      <c r="B378" s="19" t="s">
        <v>804</v>
      </c>
      <c r="C378" s="26" t="s">
        <v>805</v>
      </c>
      <c r="D378" s="19" t="s">
        <v>43</v>
      </c>
      <c r="E378" s="16"/>
      <c r="F378" s="16"/>
      <c r="G378" s="16">
        <v>2</v>
      </c>
      <c r="H378" s="16">
        <v>2</v>
      </c>
      <c r="I378" s="16">
        <v>10020</v>
      </c>
      <c r="J378" s="16">
        <v>25048</v>
      </c>
      <c r="K378" s="16">
        <v>128</v>
      </c>
      <c r="L378" s="16">
        <v>320</v>
      </c>
      <c r="M378" s="16">
        <v>1170</v>
      </c>
      <c r="N378" s="16">
        <v>2920</v>
      </c>
      <c r="O378" s="16">
        <v>2383</v>
      </c>
      <c r="P378" s="16">
        <v>5955</v>
      </c>
      <c r="Q378" s="16">
        <v>230</v>
      </c>
      <c r="R378" s="16">
        <v>572</v>
      </c>
      <c r="S378" s="16">
        <v>112</v>
      </c>
      <c r="T378" s="16">
        <v>280</v>
      </c>
      <c r="U378" s="16">
        <v>484</v>
      </c>
      <c r="V378" s="16">
        <v>1210</v>
      </c>
      <c r="W378" s="16"/>
      <c r="X378" s="16"/>
      <c r="Y378" s="16">
        <v>1234</v>
      </c>
      <c r="Z378" s="16">
        <v>3080</v>
      </c>
      <c r="AA378" s="16">
        <v>1604</v>
      </c>
      <c r="AB378" s="16">
        <v>4006</v>
      </c>
      <c r="AC378" s="16">
        <v>176</v>
      </c>
      <c r="AD378" s="16">
        <v>440</v>
      </c>
      <c r="AE378" s="16"/>
      <c r="AF378" s="16"/>
      <c r="AG378" s="16">
        <v>18890</v>
      </c>
      <c r="AH378" s="16">
        <v>47224</v>
      </c>
      <c r="AI378" s="16">
        <v>12200</v>
      </c>
      <c r="AJ378" s="16">
        <v>30500</v>
      </c>
      <c r="AK378" s="16">
        <v>208</v>
      </c>
      <c r="AL378" s="16">
        <v>520</v>
      </c>
      <c r="AM378" s="16">
        <v>65118</v>
      </c>
      <c r="AN378" s="16">
        <v>162792</v>
      </c>
      <c r="AO378" s="15">
        <v>1227</v>
      </c>
      <c r="AP378" s="15">
        <v>3066</v>
      </c>
      <c r="AQ378" s="15">
        <v>18</v>
      </c>
      <c r="AR378" s="15">
        <v>42</v>
      </c>
      <c r="AS378" s="15">
        <v>328</v>
      </c>
      <c r="AT378" s="15">
        <v>820</v>
      </c>
      <c r="AU378" s="15">
        <v>1020</v>
      </c>
      <c r="AV378" s="15">
        <v>2550</v>
      </c>
      <c r="AW378" s="15">
        <v>34</v>
      </c>
      <c r="AX378" s="15">
        <v>84</v>
      </c>
      <c r="AY378" s="27">
        <f t="shared" si="21"/>
        <v>116586</v>
      </c>
      <c r="AZ378" s="27">
        <f t="shared" si="22"/>
        <v>291431</v>
      </c>
    </row>
    <row r="379" spans="1:52" x14ac:dyDescent="0.25">
      <c r="A379" s="13">
        <v>478</v>
      </c>
      <c r="B379" s="19" t="s">
        <v>806</v>
      </c>
      <c r="C379" s="26" t="s">
        <v>807</v>
      </c>
      <c r="D379" s="19" t="s">
        <v>42</v>
      </c>
      <c r="E379" s="16">
        <v>10</v>
      </c>
      <c r="F379" s="16">
        <v>24</v>
      </c>
      <c r="G379" s="16"/>
      <c r="H379" s="16"/>
      <c r="I379" s="16">
        <v>880</v>
      </c>
      <c r="J379" s="16">
        <v>2200</v>
      </c>
      <c r="K379" s="16">
        <v>346</v>
      </c>
      <c r="L379" s="16">
        <v>863</v>
      </c>
      <c r="M379" s="16"/>
      <c r="N379" s="16"/>
      <c r="O379" s="16">
        <v>230</v>
      </c>
      <c r="P379" s="16">
        <v>571</v>
      </c>
      <c r="Q379" s="16">
        <v>8</v>
      </c>
      <c r="R379" s="16">
        <v>18</v>
      </c>
      <c r="S379" s="16">
        <v>4</v>
      </c>
      <c r="T379" s="16">
        <v>8</v>
      </c>
      <c r="U379" s="16">
        <v>616</v>
      </c>
      <c r="V379" s="16">
        <v>1540</v>
      </c>
      <c r="W379" s="16">
        <v>288</v>
      </c>
      <c r="X379" s="16">
        <v>720</v>
      </c>
      <c r="Y379" s="16"/>
      <c r="Z379" s="16"/>
      <c r="AA379" s="16">
        <v>48</v>
      </c>
      <c r="AB379" s="16">
        <v>120</v>
      </c>
      <c r="AC379" s="16">
        <v>27</v>
      </c>
      <c r="AD379" s="16">
        <v>66</v>
      </c>
      <c r="AE379" s="16"/>
      <c r="AF379" s="16"/>
      <c r="AG379" s="16">
        <v>290</v>
      </c>
      <c r="AH379" s="16">
        <v>725</v>
      </c>
      <c r="AI379" s="16">
        <v>672</v>
      </c>
      <c r="AJ379" s="16">
        <v>1680</v>
      </c>
      <c r="AK379" s="16"/>
      <c r="AL379" s="16"/>
      <c r="AM379" s="16"/>
      <c r="AN379" s="16"/>
      <c r="AO379" s="15">
        <v>70</v>
      </c>
      <c r="AP379" s="15">
        <v>175</v>
      </c>
      <c r="AQ379" s="15"/>
      <c r="AR379" s="15"/>
      <c r="AS379" s="15"/>
      <c r="AT379" s="15"/>
      <c r="AU379" s="15">
        <v>400</v>
      </c>
      <c r="AV379" s="15">
        <v>1000</v>
      </c>
      <c r="AW379" s="15"/>
      <c r="AX379" s="15"/>
      <c r="AY379" s="27">
        <f t="shared" si="21"/>
        <v>3889</v>
      </c>
      <c r="AZ379" s="27">
        <f t="shared" si="22"/>
        <v>9710</v>
      </c>
    </row>
    <row r="380" spans="1:52" x14ac:dyDescent="0.25">
      <c r="A380" s="13">
        <v>480</v>
      </c>
      <c r="B380" s="19" t="s">
        <v>808</v>
      </c>
      <c r="C380" s="26" t="s">
        <v>809</v>
      </c>
      <c r="D380" s="19" t="s">
        <v>42</v>
      </c>
      <c r="E380" s="16">
        <v>20</v>
      </c>
      <c r="F380" s="16">
        <v>50</v>
      </c>
      <c r="G380" s="16"/>
      <c r="H380" s="16"/>
      <c r="I380" s="16"/>
      <c r="J380" s="16"/>
      <c r="K380" s="16">
        <v>8</v>
      </c>
      <c r="L380" s="16">
        <v>20</v>
      </c>
      <c r="M380" s="16"/>
      <c r="N380" s="16"/>
      <c r="O380" s="16">
        <v>14</v>
      </c>
      <c r="P380" s="16">
        <v>33</v>
      </c>
      <c r="Q380" s="16"/>
      <c r="R380" s="16"/>
      <c r="S380" s="16"/>
      <c r="T380" s="16"/>
      <c r="U380" s="16"/>
      <c r="V380" s="16"/>
      <c r="W380" s="16">
        <v>13</v>
      </c>
      <c r="X380" s="16">
        <v>31</v>
      </c>
      <c r="Y380" s="16"/>
      <c r="Z380" s="16"/>
      <c r="AA380" s="16"/>
      <c r="AB380" s="16"/>
      <c r="AC380" s="16"/>
      <c r="AD380" s="16"/>
      <c r="AE380" s="16"/>
      <c r="AF380" s="16"/>
      <c r="AG380" s="16"/>
      <c r="AH380" s="16"/>
      <c r="AI380" s="16">
        <v>140</v>
      </c>
      <c r="AJ380" s="16">
        <v>350</v>
      </c>
      <c r="AK380" s="16">
        <v>4</v>
      </c>
      <c r="AL380" s="16">
        <v>10</v>
      </c>
      <c r="AM380" s="16"/>
      <c r="AN380" s="16"/>
      <c r="AO380" s="15"/>
      <c r="AP380" s="15"/>
      <c r="AQ380" s="15">
        <v>40</v>
      </c>
      <c r="AR380" s="15">
        <v>100</v>
      </c>
      <c r="AS380" s="15"/>
      <c r="AT380" s="15"/>
      <c r="AU380" s="15"/>
      <c r="AV380" s="15"/>
      <c r="AW380" s="15"/>
      <c r="AX380" s="15"/>
      <c r="AY380" s="27">
        <f t="shared" si="21"/>
        <v>239</v>
      </c>
      <c r="AZ380" s="27">
        <f t="shared" si="22"/>
        <v>594</v>
      </c>
    </row>
    <row r="381" spans="1:52" x14ac:dyDescent="0.25">
      <c r="A381" s="13">
        <v>481</v>
      </c>
      <c r="B381" s="19" t="s">
        <v>810</v>
      </c>
      <c r="C381" s="26" t="s">
        <v>811</v>
      </c>
      <c r="D381" s="19" t="s">
        <v>42</v>
      </c>
      <c r="E381" s="16"/>
      <c r="F381" s="16"/>
      <c r="G381" s="16"/>
      <c r="H381" s="16"/>
      <c r="I381" s="16"/>
      <c r="J381" s="16"/>
      <c r="K381" s="16"/>
      <c r="L381" s="16"/>
      <c r="M381" s="16"/>
      <c r="N381" s="16"/>
      <c r="O381" s="16"/>
      <c r="P381" s="16"/>
      <c r="Q381" s="16"/>
      <c r="R381" s="16"/>
      <c r="S381" s="16"/>
      <c r="T381" s="16"/>
      <c r="U381" s="16"/>
      <c r="V381" s="16"/>
      <c r="W381" s="16">
        <v>10</v>
      </c>
      <c r="X381" s="16">
        <v>24</v>
      </c>
      <c r="Y381" s="16"/>
      <c r="Z381" s="16"/>
      <c r="AA381" s="16"/>
      <c r="AB381" s="16"/>
      <c r="AC381" s="16"/>
      <c r="AD381" s="16"/>
      <c r="AE381" s="16"/>
      <c r="AF381" s="16"/>
      <c r="AG381" s="16"/>
      <c r="AH381" s="16"/>
      <c r="AI381" s="16"/>
      <c r="AJ381" s="16"/>
      <c r="AK381" s="16"/>
      <c r="AL381" s="16"/>
      <c r="AM381" s="16"/>
      <c r="AN381" s="16"/>
      <c r="AO381" s="15"/>
      <c r="AP381" s="15"/>
      <c r="AQ381" s="15"/>
      <c r="AR381" s="15"/>
      <c r="AS381" s="15"/>
      <c r="AT381" s="15"/>
      <c r="AU381" s="15"/>
      <c r="AV381" s="15"/>
      <c r="AW381" s="15"/>
      <c r="AX381" s="15"/>
      <c r="AY381" s="27">
        <f t="shared" si="21"/>
        <v>10</v>
      </c>
      <c r="AZ381" s="27">
        <f t="shared" si="22"/>
        <v>24</v>
      </c>
    </row>
    <row r="382" spans="1:52" x14ac:dyDescent="0.25">
      <c r="A382" s="13">
        <v>483</v>
      </c>
      <c r="B382" s="19" t="s">
        <v>812</v>
      </c>
      <c r="C382" s="26" t="s">
        <v>813</v>
      </c>
      <c r="D382" s="19" t="s">
        <v>42</v>
      </c>
      <c r="E382" s="16"/>
      <c r="F382" s="16"/>
      <c r="G382" s="16"/>
      <c r="H382" s="16"/>
      <c r="I382" s="16">
        <v>120</v>
      </c>
      <c r="J382" s="16">
        <v>300</v>
      </c>
      <c r="K382" s="16"/>
      <c r="L382" s="16"/>
      <c r="M382" s="16"/>
      <c r="N382" s="16"/>
      <c r="O382" s="16">
        <v>2</v>
      </c>
      <c r="P382" s="16">
        <v>3</v>
      </c>
      <c r="Q382" s="16"/>
      <c r="R382" s="16"/>
      <c r="S382" s="16"/>
      <c r="T382" s="16"/>
      <c r="U382" s="16"/>
      <c r="V382" s="16"/>
      <c r="W382" s="16"/>
      <c r="X382" s="16"/>
      <c r="Y382" s="16"/>
      <c r="Z382" s="16"/>
      <c r="AA382" s="16"/>
      <c r="AB382" s="16"/>
      <c r="AC382" s="16"/>
      <c r="AD382" s="16"/>
      <c r="AE382" s="16"/>
      <c r="AF382" s="16"/>
      <c r="AG382" s="16"/>
      <c r="AH382" s="16"/>
      <c r="AI382" s="16">
        <v>288</v>
      </c>
      <c r="AJ382" s="16">
        <v>720</v>
      </c>
      <c r="AK382" s="16"/>
      <c r="AL382" s="16"/>
      <c r="AM382" s="16"/>
      <c r="AN382" s="16"/>
      <c r="AO382" s="15"/>
      <c r="AP382" s="15"/>
      <c r="AQ382" s="15"/>
      <c r="AR382" s="15"/>
      <c r="AS382" s="15"/>
      <c r="AT382" s="15"/>
      <c r="AU382" s="15"/>
      <c r="AV382" s="15"/>
      <c r="AW382" s="15"/>
      <c r="AX382" s="15"/>
      <c r="AY382" s="27">
        <f t="shared" si="21"/>
        <v>410</v>
      </c>
      <c r="AZ382" s="27">
        <f t="shared" si="22"/>
        <v>1023</v>
      </c>
    </row>
    <row r="383" spans="1:52" x14ac:dyDescent="0.25">
      <c r="A383" s="13">
        <v>484</v>
      </c>
      <c r="B383" s="19" t="s">
        <v>814</v>
      </c>
      <c r="C383" s="26" t="s">
        <v>815</v>
      </c>
      <c r="D383" s="19" t="s">
        <v>42</v>
      </c>
      <c r="E383" s="16">
        <v>8</v>
      </c>
      <c r="F383" s="16">
        <v>20</v>
      </c>
      <c r="G383" s="16">
        <v>3080</v>
      </c>
      <c r="H383" s="16">
        <v>7700</v>
      </c>
      <c r="I383" s="16">
        <v>10276</v>
      </c>
      <c r="J383" s="16">
        <v>25688</v>
      </c>
      <c r="K383" s="16"/>
      <c r="L383" s="16"/>
      <c r="M383" s="16">
        <v>538</v>
      </c>
      <c r="N383" s="16">
        <v>1341</v>
      </c>
      <c r="O383" s="16">
        <v>665</v>
      </c>
      <c r="P383" s="16">
        <v>1660</v>
      </c>
      <c r="Q383" s="16">
        <v>344</v>
      </c>
      <c r="R383" s="16">
        <v>856</v>
      </c>
      <c r="S383" s="16">
        <v>80</v>
      </c>
      <c r="T383" s="16">
        <v>200</v>
      </c>
      <c r="U383" s="16">
        <v>968</v>
      </c>
      <c r="V383" s="16">
        <v>2420</v>
      </c>
      <c r="W383" s="16">
        <v>320</v>
      </c>
      <c r="X383" s="16">
        <v>800</v>
      </c>
      <c r="Y383" s="16">
        <v>818</v>
      </c>
      <c r="Z383" s="16">
        <v>2044</v>
      </c>
      <c r="AA383" s="16">
        <v>1204</v>
      </c>
      <c r="AB383" s="16">
        <v>3006</v>
      </c>
      <c r="AC383" s="16">
        <v>31</v>
      </c>
      <c r="AD383" s="16">
        <v>75</v>
      </c>
      <c r="AE383" s="16"/>
      <c r="AF383" s="16"/>
      <c r="AG383" s="16">
        <v>4660</v>
      </c>
      <c r="AH383" s="16">
        <v>11648</v>
      </c>
      <c r="AI383" s="16">
        <v>16000</v>
      </c>
      <c r="AJ383" s="16">
        <v>40000</v>
      </c>
      <c r="AK383" s="16">
        <v>1556</v>
      </c>
      <c r="AL383" s="16">
        <v>3890</v>
      </c>
      <c r="AM383" s="16">
        <v>3418</v>
      </c>
      <c r="AN383" s="16">
        <v>8544</v>
      </c>
      <c r="AO383" s="15">
        <v>4121</v>
      </c>
      <c r="AP383" s="15">
        <v>10301</v>
      </c>
      <c r="AQ383" s="15"/>
      <c r="AR383" s="15"/>
      <c r="AS383" s="15">
        <v>616</v>
      </c>
      <c r="AT383" s="15">
        <v>1540</v>
      </c>
      <c r="AU383" s="15">
        <v>262</v>
      </c>
      <c r="AV383" s="15">
        <v>654</v>
      </c>
      <c r="AW383" s="15">
        <v>8</v>
      </c>
      <c r="AX383" s="15">
        <v>16</v>
      </c>
      <c r="AY383" s="27">
        <f t="shared" si="21"/>
        <v>48973</v>
      </c>
      <c r="AZ383" s="27">
        <f t="shared" si="22"/>
        <v>122403</v>
      </c>
    </row>
    <row r="384" spans="1:52" x14ac:dyDescent="0.25">
      <c r="A384" s="13">
        <v>485</v>
      </c>
      <c r="B384" s="19" t="s">
        <v>816</v>
      </c>
      <c r="C384" s="26" t="s">
        <v>817</v>
      </c>
      <c r="D384" s="19" t="s">
        <v>42</v>
      </c>
      <c r="E384" s="16"/>
      <c r="F384" s="16"/>
      <c r="G384" s="16"/>
      <c r="H384" s="16"/>
      <c r="I384" s="16">
        <v>180</v>
      </c>
      <c r="J384" s="16">
        <v>450</v>
      </c>
      <c r="K384" s="16"/>
      <c r="L384" s="16"/>
      <c r="M384" s="16"/>
      <c r="N384" s="16"/>
      <c r="O384" s="16">
        <v>2</v>
      </c>
      <c r="P384" s="16">
        <v>3</v>
      </c>
      <c r="Q384" s="16"/>
      <c r="R384" s="16"/>
      <c r="S384" s="16"/>
      <c r="T384" s="16"/>
      <c r="U384" s="16"/>
      <c r="V384" s="16"/>
      <c r="W384" s="16"/>
      <c r="X384" s="16"/>
      <c r="Y384" s="16">
        <v>16</v>
      </c>
      <c r="Z384" s="16">
        <v>40</v>
      </c>
      <c r="AA384" s="16"/>
      <c r="AB384" s="16"/>
      <c r="AC384" s="16"/>
      <c r="AD384" s="16"/>
      <c r="AE384" s="16"/>
      <c r="AF384" s="16"/>
      <c r="AG384" s="16"/>
      <c r="AH384" s="16"/>
      <c r="AI384" s="16">
        <v>288</v>
      </c>
      <c r="AJ384" s="16">
        <v>720</v>
      </c>
      <c r="AK384" s="16"/>
      <c r="AL384" s="16"/>
      <c r="AM384" s="16"/>
      <c r="AN384" s="16"/>
      <c r="AO384" s="15"/>
      <c r="AP384" s="15"/>
      <c r="AQ384" s="15"/>
      <c r="AR384" s="15"/>
      <c r="AS384" s="15"/>
      <c r="AT384" s="15"/>
      <c r="AU384" s="15"/>
      <c r="AV384" s="15"/>
      <c r="AW384" s="15"/>
      <c r="AX384" s="15"/>
      <c r="AY384" s="27">
        <f t="shared" si="21"/>
        <v>486</v>
      </c>
      <c r="AZ384" s="27">
        <f t="shared" si="22"/>
        <v>1213</v>
      </c>
    </row>
    <row r="385" spans="1:52" x14ac:dyDescent="0.25">
      <c r="A385" s="13">
        <v>488</v>
      </c>
      <c r="B385" s="19" t="s">
        <v>818</v>
      </c>
      <c r="C385" s="26" t="s">
        <v>819</v>
      </c>
      <c r="D385" s="19" t="s">
        <v>42</v>
      </c>
      <c r="E385" s="16">
        <v>360</v>
      </c>
      <c r="F385" s="16">
        <v>900</v>
      </c>
      <c r="G385" s="16">
        <v>40</v>
      </c>
      <c r="H385" s="16">
        <v>100</v>
      </c>
      <c r="I385" s="16">
        <v>2216</v>
      </c>
      <c r="J385" s="16">
        <v>5536</v>
      </c>
      <c r="K385" s="16">
        <v>92</v>
      </c>
      <c r="L385" s="16">
        <v>230</v>
      </c>
      <c r="M385" s="16">
        <v>1304</v>
      </c>
      <c r="N385" s="16">
        <v>3260</v>
      </c>
      <c r="O385" s="16">
        <v>157</v>
      </c>
      <c r="P385" s="16">
        <v>392</v>
      </c>
      <c r="Q385" s="16">
        <v>122</v>
      </c>
      <c r="R385" s="16">
        <v>302</v>
      </c>
      <c r="S385" s="16">
        <v>192</v>
      </c>
      <c r="T385" s="16">
        <v>480</v>
      </c>
      <c r="U385" s="16">
        <v>98</v>
      </c>
      <c r="V385" s="16">
        <v>245</v>
      </c>
      <c r="W385" s="16">
        <v>36</v>
      </c>
      <c r="X385" s="16">
        <v>90</v>
      </c>
      <c r="Y385" s="16">
        <v>142</v>
      </c>
      <c r="Z385" s="16">
        <v>352</v>
      </c>
      <c r="AA385" s="16">
        <v>2</v>
      </c>
      <c r="AB385" s="16">
        <v>2</v>
      </c>
      <c r="AC385" s="16">
        <v>189</v>
      </c>
      <c r="AD385" s="16">
        <v>471</v>
      </c>
      <c r="AE385" s="16">
        <v>96</v>
      </c>
      <c r="AF385" s="16">
        <v>240</v>
      </c>
      <c r="AG385" s="16">
        <v>48</v>
      </c>
      <c r="AH385" s="16">
        <v>120</v>
      </c>
      <c r="AI385" s="16">
        <v>48</v>
      </c>
      <c r="AJ385" s="16">
        <v>120</v>
      </c>
      <c r="AK385" s="16"/>
      <c r="AL385" s="16"/>
      <c r="AM385" s="16"/>
      <c r="AN385" s="16"/>
      <c r="AO385" s="15">
        <v>280</v>
      </c>
      <c r="AP385" s="15">
        <v>700</v>
      </c>
      <c r="AQ385" s="15">
        <v>30</v>
      </c>
      <c r="AR385" s="15">
        <v>74</v>
      </c>
      <c r="AS385" s="15"/>
      <c r="AT385" s="15"/>
      <c r="AU385" s="15"/>
      <c r="AV385" s="15"/>
      <c r="AW385" s="15"/>
      <c r="AX385" s="15"/>
      <c r="AY385" s="27">
        <f t="shared" si="21"/>
        <v>5452</v>
      </c>
      <c r="AZ385" s="27">
        <f t="shared" si="22"/>
        <v>13614</v>
      </c>
    </row>
    <row r="386" spans="1:52" x14ac:dyDescent="0.25">
      <c r="A386" s="13">
        <v>489</v>
      </c>
      <c r="B386" s="19" t="s">
        <v>820</v>
      </c>
      <c r="C386" s="26" t="s">
        <v>821</v>
      </c>
      <c r="D386" s="19" t="s">
        <v>42</v>
      </c>
      <c r="E386" s="16">
        <v>610</v>
      </c>
      <c r="F386" s="16">
        <v>1524</v>
      </c>
      <c r="G386" s="16"/>
      <c r="H386" s="16"/>
      <c r="I386" s="16"/>
      <c r="J386" s="16"/>
      <c r="K386" s="16">
        <v>3242</v>
      </c>
      <c r="L386" s="16">
        <v>8099</v>
      </c>
      <c r="M386" s="16">
        <v>2816</v>
      </c>
      <c r="N386" s="16">
        <v>7040</v>
      </c>
      <c r="O386" s="16">
        <v>1320</v>
      </c>
      <c r="P386" s="16">
        <v>3300</v>
      </c>
      <c r="Q386" s="16">
        <v>606</v>
      </c>
      <c r="R386" s="16">
        <v>1512</v>
      </c>
      <c r="S386" s="16">
        <v>88</v>
      </c>
      <c r="T386" s="16">
        <v>220</v>
      </c>
      <c r="U386" s="16">
        <v>845</v>
      </c>
      <c r="V386" s="16">
        <v>2112</v>
      </c>
      <c r="W386" s="16"/>
      <c r="X386" s="16"/>
      <c r="Y386" s="16"/>
      <c r="Z386" s="16"/>
      <c r="AA386" s="16">
        <v>1600</v>
      </c>
      <c r="AB386" s="16">
        <v>4000</v>
      </c>
      <c r="AC386" s="16">
        <v>76</v>
      </c>
      <c r="AD386" s="16">
        <v>188</v>
      </c>
      <c r="AE386" s="16">
        <v>946</v>
      </c>
      <c r="AF386" s="16">
        <v>2361</v>
      </c>
      <c r="AG386" s="16">
        <v>880</v>
      </c>
      <c r="AH386" s="16">
        <v>2200</v>
      </c>
      <c r="AI386" s="16">
        <v>5760</v>
      </c>
      <c r="AJ386" s="16">
        <v>14400</v>
      </c>
      <c r="AK386" s="16">
        <v>288</v>
      </c>
      <c r="AL386" s="16">
        <v>720</v>
      </c>
      <c r="AM386" s="16"/>
      <c r="AN386" s="16"/>
      <c r="AO386" s="15">
        <v>5963</v>
      </c>
      <c r="AP386" s="15">
        <v>14903</v>
      </c>
      <c r="AQ386" s="15">
        <v>318</v>
      </c>
      <c r="AR386" s="15">
        <v>794</v>
      </c>
      <c r="AS386" s="15">
        <v>136</v>
      </c>
      <c r="AT386" s="15">
        <v>340</v>
      </c>
      <c r="AU386" s="15">
        <v>2532</v>
      </c>
      <c r="AV386" s="15">
        <v>6330</v>
      </c>
      <c r="AW386" s="15">
        <v>20</v>
      </c>
      <c r="AX386" s="15">
        <v>48</v>
      </c>
      <c r="AY386" s="27">
        <f t="shared" si="21"/>
        <v>28046</v>
      </c>
      <c r="AZ386" s="27">
        <f t="shared" si="22"/>
        <v>70091</v>
      </c>
    </row>
    <row r="387" spans="1:52" x14ac:dyDescent="0.25">
      <c r="A387" s="13">
        <v>490</v>
      </c>
      <c r="B387" s="19" t="s">
        <v>822</v>
      </c>
      <c r="C387" s="26" t="s">
        <v>823</v>
      </c>
      <c r="D387" s="19" t="s">
        <v>42</v>
      </c>
      <c r="E387" s="16">
        <v>8800</v>
      </c>
      <c r="F387" s="16">
        <v>22000</v>
      </c>
      <c r="G387" s="16">
        <v>10000</v>
      </c>
      <c r="H387" s="16">
        <v>25000</v>
      </c>
      <c r="I387" s="16">
        <v>100424</v>
      </c>
      <c r="J387" s="16">
        <v>251058</v>
      </c>
      <c r="K387" s="16">
        <v>18672</v>
      </c>
      <c r="L387" s="16">
        <v>46680</v>
      </c>
      <c r="M387" s="16">
        <v>15664</v>
      </c>
      <c r="N387" s="16">
        <v>39156</v>
      </c>
      <c r="O387" s="16">
        <v>32036</v>
      </c>
      <c r="P387" s="16">
        <v>80090</v>
      </c>
      <c r="Q387" s="16">
        <v>9760</v>
      </c>
      <c r="R387" s="16">
        <v>24396</v>
      </c>
      <c r="S387" s="16">
        <v>9600</v>
      </c>
      <c r="T387" s="16">
        <v>24000</v>
      </c>
      <c r="U387" s="16">
        <v>6256</v>
      </c>
      <c r="V387" s="16">
        <v>15640</v>
      </c>
      <c r="W387" s="16">
        <v>14240</v>
      </c>
      <c r="X387" s="16">
        <v>35600</v>
      </c>
      <c r="Y387" s="16">
        <v>13448</v>
      </c>
      <c r="Z387" s="16">
        <v>33620</v>
      </c>
      <c r="AA387" s="16">
        <v>4800</v>
      </c>
      <c r="AB387" s="16">
        <v>12000</v>
      </c>
      <c r="AC387" s="16">
        <v>28600</v>
      </c>
      <c r="AD387" s="16">
        <v>71500</v>
      </c>
      <c r="AE387" s="16">
        <v>25601</v>
      </c>
      <c r="AF387" s="16">
        <v>64000</v>
      </c>
      <c r="AG387" s="16">
        <v>11360</v>
      </c>
      <c r="AH387" s="16">
        <v>28400</v>
      </c>
      <c r="AI387" s="16">
        <v>12800</v>
      </c>
      <c r="AJ387" s="16">
        <v>32000</v>
      </c>
      <c r="AK387" s="16">
        <v>14094</v>
      </c>
      <c r="AL387" s="16">
        <v>35232</v>
      </c>
      <c r="AM387" s="16">
        <v>368</v>
      </c>
      <c r="AN387" s="16">
        <v>920</v>
      </c>
      <c r="AO387" s="15">
        <v>28570</v>
      </c>
      <c r="AP387" s="15">
        <v>71424</v>
      </c>
      <c r="AQ387" s="15">
        <v>3872</v>
      </c>
      <c r="AR387" s="15">
        <v>9680</v>
      </c>
      <c r="AS387" s="15">
        <v>72</v>
      </c>
      <c r="AT387" s="15">
        <v>180</v>
      </c>
      <c r="AU387" s="15">
        <v>24000</v>
      </c>
      <c r="AV387" s="15">
        <v>60000</v>
      </c>
      <c r="AW387" s="15">
        <v>2576</v>
      </c>
      <c r="AX387" s="15">
        <v>6440</v>
      </c>
      <c r="AY387" s="27">
        <f t="shared" si="21"/>
        <v>395613</v>
      </c>
      <c r="AZ387" s="27">
        <f t="shared" si="22"/>
        <v>989016</v>
      </c>
    </row>
    <row r="388" spans="1:52" x14ac:dyDescent="0.25">
      <c r="A388" s="13">
        <v>491</v>
      </c>
      <c r="B388" s="19" t="s">
        <v>824</v>
      </c>
      <c r="C388" s="26" t="s">
        <v>825</v>
      </c>
      <c r="D388" s="19" t="s">
        <v>42</v>
      </c>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v>24</v>
      </c>
      <c r="AJ388" s="16">
        <v>60</v>
      </c>
      <c r="AK388" s="16"/>
      <c r="AL388" s="16"/>
      <c r="AM388" s="16"/>
      <c r="AN388" s="16"/>
      <c r="AO388" s="15"/>
      <c r="AP388" s="15"/>
      <c r="AQ388" s="15">
        <v>1924</v>
      </c>
      <c r="AR388" s="15">
        <v>4808</v>
      </c>
      <c r="AS388" s="15"/>
      <c r="AT388" s="15"/>
      <c r="AU388" s="15"/>
      <c r="AV388" s="15"/>
      <c r="AW388" s="15"/>
      <c r="AX388" s="15"/>
      <c r="AY388" s="27">
        <f t="shared" si="21"/>
        <v>1948</v>
      </c>
      <c r="AZ388" s="27">
        <f t="shared" si="22"/>
        <v>4868</v>
      </c>
    </row>
    <row r="389" spans="1:52" x14ac:dyDescent="0.25">
      <c r="A389" s="13">
        <v>493</v>
      </c>
      <c r="B389" s="19" t="s">
        <v>826</v>
      </c>
      <c r="C389" s="26" t="s">
        <v>827</v>
      </c>
      <c r="D389" s="19" t="s">
        <v>42</v>
      </c>
      <c r="E389" s="16">
        <v>218</v>
      </c>
      <c r="F389" s="16">
        <v>545</v>
      </c>
      <c r="G389" s="16">
        <v>8</v>
      </c>
      <c r="H389" s="16">
        <v>20</v>
      </c>
      <c r="I389" s="16">
        <v>302</v>
      </c>
      <c r="J389" s="16">
        <v>752</v>
      </c>
      <c r="K389" s="16">
        <v>14</v>
      </c>
      <c r="L389" s="16">
        <v>34</v>
      </c>
      <c r="M389" s="16">
        <v>470</v>
      </c>
      <c r="N389" s="16">
        <v>1170</v>
      </c>
      <c r="O389" s="16"/>
      <c r="P389" s="16"/>
      <c r="Q389" s="16"/>
      <c r="R389" s="16"/>
      <c r="S389" s="16"/>
      <c r="T389" s="16"/>
      <c r="U389" s="16">
        <v>209</v>
      </c>
      <c r="V389" s="16">
        <v>520</v>
      </c>
      <c r="W389" s="16"/>
      <c r="X389" s="16"/>
      <c r="Y389" s="16">
        <v>8</v>
      </c>
      <c r="Z389" s="16">
        <v>18</v>
      </c>
      <c r="AA389" s="16"/>
      <c r="AB389" s="16"/>
      <c r="AC389" s="16">
        <v>62</v>
      </c>
      <c r="AD389" s="16">
        <v>154</v>
      </c>
      <c r="AE389" s="16">
        <v>21</v>
      </c>
      <c r="AF389" s="16">
        <v>49</v>
      </c>
      <c r="AG389" s="16">
        <v>20</v>
      </c>
      <c r="AH389" s="16">
        <v>50</v>
      </c>
      <c r="AI389" s="16">
        <v>140</v>
      </c>
      <c r="AJ389" s="16">
        <v>350</v>
      </c>
      <c r="AK389" s="16"/>
      <c r="AL389" s="16"/>
      <c r="AM389" s="16"/>
      <c r="AN389" s="16"/>
      <c r="AO389" s="15">
        <v>156</v>
      </c>
      <c r="AP389" s="15">
        <v>390</v>
      </c>
      <c r="AQ389" s="15">
        <v>30</v>
      </c>
      <c r="AR389" s="15">
        <v>72</v>
      </c>
      <c r="AS389" s="15"/>
      <c r="AT389" s="15"/>
      <c r="AU389" s="15"/>
      <c r="AV389" s="15"/>
      <c r="AW389" s="15"/>
      <c r="AX389" s="15"/>
      <c r="AY389" s="27">
        <f t="shared" si="21"/>
        <v>1658</v>
      </c>
      <c r="AZ389" s="27">
        <f t="shared" si="22"/>
        <v>4124</v>
      </c>
    </row>
    <row r="390" spans="1:52" x14ac:dyDescent="0.25">
      <c r="A390" s="13">
        <v>495</v>
      </c>
      <c r="B390" s="19" t="s">
        <v>828</v>
      </c>
      <c r="C390" s="26" t="s">
        <v>829</v>
      </c>
      <c r="D390" s="19" t="s">
        <v>42</v>
      </c>
      <c r="E390" s="16"/>
      <c r="F390" s="16"/>
      <c r="G390" s="16"/>
      <c r="H390" s="16"/>
      <c r="I390" s="16"/>
      <c r="J390" s="16"/>
      <c r="K390" s="16"/>
      <c r="L390" s="16"/>
      <c r="M390" s="16">
        <v>80</v>
      </c>
      <c r="N390" s="16">
        <v>200</v>
      </c>
      <c r="O390" s="16">
        <v>113</v>
      </c>
      <c r="P390" s="16">
        <v>280</v>
      </c>
      <c r="Q390" s="16"/>
      <c r="R390" s="16"/>
      <c r="S390" s="16"/>
      <c r="T390" s="16"/>
      <c r="U390" s="16"/>
      <c r="V390" s="16"/>
      <c r="W390" s="16"/>
      <c r="X390" s="16"/>
      <c r="Y390" s="16"/>
      <c r="Z390" s="16"/>
      <c r="AA390" s="16"/>
      <c r="AB390" s="16"/>
      <c r="AC390" s="16">
        <v>4</v>
      </c>
      <c r="AD390" s="16">
        <v>9</v>
      </c>
      <c r="AE390" s="16"/>
      <c r="AF390" s="16"/>
      <c r="AG390" s="16"/>
      <c r="AH390" s="16"/>
      <c r="AI390" s="16"/>
      <c r="AJ390" s="16"/>
      <c r="AK390" s="16"/>
      <c r="AL390" s="16"/>
      <c r="AM390" s="16"/>
      <c r="AN390" s="16"/>
      <c r="AO390" s="15"/>
      <c r="AP390" s="15"/>
      <c r="AQ390" s="15"/>
      <c r="AR390" s="15"/>
      <c r="AS390" s="15"/>
      <c r="AT390" s="15"/>
      <c r="AU390" s="15"/>
      <c r="AV390" s="15"/>
      <c r="AW390" s="15"/>
      <c r="AX390" s="15"/>
      <c r="AY390" s="27">
        <f t="shared" si="21"/>
        <v>197</v>
      </c>
      <c r="AZ390" s="27">
        <f t="shared" si="22"/>
        <v>489</v>
      </c>
    </row>
    <row r="391" spans="1:52" x14ac:dyDescent="0.25">
      <c r="A391" s="13">
        <v>496</v>
      </c>
      <c r="B391" s="19" t="s">
        <v>830</v>
      </c>
      <c r="C391" s="26" t="s">
        <v>831</v>
      </c>
      <c r="D391" s="19" t="s">
        <v>42</v>
      </c>
      <c r="E391" s="16">
        <v>34</v>
      </c>
      <c r="F391" s="16">
        <v>82</v>
      </c>
      <c r="G391" s="16"/>
      <c r="H391" s="16"/>
      <c r="I391" s="16"/>
      <c r="J391" s="16"/>
      <c r="K391" s="16"/>
      <c r="L391" s="16"/>
      <c r="M391" s="16"/>
      <c r="N391" s="16"/>
      <c r="O391" s="16"/>
      <c r="P391" s="16"/>
      <c r="Q391" s="16"/>
      <c r="R391" s="16"/>
      <c r="S391" s="16"/>
      <c r="T391" s="16"/>
      <c r="U391" s="16">
        <v>65</v>
      </c>
      <c r="V391" s="16">
        <v>161</v>
      </c>
      <c r="W391" s="16"/>
      <c r="X391" s="16"/>
      <c r="Y391" s="16"/>
      <c r="Z391" s="16"/>
      <c r="AA391" s="16"/>
      <c r="AB391" s="16"/>
      <c r="AC391" s="16">
        <v>4</v>
      </c>
      <c r="AD391" s="16">
        <v>9</v>
      </c>
      <c r="AE391" s="16"/>
      <c r="AF391" s="16"/>
      <c r="AG391" s="16"/>
      <c r="AH391" s="16"/>
      <c r="AI391" s="16"/>
      <c r="AJ391" s="16"/>
      <c r="AK391" s="16"/>
      <c r="AL391" s="16"/>
      <c r="AM391" s="16">
        <v>424</v>
      </c>
      <c r="AN391" s="16">
        <v>1056</v>
      </c>
      <c r="AO391" s="15"/>
      <c r="AP391" s="15"/>
      <c r="AQ391" s="15"/>
      <c r="AR391" s="15"/>
      <c r="AS391" s="15"/>
      <c r="AT391" s="15"/>
      <c r="AU391" s="15"/>
      <c r="AV391" s="15"/>
      <c r="AW391" s="15"/>
      <c r="AX391" s="15"/>
      <c r="AY391" s="27">
        <f t="shared" si="21"/>
        <v>527</v>
      </c>
      <c r="AZ391" s="27">
        <f t="shared" si="22"/>
        <v>1308</v>
      </c>
    </row>
    <row r="392" spans="1:52" x14ac:dyDescent="0.25">
      <c r="A392" s="13">
        <v>497</v>
      </c>
      <c r="B392" s="19" t="s">
        <v>832</v>
      </c>
      <c r="C392" s="26" t="s">
        <v>833</v>
      </c>
      <c r="D392" s="19" t="s">
        <v>42</v>
      </c>
      <c r="E392" s="16">
        <v>8</v>
      </c>
      <c r="F392" s="16">
        <v>20</v>
      </c>
      <c r="G392" s="16"/>
      <c r="H392" s="16"/>
      <c r="I392" s="16"/>
      <c r="J392" s="16"/>
      <c r="K392" s="16"/>
      <c r="L392" s="16"/>
      <c r="M392" s="16">
        <v>2331</v>
      </c>
      <c r="N392" s="16">
        <v>5824</v>
      </c>
      <c r="O392" s="16"/>
      <c r="P392" s="16"/>
      <c r="Q392" s="16"/>
      <c r="R392" s="16"/>
      <c r="S392" s="16"/>
      <c r="T392" s="16"/>
      <c r="U392" s="16"/>
      <c r="V392" s="16"/>
      <c r="W392" s="16"/>
      <c r="X392" s="16"/>
      <c r="Y392" s="16">
        <v>96</v>
      </c>
      <c r="Z392" s="16">
        <v>240</v>
      </c>
      <c r="AA392" s="16"/>
      <c r="AB392" s="16"/>
      <c r="AC392" s="16">
        <v>73</v>
      </c>
      <c r="AD392" s="16">
        <v>177</v>
      </c>
      <c r="AE392" s="16"/>
      <c r="AF392" s="16"/>
      <c r="AG392" s="16"/>
      <c r="AH392" s="16"/>
      <c r="AI392" s="16"/>
      <c r="AJ392" s="16"/>
      <c r="AK392" s="16"/>
      <c r="AL392" s="16"/>
      <c r="AM392" s="16"/>
      <c r="AN392" s="16"/>
      <c r="AO392" s="15"/>
      <c r="AP392" s="15"/>
      <c r="AQ392" s="15"/>
      <c r="AR392" s="15"/>
      <c r="AS392" s="15"/>
      <c r="AT392" s="15"/>
      <c r="AU392" s="15"/>
      <c r="AV392" s="15"/>
      <c r="AW392" s="15"/>
      <c r="AX392" s="15"/>
      <c r="AY392" s="27">
        <f t="shared" si="21"/>
        <v>2508</v>
      </c>
      <c r="AZ392" s="27">
        <f t="shared" si="22"/>
        <v>6261</v>
      </c>
    </row>
    <row r="393" spans="1:52" x14ac:dyDescent="0.25">
      <c r="A393" s="13">
        <v>498</v>
      </c>
      <c r="B393" s="19" t="s">
        <v>834</v>
      </c>
      <c r="C393" s="26" t="s">
        <v>835</v>
      </c>
      <c r="D393" s="19" t="s">
        <v>42</v>
      </c>
      <c r="E393" s="16">
        <v>68</v>
      </c>
      <c r="F393" s="16">
        <v>166</v>
      </c>
      <c r="G393" s="16"/>
      <c r="H393" s="16"/>
      <c r="I393" s="16"/>
      <c r="J393" s="16"/>
      <c r="K393" s="16"/>
      <c r="L393" s="16"/>
      <c r="M393" s="16"/>
      <c r="N393" s="16"/>
      <c r="O393" s="16">
        <v>40</v>
      </c>
      <c r="P393" s="16">
        <v>98</v>
      </c>
      <c r="Q393" s="16"/>
      <c r="R393" s="16"/>
      <c r="S393" s="16">
        <v>48</v>
      </c>
      <c r="T393" s="16">
        <v>120</v>
      </c>
      <c r="U393" s="16">
        <v>48</v>
      </c>
      <c r="V393" s="16">
        <v>120</v>
      </c>
      <c r="W393" s="16"/>
      <c r="X393" s="16"/>
      <c r="Y393" s="16"/>
      <c r="Z393" s="16"/>
      <c r="AA393" s="16">
        <v>12</v>
      </c>
      <c r="AB393" s="16">
        <v>30</v>
      </c>
      <c r="AC393" s="16">
        <v>288</v>
      </c>
      <c r="AD393" s="16">
        <v>719</v>
      </c>
      <c r="AE393" s="16"/>
      <c r="AF393" s="16"/>
      <c r="AG393" s="16">
        <v>96</v>
      </c>
      <c r="AH393" s="16">
        <v>240</v>
      </c>
      <c r="AI393" s="16">
        <v>40</v>
      </c>
      <c r="AJ393" s="16">
        <v>100</v>
      </c>
      <c r="AK393" s="16">
        <v>80</v>
      </c>
      <c r="AL393" s="16">
        <v>200</v>
      </c>
      <c r="AM393" s="16">
        <v>104</v>
      </c>
      <c r="AN393" s="16">
        <v>260</v>
      </c>
      <c r="AO393" s="15"/>
      <c r="AP393" s="15"/>
      <c r="AQ393" s="15">
        <v>13</v>
      </c>
      <c r="AR393" s="15">
        <v>29</v>
      </c>
      <c r="AS393" s="15"/>
      <c r="AT393" s="15"/>
      <c r="AU393" s="15"/>
      <c r="AV393" s="15"/>
      <c r="AW393" s="15"/>
      <c r="AX393" s="15"/>
      <c r="AY393" s="27">
        <f t="shared" si="21"/>
        <v>837</v>
      </c>
      <c r="AZ393" s="27">
        <f t="shared" si="22"/>
        <v>2082</v>
      </c>
    </row>
    <row r="394" spans="1:52" x14ac:dyDescent="0.25">
      <c r="A394" s="13">
        <v>500</v>
      </c>
      <c r="B394" s="19" t="s">
        <v>838</v>
      </c>
      <c r="C394" s="26" t="s">
        <v>839</v>
      </c>
      <c r="D394" s="19" t="s">
        <v>42</v>
      </c>
      <c r="E394" s="16"/>
      <c r="F394" s="16"/>
      <c r="G394" s="16"/>
      <c r="H394" s="16"/>
      <c r="I394" s="16">
        <v>800</v>
      </c>
      <c r="J394" s="16">
        <v>2000</v>
      </c>
      <c r="K394" s="16"/>
      <c r="L394" s="16"/>
      <c r="M394" s="16"/>
      <c r="N394" s="16"/>
      <c r="O394" s="16"/>
      <c r="P394" s="16"/>
      <c r="Q394" s="16"/>
      <c r="R394" s="16"/>
      <c r="S394" s="16"/>
      <c r="T394" s="16"/>
      <c r="U394" s="16">
        <v>68</v>
      </c>
      <c r="V394" s="16">
        <v>170</v>
      </c>
      <c r="W394" s="16"/>
      <c r="X394" s="16"/>
      <c r="Y394" s="16"/>
      <c r="Z394" s="16"/>
      <c r="AA394" s="16"/>
      <c r="AB394" s="16"/>
      <c r="AC394" s="16">
        <v>4</v>
      </c>
      <c r="AD394" s="16">
        <v>9</v>
      </c>
      <c r="AE394" s="16"/>
      <c r="AF394" s="16"/>
      <c r="AG394" s="16"/>
      <c r="AH394" s="16"/>
      <c r="AI394" s="16"/>
      <c r="AJ394" s="16"/>
      <c r="AK394" s="16"/>
      <c r="AL394" s="16"/>
      <c r="AM394" s="16"/>
      <c r="AN394" s="16"/>
      <c r="AO394" s="15"/>
      <c r="AP394" s="15"/>
      <c r="AQ394" s="15"/>
      <c r="AR394" s="15"/>
      <c r="AS394" s="15"/>
      <c r="AT394" s="15"/>
      <c r="AU394" s="15"/>
      <c r="AV394" s="15"/>
      <c r="AW394" s="15"/>
      <c r="AX394" s="15"/>
      <c r="AY394" s="27">
        <f t="shared" si="21"/>
        <v>872</v>
      </c>
      <c r="AZ394" s="27">
        <f t="shared" si="22"/>
        <v>2179</v>
      </c>
    </row>
    <row r="395" spans="1:52" x14ac:dyDescent="0.25">
      <c r="A395" s="13">
        <v>501</v>
      </c>
      <c r="B395" s="19" t="s">
        <v>840</v>
      </c>
      <c r="C395" s="26" t="s">
        <v>841</v>
      </c>
      <c r="D395" s="19" t="s">
        <v>42</v>
      </c>
      <c r="E395" s="16"/>
      <c r="F395" s="16"/>
      <c r="G395" s="16"/>
      <c r="H395" s="16"/>
      <c r="I395" s="16"/>
      <c r="J395" s="16"/>
      <c r="K395" s="16"/>
      <c r="L395" s="16"/>
      <c r="M395" s="16"/>
      <c r="N395" s="16"/>
      <c r="O395" s="16"/>
      <c r="P395" s="16"/>
      <c r="Q395" s="16"/>
      <c r="R395" s="16"/>
      <c r="S395" s="16"/>
      <c r="T395" s="16"/>
      <c r="U395" s="16">
        <v>18</v>
      </c>
      <c r="V395" s="16">
        <v>44</v>
      </c>
      <c r="W395" s="16"/>
      <c r="X395" s="16"/>
      <c r="Y395" s="16"/>
      <c r="Z395" s="16"/>
      <c r="AA395" s="16"/>
      <c r="AB395" s="16"/>
      <c r="AC395" s="16">
        <v>4</v>
      </c>
      <c r="AD395" s="16">
        <v>9</v>
      </c>
      <c r="AE395" s="16"/>
      <c r="AF395" s="16"/>
      <c r="AG395" s="16"/>
      <c r="AH395" s="16"/>
      <c r="AI395" s="16"/>
      <c r="AJ395" s="16"/>
      <c r="AK395" s="16"/>
      <c r="AL395" s="16"/>
      <c r="AM395" s="16">
        <v>424</v>
      </c>
      <c r="AN395" s="16">
        <v>1056</v>
      </c>
      <c r="AO395" s="15"/>
      <c r="AP395" s="15"/>
      <c r="AQ395" s="15"/>
      <c r="AR395" s="15"/>
      <c r="AS395" s="15"/>
      <c r="AT395" s="15"/>
      <c r="AU395" s="15"/>
      <c r="AV395" s="15"/>
      <c r="AW395" s="15"/>
      <c r="AX395" s="15"/>
      <c r="AY395" s="27">
        <f t="shared" si="21"/>
        <v>446</v>
      </c>
      <c r="AZ395" s="27">
        <f t="shared" si="22"/>
        <v>1109</v>
      </c>
    </row>
    <row r="396" spans="1:52" x14ac:dyDescent="0.25">
      <c r="A396" s="13">
        <v>502</v>
      </c>
      <c r="B396" s="19" t="s">
        <v>842</v>
      </c>
      <c r="C396" s="26" t="s">
        <v>843</v>
      </c>
      <c r="D396" s="19" t="s">
        <v>42</v>
      </c>
      <c r="E396" s="16">
        <v>1200</v>
      </c>
      <c r="F396" s="16">
        <v>3000</v>
      </c>
      <c r="G396" s="16">
        <v>14</v>
      </c>
      <c r="H396" s="16">
        <v>34</v>
      </c>
      <c r="I396" s="16">
        <v>1846</v>
      </c>
      <c r="J396" s="16">
        <v>4612</v>
      </c>
      <c r="K396" s="16">
        <v>2748</v>
      </c>
      <c r="L396" s="16">
        <v>6870</v>
      </c>
      <c r="M396" s="16">
        <v>294</v>
      </c>
      <c r="N396" s="16">
        <v>734</v>
      </c>
      <c r="O396" s="16">
        <v>2824</v>
      </c>
      <c r="P396" s="16">
        <v>7056</v>
      </c>
      <c r="Q396" s="16">
        <v>122</v>
      </c>
      <c r="R396" s="16">
        <v>302</v>
      </c>
      <c r="S396" s="16">
        <v>322</v>
      </c>
      <c r="T396" s="16">
        <v>803</v>
      </c>
      <c r="U396" s="16">
        <v>176</v>
      </c>
      <c r="V396" s="16">
        <v>440</v>
      </c>
      <c r="W396" s="16">
        <v>720</v>
      </c>
      <c r="X396" s="16">
        <v>1800</v>
      </c>
      <c r="Y396" s="16">
        <v>320</v>
      </c>
      <c r="Z396" s="16">
        <v>800</v>
      </c>
      <c r="AA396" s="16">
        <v>4</v>
      </c>
      <c r="AB396" s="16">
        <v>10</v>
      </c>
      <c r="AC396" s="16">
        <v>286</v>
      </c>
      <c r="AD396" s="16">
        <v>715</v>
      </c>
      <c r="AE396" s="16">
        <v>960</v>
      </c>
      <c r="AF396" s="16">
        <v>2400</v>
      </c>
      <c r="AG396" s="16">
        <v>192</v>
      </c>
      <c r="AH396" s="16">
        <v>480</v>
      </c>
      <c r="AI396" s="16">
        <v>4320</v>
      </c>
      <c r="AJ396" s="16">
        <v>10800</v>
      </c>
      <c r="AK396" s="16">
        <v>3360</v>
      </c>
      <c r="AL396" s="16">
        <v>8400</v>
      </c>
      <c r="AM396" s="16">
        <v>78</v>
      </c>
      <c r="AN396" s="16">
        <v>192</v>
      </c>
      <c r="AO396" s="15">
        <v>887</v>
      </c>
      <c r="AP396" s="15">
        <v>2216</v>
      </c>
      <c r="AQ396" s="15">
        <v>40</v>
      </c>
      <c r="AR396" s="15">
        <v>100</v>
      </c>
      <c r="AS396" s="15"/>
      <c r="AT396" s="15"/>
      <c r="AU396" s="15">
        <v>46</v>
      </c>
      <c r="AV396" s="15">
        <v>112</v>
      </c>
      <c r="AW396" s="15"/>
      <c r="AX396" s="15"/>
      <c r="AY396" s="27">
        <f t="shared" ref="AY396:AY407" si="23">SUM(E396+G396+I396+K396+M396+O396+Q396+S396+U396+W396+Y396+AA396+AC396+AE396+AG396+AI396+AK396+AM396+AO396+AQ396+AS396+AU396+AW396)</f>
        <v>20759</v>
      </c>
      <c r="AZ396" s="27">
        <f t="shared" ref="AZ396:AZ407" si="24">SUM(F396+H396+J396+L396+N396+P396+R396+T396+V396+X396+Z396+AB396+AD396+AF396+AH396+AJ396+AL396+AN396+AP396+AR396+AT396+AV396+AX396)</f>
        <v>51876</v>
      </c>
    </row>
    <row r="397" spans="1:52" x14ac:dyDescent="0.25">
      <c r="A397" s="13">
        <v>503</v>
      </c>
      <c r="B397" s="19" t="s">
        <v>844</v>
      </c>
      <c r="C397" s="26" t="s">
        <v>845</v>
      </c>
      <c r="D397" s="19" t="s">
        <v>42</v>
      </c>
      <c r="E397" s="16">
        <v>2400</v>
      </c>
      <c r="F397" s="16">
        <v>6000</v>
      </c>
      <c r="G397" s="16">
        <v>8000</v>
      </c>
      <c r="H397" s="16">
        <v>20000</v>
      </c>
      <c r="I397" s="16">
        <v>17466</v>
      </c>
      <c r="J397" s="16">
        <v>43664</v>
      </c>
      <c r="K397" s="16">
        <v>10032</v>
      </c>
      <c r="L397" s="16">
        <v>25080</v>
      </c>
      <c r="M397" s="16">
        <v>34992</v>
      </c>
      <c r="N397" s="16">
        <v>87477</v>
      </c>
      <c r="O397" s="16">
        <v>700</v>
      </c>
      <c r="P397" s="16">
        <v>1750</v>
      </c>
      <c r="Q397" s="16">
        <v>814</v>
      </c>
      <c r="R397" s="16">
        <v>2032</v>
      </c>
      <c r="S397" s="16">
        <v>1200</v>
      </c>
      <c r="T397" s="16">
        <v>3000</v>
      </c>
      <c r="U397" s="16">
        <v>1376</v>
      </c>
      <c r="V397" s="16">
        <v>3440</v>
      </c>
      <c r="W397" s="16"/>
      <c r="X397" s="16"/>
      <c r="Y397" s="16">
        <v>8248</v>
      </c>
      <c r="Z397" s="16">
        <v>20616</v>
      </c>
      <c r="AA397" s="16">
        <v>140</v>
      </c>
      <c r="AB397" s="16">
        <v>350</v>
      </c>
      <c r="AC397" s="16">
        <v>2860</v>
      </c>
      <c r="AD397" s="16">
        <v>7150</v>
      </c>
      <c r="AE397" s="16">
        <v>17280</v>
      </c>
      <c r="AF397" s="16">
        <v>43200</v>
      </c>
      <c r="AG397" s="16">
        <v>16760</v>
      </c>
      <c r="AH397" s="16">
        <v>41900</v>
      </c>
      <c r="AI397" s="16">
        <v>9600</v>
      </c>
      <c r="AJ397" s="16">
        <v>24000</v>
      </c>
      <c r="AK397" s="16">
        <v>2180</v>
      </c>
      <c r="AL397" s="16">
        <v>5450</v>
      </c>
      <c r="AM397" s="16">
        <v>3840</v>
      </c>
      <c r="AN397" s="16">
        <v>9600</v>
      </c>
      <c r="AO397" s="15">
        <v>20494</v>
      </c>
      <c r="AP397" s="15">
        <v>51233</v>
      </c>
      <c r="AQ397" s="15">
        <v>10372</v>
      </c>
      <c r="AR397" s="15">
        <v>25930</v>
      </c>
      <c r="AS397" s="15"/>
      <c r="AT397" s="15"/>
      <c r="AU397" s="15">
        <v>36000</v>
      </c>
      <c r="AV397" s="15">
        <v>90000</v>
      </c>
      <c r="AW397" s="15"/>
      <c r="AX397" s="15"/>
      <c r="AY397" s="27">
        <f t="shared" si="23"/>
        <v>204754</v>
      </c>
      <c r="AZ397" s="27">
        <f t="shared" si="24"/>
        <v>511872</v>
      </c>
    </row>
    <row r="398" spans="1:52" x14ac:dyDescent="0.25">
      <c r="A398" s="13">
        <v>505</v>
      </c>
      <c r="B398" s="19" t="s">
        <v>846</v>
      </c>
      <c r="C398" s="26" t="s">
        <v>847</v>
      </c>
      <c r="D398" s="19" t="s">
        <v>42</v>
      </c>
      <c r="E398" s="16"/>
      <c r="F398" s="16"/>
      <c r="G398" s="16">
        <v>4</v>
      </c>
      <c r="H398" s="16">
        <v>6</v>
      </c>
      <c r="I398" s="16"/>
      <c r="J398" s="16"/>
      <c r="K398" s="16">
        <v>4</v>
      </c>
      <c r="L398" s="16">
        <v>8</v>
      </c>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5"/>
      <c r="AP398" s="15"/>
      <c r="AQ398" s="15"/>
      <c r="AR398" s="15"/>
      <c r="AS398" s="15"/>
      <c r="AT398" s="15"/>
      <c r="AU398" s="15"/>
      <c r="AV398" s="15"/>
      <c r="AW398" s="15"/>
      <c r="AX398" s="15"/>
      <c r="AY398" s="27">
        <f t="shared" si="23"/>
        <v>8</v>
      </c>
      <c r="AZ398" s="27">
        <f t="shared" si="24"/>
        <v>14</v>
      </c>
    </row>
    <row r="399" spans="1:52" x14ac:dyDescent="0.25">
      <c r="A399" s="13">
        <v>507</v>
      </c>
      <c r="B399" s="19" t="s">
        <v>848</v>
      </c>
      <c r="C399" s="26" t="s">
        <v>849</v>
      </c>
      <c r="D399" s="19" t="s">
        <v>42</v>
      </c>
      <c r="E399" s="16">
        <v>40</v>
      </c>
      <c r="F399" s="16">
        <v>100</v>
      </c>
      <c r="G399" s="16"/>
      <c r="H399" s="16"/>
      <c r="I399" s="16">
        <v>672</v>
      </c>
      <c r="J399" s="16">
        <v>1680</v>
      </c>
      <c r="K399" s="16">
        <v>366</v>
      </c>
      <c r="L399" s="16">
        <v>914</v>
      </c>
      <c r="M399" s="16">
        <v>4326</v>
      </c>
      <c r="N399" s="16">
        <v>10812</v>
      </c>
      <c r="O399" s="16">
        <v>85</v>
      </c>
      <c r="P399" s="16">
        <v>210</v>
      </c>
      <c r="Q399" s="16">
        <v>650</v>
      </c>
      <c r="R399" s="16">
        <v>1624</v>
      </c>
      <c r="S399" s="16">
        <v>160</v>
      </c>
      <c r="T399" s="16">
        <v>400</v>
      </c>
      <c r="U399" s="16">
        <v>68</v>
      </c>
      <c r="V399" s="16">
        <v>170</v>
      </c>
      <c r="W399" s="16">
        <v>8</v>
      </c>
      <c r="X399" s="16">
        <v>18</v>
      </c>
      <c r="Y399" s="16">
        <v>334</v>
      </c>
      <c r="Z399" s="16">
        <v>832</v>
      </c>
      <c r="AA399" s="16">
        <v>40</v>
      </c>
      <c r="AB399" s="16">
        <v>100</v>
      </c>
      <c r="AC399" s="16">
        <v>154</v>
      </c>
      <c r="AD399" s="16">
        <v>385</v>
      </c>
      <c r="AE399" s="16">
        <v>2400</v>
      </c>
      <c r="AF399" s="16">
        <v>6000</v>
      </c>
      <c r="AG399" s="16"/>
      <c r="AH399" s="16"/>
      <c r="AI399" s="16">
        <v>768</v>
      </c>
      <c r="AJ399" s="16">
        <v>1920</v>
      </c>
      <c r="AK399" s="16">
        <v>40</v>
      </c>
      <c r="AL399" s="16">
        <v>100</v>
      </c>
      <c r="AM399" s="16"/>
      <c r="AN399" s="16"/>
      <c r="AO399" s="15"/>
      <c r="AP399" s="15"/>
      <c r="AQ399" s="15">
        <v>400</v>
      </c>
      <c r="AR399" s="15">
        <v>1000</v>
      </c>
      <c r="AS399" s="15"/>
      <c r="AT399" s="15"/>
      <c r="AU399" s="15">
        <v>160</v>
      </c>
      <c r="AV399" s="15">
        <v>400</v>
      </c>
      <c r="AW399" s="15"/>
      <c r="AX399" s="15"/>
      <c r="AY399" s="27">
        <f t="shared" si="23"/>
        <v>10671</v>
      </c>
      <c r="AZ399" s="27">
        <f t="shared" si="24"/>
        <v>26665</v>
      </c>
    </row>
    <row r="400" spans="1:52" x14ac:dyDescent="0.25">
      <c r="A400" s="13">
        <v>508</v>
      </c>
      <c r="B400" s="19" t="s">
        <v>850</v>
      </c>
      <c r="C400" s="26" t="s">
        <v>851</v>
      </c>
      <c r="D400" s="19" t="s">
        <v>42</v>
      </c>
      <c r="E400" s="16">
        <v>8</v>
      </c>
      <c r="F400" s="16">
        <v>20</v>
      </c>
      <c r="G400" s="16">
        <v>32</v>
      </c>
      <c r="H400" s="16">
        <v>80</v>
      </c>
      <c r="I400" s="16">
        <v>244</v>
      </c>
      <c r="J400" s="16">
        <v>608</v>
      </c>
      <c r="K400" s="16">
        <v>284</v>
      </c>
      <c r="L400" s="16">
        <v>710</v>
      </c>
      <c r="M400" s="16">
        <v>354</v>
      </c>
      <c r="N400" s="16">
        <v>881</v>
      </c>
      <c r="O400" s="16">
        <v>440</v>
      </c>
      <c r="P400" s="16">
        <v>1100</v>
      </c>
      <c r="Q400" s="16"/>
      <c r="R400" s="16"/>
      <c r="S400" s="16">
        <v>48</v>
      </c>
      <c r="T400" s="16">
        <v>120</v>
      </c>
      <c r="U400" s="16">
        <v>7</v>
      </c>
      <c r="V400" s="16">
        <v>17</v>
      </c>
      <c r="W400" s="16"/>
      <c r="X400" s="16"/>
      <c r="Y400" s="16">
        <v>10</v>
      </c>
      <c r="Z400" s="16">
        <v>24</v>
      </c>
      <c r="AA400" s="16">
        <v>4</v>
      </c>
      <c r="AB400" s="16">
        <v>10</v>
      </c>
      <c r="AC400" s="16">
        <v>62</v>
      </c>
      <c r="AD400" s="16">
        <v>154</v>
      </c>
      <c r="AE400" s="16">
        <v>255</v>
      </c>
      <c r="AF400" s="16">
        <v>635</v>
      </c>
      <c r="AG400" s="16">
        <v>40</v>
      </c>
      <c r="AH400" s="16">
        <v>100</v>
      </c>
      <c r="AI400" s="16">
        <v>800</v>
      </c>
      <c r="AJ400" s="16">
        <v>2000</v>
      </c>
      <c r="AK400" s="16">
        <v>1496</v>
      </c>
      <c r="AL400" s="16">
        <v>3740</v>
      </c>
      <c r="AM400" s="16"/>
      <c r="AN400" s="16"/>
      <c r="AO400" s="15">
        <v>442</v>
      </c>
      <c r="AP400" s="15">
        <v>1103</v>
      </c>
      <c r="AQ400" s="15"/>
      <c r="AR400" s="15"/>
      <c r="AS400" s="15"/>
      <c r="AT400" s="15"/>
      <c r="AU400" s="15"/>
      <c r="AV400" s="15"/>
      <c r="AW400" s="15"/>
      <c r="AX400" s="15"/>
      <c r="AY400" s="27">
        <f t="shared" si="23"/>
        <v>4526</v>
      </c>
      <c r="AZ400" s="27">
        <f t="shared" si="24"/>
        <v>11302</v>
      </c>
    </row>
    <row r="401" spans="1:52" x14ac:dyDescent="0.25">
      <c r="A401" s="13">
        <v>509</v>
      </c>
      <c r="B401" s="19" t="s">
        <v>852</v>
      </c>
      <c r="C401" s="26" t="s">
        <v>853</v>
      </c>
      <c r="D401" s="19" t="s">
        <v>42</v>
      </c>
      <c r="E401" s="16"/>
      <c r="F401" s="16"/>
      <c r="G401" s="16">
        <v>4</v>
      </c>
      <c r="H401" s="16">
        <v>6</v>
      </c>
      <c r="I401" s="16"/>
      <c r="J401" s="16"/>
      <c r="K401" s="16">
        <v>4</v>
      </c>
      <c r="L401" s="16">
        <v>10</v>
      </c>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5"/>
      <c r="AP401" s="15"/>
      <c r="AQ401" s="15"/>
      <c r="AR401" s="15"/>
      <c r="AS401" s="15"/>
      <c r="AT401" s="15"/>
      <c r="AU401" s="15"/>
      <c r="AV401" s="15"/>
      <c r="AW401" s="15"/>
      <c r="AX401" s="15"/>
      <c r="AY401" s="27">
        <f t="shared" si="23"/>
        <v>8</v>
      </c>
      <c r="AZ401" s="27">
        <f t="shared" si="24"/>
        <v>16</v>
      </c>
    </row>
    <row r="402" spans="1:52" x14ac:dyDescent="0.25">
      <c r="A402" s="13">
        <v>512</v>
      </c>
      <c r="B402" s="19" t="s">
        <v>854</v>
      </c>
      <c r="C402" s="26" t="s">
        <v>855</v>
      </c>
      <c r="D402" s="19" t="s">
        <v>42</v>
      </c>
      <c r="E402" s="16"/>
      <c r="F402" s="16"/>
      <c r="G402" s="16"/>
      <c r="H402" s="16"/>
      <c r="I402" s="16"/>
      <c r="J402" s="16"/>
      <c r="K402" s="16">
        <v>2</v>
      </c>
      <c r="L402" s="16">
        <v>4</v>
      </c>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5"/>
      <c r="AP402" s="15"/>
      <c r="AQ402" s="15"/>
      <c r="AR402" s="15"/>
      <c r="AS402" s="15"/>
      <c r="AT402" s="15"/>
      <c r="AU402" s="15"/>
      <c r="AV402" s="15"/>
      <c r="AW402" s="15"/>
      <c r="AX402" s="15"/>
      <c r="AY402" s="27">
        <f t="shared" si="23"/>
        <v>2</v>
      </c>
      <c r="AZ402" s="27">
        <f t="shared" si="24"/>
        <v>4</v>
      </c>
    </row>
    <row r="403" spans="1:52" x14ac:dyDescent="0.25">
      <c r="A403" s="13">
        <v>514</v>
      </c>
      <c r="B403" s="19" t="s">
        <v>858</v>
      </c>
      <c r="C403" s="26" t="s">
        <v>859</v>
      </c>
      <c r="D403" s="19" t="s">
        <v>42</v>
      </c>
      <c r="E403" s="16"/>
      <c r="F403" s="16"/>
      <c r="G403" s="16"/>
      <c r="H403" s="16"/>
      <c r="I403" s="16"/>
      <c r="J403" s="16"/>
      <c r="K403" s="16"/>
      <c r="L403" s="16"/>
      <c r="M403" s="16">
        <v>28</v>
      </c>
      <c r="N403" s="16">
        <v>65</v>
      </c>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5"/>
      <c r="AP403" s="15"/>
      <c r="AQ403" s="15"/>
      <c r="AR403" s="15"/>
      <c r="AS403" s="15"/>
      <c r="AT403" s="15"/>
      <c r="AU403" s="15"/>
      <c r="AV403" s="15"/>
      <c r="AW403" s="15"/>
      <c r="AX403" s="15"/>
      <c r="AY403" s="27">
        <f t="shared" si="23"/>
        <v>28</v>
      </c>
      <c r="AZ403" s="27">
        <f t="shared" si="24"/>
        <v>65</v>
      </c>
    </row>
    <row r="404" spans="1:52" x14ac:dyDescent="0.25">
      <c r="A404" s="13">
        <v>515</v>
      </c>
      <c r="B404" s="19" t="s">
        <v>860</v>
      </c>
      <c r="C404" s="26" t="s">
        <v>861</v>
      </c>
      <c r="D404" s="19" t="s">
        <v>42</v>
      </c>
      <c r="E404" s="16">
        <v>8</v>
      </c>
      <c r="F404" s="16">
        <v>20</v>
      </c>
      <c r="G404" s="16">
        <v>640</v>
      </c>
      <c r="H404" s="16">
        <v>1600</v>
      </c>
      <c r="I404" s="16">
        <v>9232</v>
      </c>
      <c r="J404" s="16">
        <v>23080</v>
      </c>
      <c r="K404" s="16"/>
      <c r="L404" s="16"/>
      <c r="M404" s="16"/>
      <c r="N404" s="16"/>
      <c r="O404" s="16">
        <v>1439</v>
      </c>
      <c r="P404" s="16">
        <v>3595</v>
      </c>
      <c r="Q404" s="16">
        <v>1216</v>
      </c>
      <c r="R404" s="16">
        <v>3036</v>
      </c>
      <c r="S404" s="16">
        <v>120</v>
      </c>
      <c r="T404" s="16">
        <v>300</v>
      </c>
      <c r="U404" s="16"/>
      <c r="V404" s="16"/>
      <c r="W404" s="16"/>
      <c r="X404" s="16"/>
      <c r="Y404" s="16">
        <v>1268</v>
      </c>
      <c r="Z404" s="16">
        <v>3168</v>
      </c>
      <c r="AA404" s="16">
        <v>168</v>
      </c>
      <c r="AB404" s="16">
        <v>420</v>
      </c>
      <c r="AC404" s="16"/>
      <c r="AD404" s="16"/>
      <c r="AE404" s="16">
        <v>2400</v>
      </c>
      <c r="AF404" s="16">
        <v>6000</v>
      </c>
      <c r="AG404" s="16">
        <v>96</v>
      </c>
      <c r="AH404" s="16">
        <v>240</v>
      </c>
      <c r="AI404" s="16">
        <v>1120</v>
      </c>
      <c r="AJ404" s="16">
        <v>2800</v>
      </c>
      <c r="AK404" s="16">
        <v>160</v>
      </c>
      <c r="AL404" s="16">
        <v>400</v>
      </c>
      <c r="AM404" s="16"/>
      <c r="AN404" s="16"/>
      <c r="AO404" s="15">
        <v>16888</v>
      </c>
      <c r="AP404" s="15">
        <v>42220</v>
      </c>
      <c r="AQ404" s="15">
        <v>2056</v>
      </c>
      <c r="AR404" s="15">
        <v>5140</v>
      </c>
      <c r="AS404" s="15"/>
      <c r="AT404" s="15"/>
      <c r="AU404" s="15"/>
      <c r="AV404" s="15"/>
      <c r="AW404" s="15"/>
      <c r="AX404" s="15"/>
      <c r="AY404" s="27">
        <f t="shared" si="23"/>
        <v>36811</v>
      </c>
      <c r="AZ404" s="27">
        <f t="shared" si="24"/>
        <v>92019</v>
      </c>
    </row>
    <row r="405" spans="1:52" x14ac:dyDescent="0.25">
      <c r="A405" s="13">
        <v>516</v>
      </c>
      <c r="B405" s="19" t="s">
        <v>862</v>
      </c>
      <c r="C405" s="26" t="s">
        <v>863</v>
      </c>
      <c r="D405" s="19" t="s">
        <v>42</v>
      </c>
      <c r="E405" s="16">
        <v>8</v>
      </c>
      <c r="F405" s="16">
        <v>20</v>
      </c>
      <c r="G405" s="16">
        <v>1120</v>
      </c>
      <c r="H405" s="16">
        <v>2800</v>
      </c>
      <c r="I405" s="16">
        <v>12000</v>
      </c>
      <c r="J405" s="16">
        <v>30000</v>
      </c>
      <c r="K405" s="16">
        <v>7200</v>
      </c>
      <c r="L405" s="16">
        <v>18000</v>
      </c>
      <c r="M405" s="16">
        <v>12054</v>
      </c>
      <c r="N405" s="16">
        <v>30134</v>
      </c>
      <c r="O405" s="16">
        <v>3061</v>
      </c>
      <c r="P405" s="16">
        <v>7651</v>
      </c>
      <c r="Q405" s="16">
        <v>1628</v>
      </c>
      <c r="R405" s="16">
        <v>4066</v>
      </c>
      <c r="S405" s="16">
        <v>2800</v>
      </c>
      <c r="T405" s="16">
        <v>7000</v>
      </c>
      <c r="U405" s="16">
        <v>2317</v>
      </c>
      <c r="V405" s="16">
        <v>5791</v>
      </c>
      <c r="W405" s="16">
        <v>2240</v>
      </c>
      <c r="X405" s="16">
        <v>5600</v>
      </c>
      <c r="Y405" s="16">
        <v>3136</v>
      </c>
      <c r="Z405" s="16">
        <v>7840</v>
      </c>
      <c r="AA405" s="16">
        <v>136</v>
      </c>
      <c r="AB405" s="16">
        <v>340</v>
      </c>
      <c r="AC405" s="16">
        <v>20020</v>
      </c>
      <c r="AD405" s="16">
        <v>50050</v>
      </c>
      <c r="AE405" s="16">
        <v>14400</v>
      </c>
      <c r="AF405" s="16">
        <v>36000</v>
      </c>
      <c r="AG405" s="16">
        <v>1920</v>
      </c>
      <c r="AH405" s="16">
        <v>4800</v>
      </c>
      <c r="AI405" s="16">
        <v>24000</v>
      </c>
      <c r="AJ405" s="16">
        <v>60000</v>
      </c>
      <c r="AK405" s="16">
        <v>16080</v>
      </c>
      <c r="AL405" s="16">
        <v>40200</v>
      </c>
      <c r="AM405" s="16">
        <v>11520</v>
      </c>
      <c r="AN405" s="16">
        <v>28800</v>
      </c>
      <c r="AO405" s="15">
        <v>8446</v>
      </c>
      <c r="AP405" s="15">
        <v>21112</v>
      </c>
      <c r="AQ405" s="15">
        <v>1200</v>
      </c>
      <c r="AR405" s="15">
        <v>3000</v>
      </c>
      <c r="AS405" s="15"/>
      <c r="AT405" s="15"/>
      <c r="AU405" s="15">
        <v>5600</v>
      </c>
      <c r="AV405" s="15">
        <v>14000</v>
      </c>
      <c r="AW405" s="15"/>
      <c r="AX405" s="15"/>
      <c r="AY405" s="27">
        <f t="shared" si="23"/>
        <v>150886</v>
      </c>
      <c r="AZ405" s="27">
        <f t="shared" si="24"/>
        <v>377204</v>
      </c>
    </row>
    <row r="406" spans="1:52" x14ac:dyDescent="0.25">
      <c r="A406" s="13">
        <v>518</v>
      </c>
      <c r="B406" s="19" t="s">
        <v>864</v>
      </c>
      <c r="C406" s="26" t="s">
        <v>865</v>
      </c>
      <c r="D406" s="19" t="s">
        <v>42</v>
      </c>
      <c r="E406" s="16">
        <v>44</v>
      </c>
      <c r="F406" s="16">
        <v>110</v>
      </c>
      <c r="G406" s="16">
        <v>100</v>
      </c>
      <c r="H406" s="16">
        <v>250</v>
      </c>
      <c r="I406" s="16"/>
      <c r="J406" s="16"/>
      <c r="K406" s="16">
        <v>4</v>
      </c>
      <c r="L406" s="16">
        <v>10</v>
      </c>
      <c r="M406" s="16">
        <v>1622</v>
      </c>
      <c r="N406" s="16">
        <v>4052</v>
      </c>
      <c r="O406" s="16">
        <v>9</v>
      </c>
      <c r="P406" s="16">
        <v>21</v>
      </c>
      <c r="Q406" s="16"/>
      <c r="R406" s="16"/>
      <c r="S406" s="16"/>
      <c r="T406" s="16"/>
      <c r="U406" s="16">
        <v>44</v>
      </c>
      <c r="V406" s="16">
        <v>110</v>
      </c>
      <c r="W406" s="16"/>
      <c r="X406" s="16"/>
      <c r="Y406" s="16"/>
      <c r="Z406" s="16"/>
      <c r="AA406" s="16"/>
      <c r="AB406" s="16"/>
      <c r="AC406" s="16">
        <v>2</v>
      </c>
      <c r="AD406" s="16">
        <v>3</v>
      </c>
      <c r="AE406" s="16"/>
      <c r="AF406" s="16"/>
      <c r="AG406" s="16"/>
      <c r="AH406" s="16"/>
      <c r="AI406" s="16"/>
      <c r="AJ406" s="16"/>
      <c r="AK406" s="16"/>
      <c r="AL406" s="16"/>
      <c r="AM406" s="16"/>
      <c r="AN406" s="16"/>
      <c r="AO406" s="15">
        <v>979</v>
      </c>
      <c r="AP406" s="15">
        <v>2445</v>
      </c>
      <c r="AQ406" s="15">
        <v>16</v>
      </c>
      <c r="AR406" s="15">
        <v>40</v>
      </c>
      <c r="AS406" s="15"/>
      <c r="AT406" s="15"/>
      <c r="AU406" s="15"/>
      <c r="AV406" s="15"/>
      <c r="AW406" s="15"/>
      <c r="AX406" s="15"/>
      <c r="AY406" s="27">
        <f t="shared" si="23"/>
        <v>2820</v>
      </c>
      <c r="AZ406" s="27">
        <f t="shared" si="24"/>
        <v>7041</v>
      </c>
    </row>
    <row r="407" spans="1:52" x14ac:dyDescent="0.25">
      <c r="A407" s="13">
        <v>520</v>
      </c>
      <c r="B407" s="19" t="s">
        <v>866</v>
      </c>
      <c r="C407" s="26" t="s">
        <v>867</v>
      </c>
      <c r="D407" s="19" t="s">
        <v>42</v>
      </c>
      <c r="E407" s="16">
        <v>13</v>
      </c>
      <c r="F407" s="16">
        <v>29</v>
      </c>
      <c r="G407" s="16"/>
      <c r="H407" s="16"/>
      <c r="I407" s="16">
        <v>424</v>
      </c>
      <c r="J407" s="16">
        <v>1060</v>
      </c>
      <c r="K407" s="16">
        <v>240</v>
      </c>
      <c r="L407" s="16">
        <v>600</v>
      </c>
      <c r="M407" s="16">
        <v>750</v>
      </c>
      <c r="N407" s="16">
        <v>1872</v>
      </c>
      <c r="O407" s="16"/>
      <c r="P407" s="16"/>
      <c r="Q407" s="16"/>
      <c r="R407" s="16"/>
      <c r="S407" s="16">
        <v>20</v>
      </c>
      <c r="T407" s="16">
        <v>50</v>
      </c>
      <c r="U407" s="16">
        <v>104</v>
      </c>
      <c r="V407" s="16">
        <v>260</v>
      </c>
      <c r="W407" s="16"/>
      <c r="X407" s="16"/>
      <c r="Y407" s="16">
        <v>104</v>
      </c>
      <c r="Z407" s="16">
        <v>256</v>
      </c>
      <c r="AA407" s="16">
        <v>32</v>
      </c>
      <c r="AB407" s="16">
        <v>80</v>
      </c>
      <c r="AC407" s="16">
        <v>1936</v>
      </c>
      <c r="AD407" s="16">
        <v>4840</v>
      </c>
      <c r="AE407" s="16"/>
      <c r="AF407" s="16"/>
      <c r="AG407" s="16">
        <v>20</v>
      </c>
      <c r="AH407" s="16">
        <v>50</v>
      </c>
      <c r="AI407" s="16"/>
      <c r="AJ407" s="16"/>
      <c r="AK407" s="16">
        <v>780</v>
      </c>
      <c r="AL407" s="16">
        <v>1950</v>
      </c>
      <c r="AM407" s="16"/>
      <c r="AN407" s="16"/>
      <c r="AO407" s="15"/>
      <c r="AP407" s="15"/>
      <c r="AQ407" s="15"/>
      <c r="AR407" s="15"/>
      <c r="AS407" s="15"/>
      <c r="AT407" s="15"/>
      <c r="AU407" s="15"/>
      <c r="AV407" s="15"/>
      <c r="AW407" s="15"/>
      <c r="AX407" s="15"/>
      <c r="AY407" s="27">
        <f t="shared" si="23"/>
        <v>4423</v>
      </c>
      <c r="AZ407" s="27">
        <f t="shared" si="24"/>
        <v>11047</v>
      </c>
    </row>
    <row r="408" spans="1:52" x14ac:dyDescent="0.25">
      <c r="A408" s="13">
        <v>521</v>
      </c>
      <c r="B408" s="19" t="s">
        <v>868</v>
      </c>
      <c r="C408" s="26" t="s">
        <v>869</v>
      </c>
      <c r="D408" s="19" t="s">
        <v>42</v>
      </c>
      <c r="E408" s="16">
        <v>112</v>
      </c>
      <c r="F408" s="16">
        <v>280</v>
      </c>
      <c r="G408" s="16"/>
      <c r="H408" s="16"/>
      <c r="I408" s="16"/>
      <c r="J408" s="16"/>
      <c r="K408" s="16">
        <v>76</v>
      </c>
      <c r="L408" s="16">
        <v>190</v>
      </c>
      <c r="M408" s="16">
        <v>14126</v>
      </c>
      <c r="N408" s="16">
        <v>35310</v>
      </c>
      <c r="O408" s="16">
        <v>1996</v>
      </c>
      <c r="P408" s="16">
        <v>4984</v>
      </c>
      <c r="Q408" s="16"/>
      <c r="R408" s="16"/>
      <c r="S408" s="16">
        <v>44</v>
      </c>
      <c r="T408" s="16">
        <v>108</v>
      </c>
      <c r="U408" s="16">
        <v>130</v>
      </c>
      <c r="V408" s="16">
        <v>322</v>
      </c>
      <c r="W408" s="16">
        <v>272</v>
      </c>
      <c r="X408" s="16">
        <v>680</v>
      </c>
      <c r="Y408" s="16">
        <v>6376</v>
      </c>
      <c r="Z408" s="16">
        <v>15938</v>
      </c>
      <c r="AA408" s="16"/>
      <c r="AB408" s="16"/>
      <c r="AC408" s="16">
        <v>55</v>
      </c>
      <c r="AD408" s="16">
        <v>134</v>
      </c>
      <c r="AE408" s="16">
        <v>84</v>
      </c>
      <c r="AF408" s="16">
        <v>209</v>
      </c>
      <c r="AG408" s="16">
        <v>7576</v>
      </c>
      <c r="AH408" s="16">
        <v>18940</v>
      </c>
      <c r="AI408" s="16">
        <v>5120</v>
      </c>
      <c r="AJ408" s="16">
        <v>12800</v>
      </c>
      <c r="AK408" s="16">
        <v>3200</v>
      </c>
      <c r="AL408" s="16">
        <v>8000</v>
      </c>
      <c r="AM408" s="16">
        <v>942</v>
      </c>
      <c r="AN408" s="16">
        <v>2352</v>
      </c>
      <c r="AO408" s="15">
        <v>12436</v>
      </c>
      <c r="AP408" s="15">
        <v>31090</v>
      </c>
      <c r="AQ408" s="15"/>
      <c r="AR408" s="15"/>
      <c r="AS408" s="15"/>
      <c r="AT408" s="15"/>
      <c r="AU408" s="15"/>
      <c r="AV408" s="15"/>
      <c r="AW408" s="15"/>
      <c r="AX408" s="15"/>
      <c r="AY408" s="27">
        <f t="shared" ref="AY408:AY471" si="25">SUM(E408+G408+I408+K408+M408+O408+Q408+S408+U408+W408+Y408+AA408+AC408+AE408+AG408+AI408+AK408+AM408+AO408+AQ408+AS408+AU408+AW408)</f>
        <v>52545</v>
      </c>
      <c r="AZ408" s="27">
        <f t="shared" ref="AZ408:AZ471" si="26">SUM(F408+H408+J408+L408+N408+P408+R408+T408+V408+X408+Z408+AB408+AD408+AF408+AH408+AJ408+AL408+AN408+AP408+AR408+AT408+AV408+AX408)</f>
        <v>131337</v>
      </c>
    </row>
    <row r="409" spans="1:52" x14ac:dyDescent="0.25">
      <c r="A409" s="13">
        <v>522</v>
      </c>
      <c r="B409" s="19" t="s">
        <v>870</v>
      </c>
      <c r="C409" s="26" t="s">
        <v>871</v>
      </c>
      <c r="D409" s="19" t="s">
        <v>42</v>
      </c>
      <c r="E409" s="16"/>
      <c r="F409" s="16"/>
      <c r="G409" s="16"/>
      <c r="H409" s="16"/>
      <c r="I409" s="16"/>
      <c r="J409" s="16"/>
      <c r="K409" s="16"/>
      <c r="L409" s="16"/>
      <c r="M409" s="16"/>
      <c r="N409" s="16"/>
      <c r="O409" s="16">
        <v>10</v>
      </c>
      <c r="P409" s="16">
        <v>24</v>
      </c>
      <c r="Q409" s="16"/>
      <c r="R409" s="16"/>
      <c r="S409" s="16"/>
      <c r="T409" s="16"/>
      <c r="U409" s="16"/>
      <c r="V409" s="16"/>
      <c r="W409" s="16"/>
      <c r="X409" s="16"/>
      <c r="Y409" s="16">
        <v>10</v>
      </c>
      <c r="Z409" s="16">
        <v>24</v>
      </c>
      <c r="AA409" s="16"/>
      <c r="AB409" s="16"/>
      <c r="AC409" s="16">
        <v>11</v>
      </c>
      <c r="AD409" s="16">
        <v>25</v>
      </c>
      <c r="AE409" s="16">
        <v>15</v>
      </c>
      <c r="AF409" s="16">
        <v>35</v>
      </c>
      <c r="AG409" s="16"/>
      <c r="AH409" s="16"/>
      <c r="AI409" s="16"/>
      <c r="AJ409" s="16"/>
      <c r="AK409" s="16"/>
      <c r="AL409" s="16"/>
      <c r="AM409" s="16"/>
      <c r="AN409" s="16"/>
      <c r="AO409" s="15">
        <v>8</v>
      </c>
      <c r="AP409" s="15">
        <v>20</v>
      </c>
      <c r="AQ409" s="15"/>
      <c r="AR409" s="15"/>
      <c r="AS409" s="15"/>
      <c r="AT409" s="15"/>
      <c r="AU409" s="15"/>
      <c r="AV409" s="15"/>
      <c r="AW409" s="15"/>
      <c r="AX409" s="15"/>
      <c r="AY409" s="27">
        <f t="shared" si="25"/>
        <v>54</v>
      </c>
      <c r="AZ409" s="27">
        <f t="shared" si="26"/>
        <v>128</v>
      </c>
    </row>
    <row r="410" spans="1:52" x14ac:dyDescent="0.25">
      <c r="A410" s="13">
        <v>524</v>
      </c>
      <c r="B410" s="19" t="s">
        <v>872</v>
      </c>
      <c r="C410" s="26" t="s">
        <v>873</v>
      </c>
      <c r="D410" s="19" t="s">
        <v>42</v>
      </c>
      <c r="E410" s="16"/>
      <c r="F410" s="16"/>
      <c r="G410" s="16"/>
      <c r="H410" s="16"/>
      <c r="I410" s="16">
        <v>40</v>
      </c>
      <c r="J410" s="16">
        <v>100</v>
      </c>
      <c r="K410" s="16">
        <v>20</v>
      </c>
      <c r="L410" s="16">
        <v>50</v>
      </c>
      <c r="M410" s="16"/>
      <c r="N410" s="16"/>
      <c r="O410" s="16"/>
      <c r="P410" s="16"/>
      <c r="Q410" s="16"/>
      <c r="R410" s="16"/>
      <c r="S410" s="16">
        <v>20</v>
      </c>
      <c r="T410" s="16">
        <v>50</v>
      </c>
      <c r="U410" s="16"/>
      <c r="V410" s="16"/>
      <c r="W410" s="16">
        <v>720</v>
      </c>
      <c r="X410" s="16">
        <v>1800</v>
      </c>
      <c r="Y410" s="16"/>
      <c r="Z410" s="16"/>
      <c r="AA410" s="16"/>
      <c r="AB410" s="16"/>
      <c r="AC410" s="16"/>
      <c r="AD410" s="16"/>
      <c r="AE410" s="16"/>
      <c r="AF410" s="16"/>
      <c r="AG410" s="16"/>
      <c r="AH410" s="16"/>
      <c r="AI410" s="16">
        <v>80</v>
      </c>
      <c r="AJ410" s="16">
        <v>200</v>
      </c>
      <c r="AK410" s="16">
        <v>4</v>
      </c>
      <c r="AL410" s="16">
        <v>10</v>
      </c>
      <c r="AM410" s="16"/>
      <c r="AN410" s="16"/>
      <c r="AO410" s="15"/>
      <c r="AP410" s="15"/>
      <c r="AQ410" s="15"/>
      <c r="AR410" s="15"/>
      <c r="AS410" s="15"/>
      <c r="AT410" s="15"/>
      <c r="AU410" s="15"/>
      <c r="AV410" s="15"/>
      <c r="AW410" s="15"/>
      <c r="AX410" s="15"/>
      <c r="AY410" s="27">
        <f t="shared" si="25"/>
        <v>884</v>
      </c>
      <c r="AZ410" s="27">
        <f t="shared" si="26"/>
        <v>2210</v>
      </c>
    </row>
    <row r="411" spans="1:52" x14ac:dyDescent="0.25">
      <c r="A411" s="13">
        <v>525</v>
      </c>
      <c r="B411" s="19" t="s">
        <v>874</v>
      </c>
      <c r="C411" s="26" t="s">
        <v>875</v>
      </c>
      <c r="D411" s="19" t="s">
        <v>42</v>
      </c>
      <c r="E411" s="16">
        <v>80</v>
      </c>
      <c r="F411" s="16">
        <v>200</v>
      </c>
      <c r="G411" s="16"/>
      <c r="H411" s="16"/>
      <c r="I411" s="16">
        <v>140</v>
      </c>
      <c r="J411" s="16">
        <v>350</v>
      </c>
      <c r="K411" s="16">
        <v>64</v>
      </c>
      <c r="L411" s="16">
        <v>160</v>
      </c>
      <c r="M411" s="16"/>
      <c r="N411" s="16"/>
      <c r="O411" s="16">
        <v>155</v>
      </c>
      <c r="P411" s="16">
        <v>386</v>
      </c>
      <c r="Q411" s="16">
        <v>16</v>
      </c>
      <c r="R411" s="16">
        <v>38</v>
      </c>
      <c r="S411" s="16"/>
      <c r="T411" s="16"/>
      <c r="U411" s="16">
        <v>440</v>
      </c>
      <c r="V411" s="16">
        <v>1100</v>
      </c>
      <c r="W411" s="16">
        <v>29</v>
      </c>
      <c r="X411" s="16">
        <v>72</v>
      </c>
      <c r="Y411" s="16">
        <v>40</v>
      </c>
      <c r="Z411" s="16">
        <v>96</v>
      </c>
      <c r="AA411" s="16"/>
      <c r="AB411" s="16"/>
      <c r="AC411" s="16">
        <v>286</v>
      </c>
      <c r="AD411" s="16">
        <v>715</v>
      </c>
      <c r="AE411" s="16">
        <v>768</v>
      </c>
      <c r="AF411" s="16">
        <v>1920</v>
      </c>
      <c r="AG411" s="16"/>
      <c r="AH411" s="16"/>
      <c r="AI411" s="16"/>
      <c r="AJ411" s="16"/>
      <c r="AK411" s="16">
        <v>156</v>
      </c>
      <c r="AL411" s="16">
        <v>390</v>
      </c>
      <c r="AM411" s="16">
        <v>68</v>
      </c>
      <c r="AN411" s="16">
        <v>168</v>
      </c>
      <c r="AO411" s="15">
        <v>236</v>
      </c>
      <c r="AP411" s="15">
        <v>590</v>
      </c>
      <c r="AQ411" s="15">
        <v>2</v>
      </c>
      <c r="AR411" s="15">
        <v>4</v>
      </c>
      <c r="AS411" s="15"/>
      <c r="AT411" s="15"/>
      <c r="AU411" s="15">
        <v>2</v>
      </c>
      <c r="AV411" s="15">
        <v>4</v>
      </c>
      <c r="AW411" s="15"/>
      <c r="AX411" s="15"/>
      <c r="AY411" s="27">
        <f t="shared" si="25"/>
        <v>2482</v>
      </c>
      <c r="AZ411" s="27">
        <f t="shared" si="26"/>
        <v>6193</v>
      </c>
    </row>
    <row r="412" spans="1:52" x14ac:dyDescent="0.25">
      <c r="A412" s="13">
        <v>526</v>
      </c>
      <c r="B412" s="19" t="s">
        <v>876</v>
      </c>
      <c r="C412" s="26" t="s">
        <v>877</v>
      </c>
      <c r="D412" s="19" t="s">
        <v>42</v>
      </c>
      <c r="E412" s="16"/>
      <c r="F412" s="16"/>
      <c r="G412" s="16"/>
      <c r="H412" s="16"/>
      <c r="I412" s="16"/>
      <c r="J412" s="16"/>
      <c r="K412" s="16"/>
      <c r="L412" s="16"/>
      <c r="M412" s="16"/>
      <c r="N412" s="16"/>
      <c r="O412" s="16">
        <v>113</v>
      </c>
      <c r="P412" s="16">
        <v>280</v>
      </c>
      <c r="Q412" s="16"/>
      <c r="R412" s="16"/>
      <c r="S412" s="16"/>
      <c r="T412" s="16"/>
      <c r="U412" s="16"/>
      <c r="V412" s="16"/>
      <c r="W412" s="16"/>
      <c r="X412" s="16"/>
      <c r="Y412" s="16"/>
      <c r="Z412" s="16"/>
      <c r="AA412" s="16"/>
      <c r="AB412" s="16"/>
      <c r="AC412" s="16">
        <v>30</v>
      </c>
      <c r="AD412" s="16">
        <v>72</v>
      </c>
      <c r="AE412" s="16"/>
      <c r="AF412" s="16"/>
      <c r="AG412" s="16"/>
      <c r="AH412" s="16"/>
      <c r="AI412" s="16">
        <v>384</v>
      </c>
      <c r="AJ412" s="16">
        <v>960</v>
      </c>
      <c r="AK412" s="16"/>
      <c r="AL412" s="16"/>
      <c r="AM412" s="16"/>
      <c r="AN412" s="16"/>
      <c r="AO412" s="15">
        <v>358</v>
      </c>
      <c r="AP412" s="15">
        <v>895</v>
      </c>
      <c r="AQ412" s="15"/>
      <c r="AR412" s="15"/>
      <c r="AS412" s="15"/>
      <c r="AT412" s="15"/>
      <c r="AU412" s="15"/>
      <c r="AV412" s="15"/>
      <c r="AW412" s="15"/>
      <c r="AX412" s="15"/>
      <c r="AY412" s="27">
        <f t="shared" si="25"/>
        <v>885</v>
      </c>
      <c r="AZ412" s="27">
        <f t="shared" si="26"/>
        <v>2207</v>
      </c>
    </row>
    <row r="413" spans="1:52" x14ac:dyDescent="0.25">
      <c r="A413" s="13">
        <v>527</v>
      </c>
      <c r="B413" s="19" t="s">
        <v>878</v>
      </c>
      <c r="C413" s="26" t="s">
        <v>879</v>
      </c>
      <c r="D413" s="19" t="s">
        <v>42</v>
      </c>
      <c r="E413" s="16">
        <v>60</v>
      </c>
      <c r="F413" s="16">
        <v>150</v>
      </c>
      <c r="G413" s="16"/>
      <c r="H413" s="16"/>
      <c r="I413" s="16"/>
      <c r="J413" s="16"/>
      <c r="K413" s="16">
        <v>24</v>
      </c>
      <c r="L413" s="16">
        <v>56</v>
      </c>
      <c r="M413" s="16">
        <v>317</v>
      </c>
      <c r="N413" s="16">
        <v>792</v>
      </c>
      <c r="O413" s="16">
        <v>53</v>
      </c>
      <c r="P413" s="16">
        <v>130</v>
      </c>
      <c r="Q413" s="16"/>
      <c r="R413" s="16"/>
      <c r="S413" s="16">
        <v>49</v>
      </c>
      <c r="T413" s="16">
        <v>120</v>
      </c>
      <c r="U413" s="16"/>
      <c r="V413" s="16"/>
      <c r="W413" s="16">
        <v>144</v>
      </c>
      <c r="X413" s="16">
        <v>360</v>
      </c>
      <c r="Y413" s="16">
        <v>8</v>
      </c>
      <c r="Z413" s="16">
        <v>16</v>
      </c>
      <c r="AA413" s="16"/>
      <c r="AB413" s="16"/>
      <c r="AC413" s="16">
        <v>70</v>
      </c>
      <c r="AD413" s="16">
        <v>172</v>
      </c>
      <c r="AE413" s="16">
        <v>976</v>
      </c>
      <c r="AF413" s="16">
        <v>2440</v>
      </c>
      <c r="AG413" s="16">
        <v>9</v>
      </c>
      <c r="AH413" s="16">
        <v>22</v>
      </c>
      <c r="AI413" s="16">
        <v>352</v>
      </c>
      <c r="AJ413" s="16">
        <v>880</v>
      </c>
      <c r="AK413" s="16"/>
      <c r="AL413" s="16"/>
      <c r="AM413" s="16"/>
      <c r="AN413" s="16"/>
      <c r="AO413" s="15">
        <v>556</v>
      </c>
      <c r="AP413" s="15">
        <v>1390</v>
      </c>
      <c r="AQ413" s="15"/>
      <c r="AR413" s="15"/>
      <c r="AS413" s="15"/>
      <c r="AT413" s="15"/>
      <c r="AU413" s="15"/>
      <c r="AV413" s="15"/>
      <c r="AW413" s="15"/>
      <c r="AX413" s="15"/>
      <c r="AY413" s="27">
        <f t="shared" si="25"/>
        <v>2618</v>
      </c>
      <c r="AZ413" s="27">
        <f t="shared" si="26"/>
        <v>6528</v>
      </c>
    </row>
    <row r="414" spans="1:52" x14ac:dyDescent="0.25">
      <c r="A414" s="13">
        <v>528</v>
      </c>
      <c r="B414" s="19" t="s">
        <v>880</v>
      </c>
      <c r="C414" s="26" t="s">
        <v>881</v>
      </c>
      <c r="D414" s="19" t="s">
        <v>42</v>
      </c>
      <c r="E414" s="16"/>
      <c r="F414" s="16"/>
      <c r="G414" s="16"/>
      <c r="H414" s="16"/>
      <c r="I414" s="16">
        <v>120</v>
      </c>
      <c r="J414" s="16">
        <v>300</v>
      </c>
      <c r="K414" s="16">
        <v>40</v>
      </c>
      <c r="L414" s="16">
        <v>100</v>
      </c>
      <c r="M414" s="16"/>
      <c r="N414" s="16"/>
      <c r="O414" s="16"/>
      <c r="P414" s="16"/>
      <c r="Q414" s="16"/>
      <c r="R414" s="16"/>
      <c r="S414" s="16">
        <v>40</v>
      </c>
      <c r="T414" s="16">
        <v>100</v>
      </c>
      <c r="U414" s="16">
        <v>22</v>
      </c>
      <c r="V414" s="16">
        <v>55</v>
      </c>
      <c r="W414" s="16"/>
      <c r="X414" s="16"/>
      <c r="Y414" s="16"/>
      <c r="Z414" s="16"/>
      <c r="AA414" s="16">
        <v>80</v>
      </c>
      <c r="AB414" s="16">
        <v>200</v>
      </c>
      <c r="AC414" s="16"/>
      <c r="AD414" s="16"/>
      <c r="AE414" s="16"/>
      <c r="AF414" s="16"/>
      <c r="AG414" s="16">
        <v>40</v>
      </c>
      <c r="AH414" s="16">
        <v>100</v>
      </c>
      <c r="AI414" s="16">
        <v>960</v>
      </c>
      <c r="AJ414" s="16">
        <v>2400</v>
      </c>
      <c r="AK414" s="16"/>
      <c r="AL414" s="16"/>
      <c r="AM414" s="16"/>
      <c r="AN414" s="16"/>
      <c r="AO414" s="15"/>
      <c r="AP414" s="15"/>
      <c r="AQ414" s="15"/>
      <c r="AR414" s="15"/>
      <c r="AS414" s="15"/>
      <c r="AT414" s="15"/>
      <c r="AU414" s="15"/>
      <c r="AV414" s="15"/>
      <c r="AW414" s="15"/>
      <c r="AX414" s="15"/>
      <c r="AY414" s="27">
        <f t="shared" si="25"/>
        <v>1302</v>
      </c>
      <c r="AZ414" s="27">
        <f t="shared" si="26"/>
        <v>3255</v>
      </c>
    </row>
    <row r="415" spans="1:52" x14ac:dyDescent="0.25">
      <c r="A415" s="13">
        <v>529</v>
      </c>
      <c r="B415" s="19" t="s">
        <v>882</v>
      </c>
      <c r="C415" s="26" t="s">
        <v>883</v>
      </c>
      <c r="D415" s="19" t="s">
        <v>42</v>
      </c>
      <c r="E415" s="16"/>
      <c r="F415" s="16"/>
      <c r="G415" s="16"/>
      <c r="H415" s="16"/>
      <c r="I415" s="16"/>
      <c r="J415" s="16"/>
      <c r="K415" s="16">
        <v>210</v>
      </c>
      <c r="L415" s="16">
        <v>524</v>
      </c>
      <c r="M415" s="16"/>
      <c r="N415" s="16"/>
      <c r="O415" s="16">
        <v>68</v>
      </c>
      <c r="P415" s="16">
        <v>168</v>
      </c>
      <c r="Q415" s="16"/>
      <c r="R415" s="16"/>
      <c r="S415" s="16">
        <v>40</v>
      </c>
      <c r="T415" s="16">
        <v>100</v>
      </c>
      <c r="U415" s="16">
        <v>462</v>
      </c>
      <c r="V415" s="16">
        <v>1155</v>
      </c>
      <c r="W415" s="16"/>
      <c r="X415" s="16"/>
      <c r="Y415" s="16"/>
      <c r="Z415" s="16"/>
      <c r="AA415" s="16"/>
      <c r="AB415" s="16"/>
      <c r="AC415" s="16">
        <v>129</v>
      </c>
      <c r="AD415" s="16">
        <v>320</v>
      </c>
      <c r="AE415" s="16"/>
      <c r="AF415" s="16"/>
      <c r="AG415" s="16"/>
      <c r="AH415" s="16"/>
      <c r="AI415" s="16">
        <v>320</v>
      </c>
      <c r="AJ415" s="16">
        <v>800</v>
      </c>
      <c r="AK415" s="16"/>
      <c r="AL415" s="16"/>
      <c r="AM415" s="16"/>
      <c r="AN415" s="16"/>
      <c r="AO415" s="15"/>
      <c r="AP415" s="15"/>
      <c r="AQ415" s="15"/>
      <c r="AR415" s="15"/>
      <c r="AS415" s="15"/>
      <c r="AT415" s="15"/>
      <c r="AU415" s="15"/>
      <c r="AV415" s="15"/>
      <c r="AW415" s="15"/>
      <c r="AX415" s="15"/>
      <c r="AY415" s="27">
        <f t="shared" si="25"/>
        <v>1229</v>
      </c>
      <c r="AZ415" s="27">
        <f t="shared" si="26"/>
        <v>3067</v>
      </c>
    </row>
    <row r="416" spans="1:52" x14ac:dyDescent="0.25">
      <c r="A416" s="13">
        <v>532</v>
      </c>
      <c r="B416" s="19" t="s">
        <v>888</v>
      </c>
      <c r="C416" s="26" t="s">
        <v>889</v>
      </c>
      <c r="D416" s="19" t="s">
        <v>42</v>
      </c>
      <c r="E416" s="16">
        <v>10</v>
      </c>
      <c r="F416" s="16">
        <v>24</v>
      </c>
      <c r="G416" s="16">
        <v>64</v>
      </c>
      <c r="H416" s="16">
        <v>160</v>
      </c>
      <c r="I416" s="16">
        <v>181</v>
      </c>
      <c r="J416" s="16">
        <v>450</v>
      </c>
      <c r="K416" s="16"/>
      <c r="L416" s="16"/>
      <c r="M416" s="16">
        <v>26</v>
      </c>
      <c r="N416" s="16">
        <v>64</v>
      </c>
      <c r="O416" s="16">
        <v>32</v>
      </c>
      <c r="P416" s="16">
        <v>76</v>
      </c>
      <c r="Q416" s="16">
        <v>2</v>
      </c>
      <c r="R416" s="16">
        <v>3</v>
      </c>
      <c r="S416" s="16"/>
      <c r="T416" s="16"/>
      <c r="U416" s="16"/>
      <c r="V416" s="16"/>
      <c r="W416" s="16"/>
      <c r="X416" s="16"/>
      <c r="Y416" s="16"/>
      <c r="Z416" s="16"/>
      <c r="AA416" s="16">
        <v>10</v>
      </c>
      <c r="AB416" s="16">
        <v>21</v>
      </c>
      <c r="AC416" s="16"/>
      <c r="AD416" s="16"/>
      <c r="AE416" s="16"/>
      <c r="AF416" s="16"/>
      <c r="AG416" s="16"/>
      <c r="AH416" s="16"/>
      <c r="AI416" s="16"/>
      <c r="AJ416" s="16"/>
      <c r="AK416" s="16"/>
      <c r="AL416" s="16"/>
      <c r="AM416" s="16"/>
      <c r="AN416" s="16"/>
      <c r="AO416" s="15">
        <v>4</v>
      </c>
      <c r="AP416" s="15">
        <v>6</v>
      </c>
      <c r="AQ416" s="15"/>
      <c r="AR416" s="15"/>
      <c r="AS416" s="15"/>
      <c r="AT416" s="15"/>
      <c r="AU416" s="15"/>
      <c r="AV416" s="15"/>
      <c r="AW416" s="15"/>
      <c r="AX416" s="15"/>
      <c r="AY416" s="27">
        <f t="shared" si="25"/>
        <v>329</v>
      </c>
      <c r="AZ416" s="27">
        <f t="shared" si="26"/>
        <v>804</v>
      </c>
    </row>
    <row r="417" spans="1:52" x14ac:dyDescent="0.25">
      <c r="A417" s="13">
        <v>533</v>
      </c>
      <c r="B417" s="19" t="s">
        <v>890</v>
      </c>
      <c r="C417" s="26" t="s">
        <v>891</v>
      </c>
      <c r="D417" s="19" t="s">
        <v>42</v>
      </c>
      <c r="E417" s="16">
        <v>44</v>
      </c>
      <c r="F417" s="16">
        <v>108</v>
      </c>
      <c r="G417" s="16"/>
      <c r="H417" s="16"/>
      <c r="I417" s="16"/>
      <c r="J417" s="16"/>
      <c r="K417" s="16">
        <v>72</v>
      </c>
      <c r="L417" s="16">
        <v>180</v>
      </c>
      <c r="M417" s="16">
        <v>311</v>
      </c>
      <c r="N417" s="16">
        <v>776</v>
      </c>
      <c r="O417" s="16">
        <v>3</v>
      </c>
      <c r="P417" s="16">
        <v>5</v>
      </c>
      <c r="Q417" s="16"/>
      <c r="R417" s="16"/>
      <c r="S417" s="16"/>
      <c r="T417" s="16"/>
      <c r="U417" s="16"/>
      <c r="V417" s="16"/>
      <c r="W417" s="16"/>
      <c r="X417" s="16"/>
      <c r="Y417" s="16">
        <v>20</v>
      </c>
      <c r="Z417" s="16">
        <v>48</v>
      </c>
      <c r="AA417" s="16"/>
      <c r="AB417" s="16"/>
      <c r="AC417" s="16">
        <v>101</v>
      </c>
      <c r="AD417" s="16">
        <v>249</v>
      </c>
      <c r="AE417" s="16">
        <v>30</v>
      </c>
      <c r="AF417" s="16">
        <v>73</v>
      </c>
      <c r="AG417" s="16"/>
      <c r="AH417" s="16"/>
      <c r="AI417" s="16">
        <v>20</v>
      </c>
      <c r="AJ417" s="16">
        <v>50</v>
      </c>
      <c r="AK417" s="16">
        <v>72</v>
      </c>
      <c r="AL417" s="16">
        <v>180</v>
      </c>
      <c r="AM417" s="16"/>
      <c r="AN417" s="16"/>
      <c r="AO417" s="15">
        <v>80</v>
      </c>
      <c r="AP417" s="15">
        <v>200</v>
      </c>
      <c r="AQ417" s="15"/>
      <c r="AR417" s="15"/>
      <c r="AS417" s="15"/>
      <c r="AT417" s="15"/>
      <c r="AU417" s="15"/>
      <c r="AV417" s="15"/>
      <c r="AW417" s="15"/>
      <c r="AX417" s="15"/>
      <c r="AY417" s="27">
        <f t="shared" si="25"/>
        <v>753</v>
      </c>
      <c r="AZ417" s="27">
        <f t="shared" si="26"/>
        <v>1869</v>
      </c>
    </row>
    <row r="418" spans="1:52" x14ac:dyDescent="0.25">
      <c r="A418" s="13">
        <v>534</v>
      </c>
      <c r="B418" s="19" t="s">
        <v>892</v>
      </c>
      <c r="C418" s="26" t="s">
        <v>893</v>
      </c>
      <c r="D418" s="19" t="s">
        <v>42</v>
      </c>
      <c r="E418" s="16"/>
      <c r="F418" s="16"/>
      <c r="G418" s="16"/>
      <c r="H418" s="16"/>
      <c r="I418" s="16">
        <v>280</v>
      </c>
      <c r="J418" s="16">
        <v>700</v>
      </c>
      <c r="K418" s="16">
        <v>1600</v>
      </c>
      <c r="L418" s="16">
        <v>4000</v>
      </c>
      <c r="M418" s="16"/>
      <c r="N418" s="16"/>
      <c r="O418" s="16">
        <v>227</v>
      </c>
      <c r="P418" s="16">
        <v>562</v>
      </c>
      <c r="Q418" s="16"/>
      <c r="R418" s="16"/>
      <c r="S418" s="16"/>
      <c r="T418" s="16"/>
      <c r="U418" s="16">
        <v>462</v>
      </c>
      <c r="V418" s="16">
        <v>1155</v>
      </c>
      <c r="W418" s="16"/>
      <c r="X418" s="16"/>
      <c r="Y418" s="16">
        <v>400</v>
      </c>
      <c r="Z418" s="16">
        <v>1000</v>
      </c>
      <c r="AA418" s="16"/>
      <c r="AB418" s="16"/>
      <c r="AC418" s="16"/>
      <c r="AD418" s="16"/>
      <c r="AE418" s="16"/>
      <c r="AF418" s="16"/>
      <c r="AG418" s="16">
        <v>136</v>
      </c>
      <c r="AH418" s="16">
        <v>336</v>
      </c>
      <c r="AI418" s="16">
        <v>208</v>
      </c>
      <c r="AJ418" s="16">
        <v>520</v>
      </c>
      <c r="AK418" s="16">
        <v>2010</v>
      </c>
      <c r="AL418" s="16">
        <v>5024</v>
      </c>
      <c r="AM418" s="16"/>
      <c r="AN418" s="16"/>
      <c r="AO418" s="15">
        <v>2</v>
      </c>
      <c r="AP418" s="15">
        <v>2</v>
      </c>
      <c r="AQ418" s="15"/>
      <c r="AR418" s="15"/>
      <c r="AS418" s="15"/>
      <c r="AT418" s="15"/>
      <c r="AU418" s="15"/>
      <c r="AV418" s="15"/>
      <c r="AW418" s="15"/>
      <c r="AX418" s="15"/>
      <c r="AY418" s="27">
        <f t="shared" si="25"/>
        <v>5325</v>
      </c>
      <c r="AZ418" s="27">
        <f t="shared" si="26"/>
        <v>13299</v>
      </c>
    </row>
    <row r="419" spans="1:52" x14ac:dyDescent="0.25">
      <c r="A419" s="13">
        <v>537</v>
      </c>
      <c r="B419" s="19" t="s">
        <v>894</v>
      </c>
      <c r="C419" s="26" t="s">
        <v>895</v>
      </c>
      <c r="D419" s="19" t="s">
        <v>42</v>
      </c>
      <c r="E419" s="16">
        <v>40</v>
      </c>
      <c r="F419" s="16">
        <v>100</v>
      </c>
      <c r="G419" s="16"/>
      <c r="H419" s="16"/>
      <c r="I419" s="16">
        <v>1518</v>
      </c>
      <c r="J419" s="16">
        <v>3792</v>
      </c>
      <c r="K419" s="16">
        <v>110</v>
      </c>
      <c r="L419" s="16">
        <v>275</v>
      </c>
      <c r="M419" s="16">
        <v>58</v>
      </c>
      <c r="N419" s="16">
        <v>144</v>
      </c>
      <c r="O419" s="16">
        <v>4</v>
      </c>
      <c r="P419" s="16">
        <v>7</v>
      </c>
      <c r="Q419" s="16"/>
      <c r="R419" s="16"/>
      <c r="S419" s="16">
        <v>720</v>
      </c>
      <c r="T419" s="16">
        <v>1800</v>
      </c>
      <c r="U419" s="16">
        <v>132</v>
      </c>
      <c r="V419" s="16">
        <v>330</v>
      </c>
      <c r="W419" s="16"/>
      <c r="X419" s="16"/>
      <c r="Y419" s="16">
        <v>384</v>
      </c>
      <c r="Z419" s="16">
        <v>960</v>
      </c>
      <c r="AA419" s="16">
        <v>32</v>
      </c>
      <c r="AB419" s="16">
        <v>80</v>
      </c>
      <c r="AC419" s="16">
        <v>7</v>
      </c>
      <c r="AD419" s="16">
        <v>15</v>
      </c>
      <c r="AE419" s="16"/>
      <c r="AF419" s="16"/>
      <c r="AG419" s="16"/>
      <c r="AH419" s="16"/>
      <c r="AI419" s="16"/>
      <c r="AJ419" s="16"/>
      <c r="AK419" s="16"/>
      <c r="AL419" s="16"/>
      <c r="AM419" s="16">
        <v>48</v>
      </c>
      <c r="AN419" s="16">
        <v>120</v>
      </c>
      <c r="AO419" s="15">
        <v>10</v>
      </c>
      <c r="AP419" s="15">
        <v>24</v>
      </c>
      <c r="AQ419" s="15"/>
      <c r="AR419" s="15"/>
      <c r="AS419" s="15"/>
      <c r="AT419" s="15"/>
      <c r="AU419" s="15"/>
      <c r="AV419" s="15"/>
      <c r="AW419" s="15"/>
      <c r="AX419" s="15"/>
      <c r="AY419" s="27">
        <f t="shared" si="25"/>
        <v>3063</v>
      </c>
      <c r="AZ419" s="27">
        <f t="shared" si="26"/>
        <v>7647</v>
      </c>
    </row>
    <row r="420" spans="1:52" x14ac:dyDescent="0.25">
      <c r="A420" s="13">
        <v>538</v>
      </c>
      <c r="B420" s="19" t="s">
        <v>896</v>
      </c>
      <c r="C420" s="26" t="s">
        <v>897</v>
      </c>
      <c r="D420" s="19" t="s">
        <v>42</v>
      </c>
      <c r="E420" s="16">
        <v>24</v>
      </c>
      <c r="F420" s="16">
        <v>60</v>
      </c>
      <c r="G420" s="16"/>
      <c r="H420" s="16"/>
      <c r="I420" s="16">
        <v>4600</v>
      </c>
      <c r="J420" s="16">
        <v>11500</v>
      </c>
      <c r="K420" s="16">
        <v>410</v>
      </c>
      <c r="L420" s="16">
        <v>1024</v>
      </c>
      <c r="M420" s="16">
        <v>256</v>
      </c>
      <c r="N420" s="16">
        <v>636</v>
      </c>
      <c r="O420" s="16">
        <v>560</v>
      </c>
      <c r="P420" s="16">
        <v>1400</v>
      </c>
      <c r="Q420" s="16"/>
      <c r="R420" s="16"/>
      <c r="S420" s="16"/>
      <c r="T420" s="16"/>
      <c r="U420" s="16">
        <v>1078</v>
      </c>
      <c r="V420" s="16">
        <v>2695</v>
      </c>
      <c r="W420" s="16">
        <v>173</v>
      </c>
      <c r="X420" s="16">
        <v>432</v>
      </c>
      <c r="Y420" s="16">
        <v>480</v>
      </c>
      <c r="Z420" s="16">
        <v>1200</v>
      </c>
      <c r="AA420" s="16"/>
      <c r="AB420" s="16"/>
      <c r="AC420" s="16">
        <v>180</v>
      </c>
      <c r="AD420" s="16">
        <v>446</v>
      </c>
      <c r="AE420" s="16"/>
      <c r="AF420" s="16"/>
      <c r="AG420" s="16"/>
      <c r="AH420" s="16"/>
      <c r="AI420" s="16">
        <v>864</v>
      </c>
      <c r="AJ420" s="16">
        <v>2160</v>
      </c>
      <c r="AK420" s="16"/>
      <c r="AL420" s="16"/>
      <c r="AM420" s="16">
        <v>6596</v>
      </c>
      <c r="AN420" s="16">
        <v>16488</v>
      </c>
      <c r="AO420" s="15">
        <v>400</v>
      </c>
      <c r="AP420" s="15">
        <v>1000</v>
      </c>
      <c r="AQ420" s="15"/>
      <c r="AR420" s="15"/>
      <c r="AS420" s="15">
        <v>4376</v>
      </c>
      <c r="AT420" s="15">
        <v>10940</v>
      </c>
      <c r="AU420" s="15"/>
      <c r="AV420" s="15"/>
      <c r="AW420" s="15"/>
      <c r="AX420" s="15"/>
      <c r="AY420" s="27">
        <f t="shared" si="25"/>
        <v>19997</v>
      </c>
      <c r="AZ420" s="27">
        <f t="shared" si="26"/>
        <v>49981</v>
      </c>
    </row>
    <row r="421" spans="1:52" x14ac:dyDescent="0.25">
      <c r="A421" s="13">
        <v>539</v>
      </c>
      <c r="B421" s="19" t="s">
        <v>898</v>
      </c>
      <c r="C421" s="26" t="s">
        <v>899</v>
      </c>
      <c r="D421" s="19" t="s">
        <v>42</v>
      </c>
      <c r="E421" s="16">
        <v>120</v>
      </c>
      <c r="F421" s="16">
        <v>300</v>
      </c>
      <c r="G421" s="16"/>
      <c r="H421" s="16"/>
      <c r="I421" s="16">
        <v>1560</v>
      </c>
      <c r="J421" s="16">
        <v>3900</v>
      </c>
      <c r="K421" s="16">
        <v>130</v>
      </c>
      <c r="L421" s="16">
        <v>324</v>
      </c>
      <c r="M421" s="16"/>
      <c r="N421" s="16"/>
      <c r="O421" s="16">
        <v>280</v>
      </c>
      <c r="P421" s="16">
        <v>700</v>
      </c>
      <c r="Q421" s="16"/>
      <c r="R421" s="16"/>
      <c r="S421" s="16">
        <v>1</v>
      </c>
      <c r="T421" s="16">
        <v>2</v>
      </c>
      <c r="U421" s="16">
        <v>1090</v>
      </c>
      <c r="V421" s="16">
        <v>2723</v>
      </c>
      <c r="W421" s="16">
        <v>173</v>
      </c>
      <c r="X421" s="16">
        <v>432</v>
      </c>
      <c r="Y421" s="16"/>
      <c r="Z421" s="16"/>
      <c r="AA421" s="16"/>
      <c r="AB421" s="16"/>
      <c r="AC421" s="16">
        <v>106</v>
      </c>
      <c r="AD421" s="16">
        <v>264</v>
      </c>
      <c r="AE421" s="16"/>
      <c r="AF421" s="16"/>
      <c r="AG421" s="16"/>
      <c r="AH421" s="16"/>
      <c r="AI421" s="16">
        <v>54</v>
      </c>
      <c r="AJ421" s="16">
        <v>135</v>
      </c>
      <c r="AK421" s="16"/>
      <c r="AL421" s="16"/>
      <c r="AM421" s="16">
        <v>480</v>
      </c>
      <c r="AN421" s="16">
        <v>1200</v>
      </c>
      <c r="AO421" s="15">
        <v>400</v>
      </c>
      <c r="AP421" s="15">
        <v>1000</v>
      </c>
      <c r="AQ421" s="15">
        <v>4</v>
      </c>
      <c r="AR421" s="15">
        <v>6</v>
      </c>
      <c r="AS421" s="15"/>
      <c r="AT421" s="15"/>
      <c r="AU421" s="15"/>
      <c r="AV421" s="15"/>
      <c r="AW421" s="15"/>
      <c r="AX421" s="15"/>
      <c r="AY421" s="27">
        <f t="shared" si="25"/>
        <v>4398</v>
      </c>
      <c r="AZ421" s="27">
        <f t="shared" si="26"/>
        <v>10986</v>
      </c>
    </row>
    <row r="422" spans="1:52" x14ac:dyDescent="0.25">
      <c r="A422" s="13">
        <v>540</v>
      </c>
      <c r="B422" s="19" t="s">
        <v>900</v>
      </c>
      <c r="C422" s="26" t="s">
        <v>901</v>
      </c>
      <c r="D422" s="19" t="s">
        <v>42</v>
      </c>
      <c r="E422" s="16"/>
      <c r="F422" s="16"/>
      <c r="G422" s="16"/>
      <c r="H422" s="16"/>
      <c r="I422" s="16">
        <v>240</v>
      </c>
      <c r="J422" s="16">
        <v>600</v>
      </c>
      <c r="K422" s="16"/>
      <c r="L422" s="16"/>
      <c r="M422" s="16"/>
      <c r="N422" s="16"/>
      <c r="O422" s="16">
        <v>57</v>
      </c>
      <c r="P422" s="16">
        <v>140</v>
      </c>
      <c r="Q422" s="16"/>
      <c r="R422" s="16"/>
      <c r="S422" s="16">
        <v>10</v>
      </c>
      <c r="T422" s="16">
        <v>24</v>
      </c>
      <c r="U422" s="16"/>
      <c r="V422" s="16"/>
      <c r="W422" s="16">
        <v>216</v>
      </c>
      <c r="X422" s="16">
        <v>540</v>
      </c>
      <c r="Y422" s="16"/>
      <c r="Z422" s="16"/>
      <c r="AA422" s="16"/>
      <c r="AB422" s="16"/>
      <c r="AC422" s="16"/>
      <c r="AD422" s="16"/>
      <c r="AE422" s="16"/>
      <c r="AF422" s="16"/>
      <c r="AG422" s="16"/>
      <c r="AH422" s="16"/>
      <c r="AI422" s="16"/>
      <c r="AJ422" s="16"/>
      <c r="AK422" s="16">
        <v>504</v>
      </c>
      <c r="AL422" s="16">
        <v>1260</v>
      </c>
      <c r="AM422" s="16"/>
      <c r="AN422" s="16"/>
      <c r="AO422" s="15"/>
      <c r="AP422" s="15"/>
      <c r="AQ422" s="15"/>
      <c r="AR422" s="15"/>
      <c r="AS422" s="15"/>
      <c r="AT422" s="15"/>
      <c r="AU422" s="15"/>
      <c r="AV422" s="15"/>
      <c r="AW422" s="15"/>
      <c r="AX422" s="15"/>
      <c r="AY422" s="27">
        <f t="shared" si="25"/>
        <v>1027</v>
      </c>
      <c r="AZ422" s="27">
        <f t="shared" si="26"/>
        <v>2564</v>
      </c>
    </row>
    <row r="423" spans="1:52" x14ac:dyDescent="0.25">
      <c r="A423" s="13">
        <v>541</v>
      </c>
      <c r="B423" s="19" t="s">
        <v>902</v>
      </c>
      <c r="C423" s="26" t="s">
        <v>903</v>
      </c>
      <c r="D423" s="19" t="s">
        <v>42</v>
      </c>
      <c r="E423" s="16"/>
      <c r="F423" s="16"/>
      <c r="G423" s="16"/>
      <c r="H423" s="16"/>
      <c r="I423" s="16">
        <v>480</v>
      </c>
      <c r="J423" s="16">
        <v>1200</v>
      </c>
      <c r="K423" s="16"/>
      <c r="L423" s="16"/>
      <c r="M423" s="16"/>
      <c r="N423" s="16"/>
      <c r="O423" s="16">
        <v>113</v>
      </c>
      <c r="P423" s="16">
        <v>280</v>
      </c>
      <c r="Q423" s="16"/>
      <c r="R423" s="16"/>
      <c r="S423" s="16">
        <v>40</v>
      </c>
      <c r="T423" s="16">
        <v>100</v>
      </c>
      <c r="U423" s="16"/>
      <c r="V423" s="16"/>
      <c r="W423" s="16">
        <v>216</v>
      </c>
      <c r="X423" s="16">
        <v>540</v>
      </c>
      <c r="Y423" s="16"/>
      <c r="Z423" s="16"/>
      <c r="AA423" s="16"/>
      <c r="AB423" s="16"/>
      <c r="AC423" s="16"/>
      <c r="AD423" s="16"/>
      <c r="AE423" s="16"/>
      <c r="AF423" s="16"/>
      <c r="AG423" s="16"/>
      <c r="AH423" s="16"/>
      <c r="AI423" s="16"/>
      <c r="AJ423" s="16"/>
      <c r="AK423" s="16">
        <v>496</v>
      </c>
      <c r="AL423" s="16">
        <v>1240</v>
      </c>
      <c r="AM423" s="16"/>
      <c r="AN423" s="16"/>
      <c r="AO423" s="15"/>
      <c r="AP423" s="15"/>
      <c r="AQ423" s="15"/>
      <c r="AR423" s="15"/>
      <c r="AS423" s="15"/>
      <c r="AT423" s="15"/>
      <c r="AU423" s="15"/>
      <c r="AV423" s="15"/>
      <c r="AW423" s="15"/>
      <c r="AX423" s="15"/>
      <c r="AY423" s="27">
        <f t="shared" si="25"/>
        <v>1345</v>
      </c>
      <c r="AZ423" s="27">
        <f t="shared" si="26"/>
        <v>3360</v>
      </c>
    </row>
    <row r="424" spans="1:52" x14ac:dyDescent="0.25">
      <c r="A424" s="13">
        <v>542</v>
      </c>
      <c r="B424" s="19" t="s">
        <v>904</v>
      </c>
      <c r="C424" s="26" t="s">
        <v>905</v>
      </c>
      <c r="D424" s="19" t="s">
        <v>42</v>
      </c>
      <c r="E424" s="16">
        <v>10</v>
      </c>
      <c r="F424" s="16">
        <v>24</v>
      </c>
      <c r="G424" s="16">
        <v>68</v>
      </c>
      <c r="H424" s="16">
        <v>166</v>
      </c>
      <c r="I424" s="16">
        <v>2148</v>
      </c>
      <c r="J424" s="16">
        <v>5366</v>
      </c>
      <c r="K424" s="16">
        <v>2504</v>
      </c>
      <c r="L424" s="16">
        <v>6260</v>
      </c>
      <c r="M424" s="16">
        <v>8072</v>
      </c>
      <c r="N424" s="16">
        <v>20176</v>
      </c>
      <c r="O424" s="16">
        <v>2760</v>
      </c>
      <c r="P424" s="16">
        <v>6900</v>
      </c>
      <c r="Q424" s="16"/>
      <c r="R424" s="16"/>
      <c r="S424" s="16">
        <v>10</v>
      </c>
      <c r="T424" s="16">
        <v>24</v>
      </c>
      <c r="U424" s="16">
        <v>88</v>
      </c>
      <c r="V424" s="16">
        <v>220</v>
      </c>
      <c r="W424" s="16">
        <v>216</v>
      </c>
      <c r="X424" s="16">
        <v>540</v>
      </c>
      <c r="Y424" s="16"/>
      <c r="Z424" s="16"/>
      <c r="AA424" s="16">
        <v>44</v>
      </c>
      <c r="AB424" s="16">
        <v>107</v>
      </c>
      <c r="AC424" s="16">
        <v>89</v>
      </c>
      <c r="AD424" s="16">
        <v>222</v>
      </c>
      <c r="AE424" s="16">
        <v>288</v>
      </c>
      <c r="AF424" s="16">
        <v>720</v>
      </c>
      <c r="AG424" s="16"/>
      <c r="AH424" s="16"/>
      <c r="AI424" s="16">
        <v>2760</v>
      </c>
      <c r="AJ424" s="16">
        <v>6900</v>
      </c>
      <c r="AK424" s="16">
        <v>840</v>
      </c>
      <c r="AL424" s="16">
        <v>2100</v>
      </c>
      <c r="AM424" s="16">
        <v>384</v>
      </c>
      <c r="AN424" s="16">
        <v>960</v>
      </c>
      <c r="AO424" s="15"/>
      <c r="AP424" s="15"/>
      <c r="AQ424" s="15">
        <v>10</v>
      </c>
      <c r="AR424" s="15">
        <v>22</v>
      </c>
      <c r="AS424" s="15"/>
      <c r="AT424" s="15"/>
      <c r="AU424" s="15">
        <v>176</v>
      </c>
      <c r="AV424" s="15">
        <v>440</v>
      </c>
      <c r="AW424" s="15"/>
      <c r="AX424" s="15"/>
      <c r="AY424" s="27">
        <f t="shared" si="25"/>
        <v>20467</v>
      </c>
      <c r="AZ424" s="27">
        <f t="shared" si="26"/>
        <v>51147</v>
      </c>
    </row>
    <row r="425" spans="1:52" x14ac:dyDescent="0.25">
      <c r="A425" s="13">
        <v>544</v>
      </c>
      <c r="B425" s="19" t="s">
        <v>906</v>
      </c>
      <c r="C425" s="26" t="s">
        <v>907</v>
      </c>
      <c r="D425" s="19" t="s">
        <v>42</v>
      </c>
      <c r="E425" s="16">
        <v>80</v>
      </c>
      <c r="F425" s="16">
        <v>200</v>
      </c>
      <c r="G425" s="16">
        <v>1200</v>
      </c>
      <c r="H425" s="16">
        <v>3000</v>
      </c>
      <c r="I425" s="16"/>
      <c r="J425" s="16"/>
      <c r="K425" s="16"/>
      <c r="L425" s="16"/>
      <c r="M425" s="16"/>
      <c r="N425" s="16"/>
      <c r="O425" s="16">
        <v>673</v>
      </c>
      <c r="P425" s="16">
        <v>1680</v>
      </c>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5"/>
      <c r="AP425" s="15"/>
      <c r="AQ425" s="15"/>
      <c r="AR425" s="15"/>
      <c r="AS425" s="15"/>
      <c r="AT425" s="15"/>
      <c r="AU425" s="15"/>
      <c r="AV425" s="15"/>
      <c r="AW425" s="15"/>
      <c r="AX425" s="15"/>
      <c r="AY425" s="27">
        <f t="shared" si="25"/>
        <v>1953</v>
      </c>
      <c r="AZ425" s="27">
        <f t="shared" si="26"/>
        <v>4880</v>
      </c>
    </row>
    <row r="426" spans="1:52" x14ac:dyDescent="0.25">
      <c r="A426" s="13">
        <v>545</v>
      </c>
      <c r="B426" s="19" t="s">
        <v>908</v>
      </c>
      <c r="C426" s="26" t="s">
        <v>909</v>
      </c>
      <c r="D426" s="19" t="s">
        <v>42</v>
      </c>
      <c r="E426" s="16">
        <v>2976</v>
      </c>
      <c r="F426" s="16">
        <v>7440</v>
      </c>
      <c r="G426" s="16"/>
      <c r="H426" s="16"/>
      <c r="I426" s="16">
        <v>17748</v>
      </c>
      <c r="J426" s="16">
        <v>44366</v>
      </c>
      <c r="K426" s="16">
        <v>6280</v>
      </c>
      <c r="L426" s="16">
        <v>15700</v>
      </c>
      <c r="M426" s="16">
        <v>80</v>
      </c>
      <c r="N426" s="16">
        <v>200</v>
      </c>
      <c r="O426" s="16"/>
      <c r="P426" s="16"/>
      <c r="Q426" s="16">
        <v>256</v>
      </c>
      <c r="R426" s="16">
        <v>638</v>
      </c>
      <c r="S426" s="16"/>
      <c r="T426" s="16"/>
      <c r="U426" s="16">
        <v>4400</v>
      </c>
      <c r="V426" s="16">
        <v>11000</v>
      </c>
      <c r="W426" s="16"/>
      <c r="X426" s="16"/>
      <c r="Y426" s="16">
        <v>990</v>
      </c>
      <c r="Z426" s="16">
        <v>2472</v>
      </c>
      <c r="AA426" s="16"/>
      <c r="AB426" s="16"/>
      <c r="AC426" s="16"/>
      <c r="AD426" s="16"/>
      <c r="AE426" s="16">
        <v>19200</v>
      </c>
      <c r="AF426" s="16">
        <v>48000</v>
      </c>
      <c r="AG426" s="16">
        <v>2640</v>
      </c>
      <c r="AH426" s="16">
        <v>6600</v>
      </c>
      <c r="AI426" s="16">
        <v>4440</v>
      </c>
      <c r="AJ426" s="16">
        <v>11100</v>
      </c>
      <c r="AK426" s="16"/>
      <c r="AL426" s="16"/>
      <c r="AM426" s="16"/>
      <c r="AN426" s="16"/>
      <c r="AO426" s="15">
        <v>7760</v>
      </c>
      <c r="AP426" s="15">
        <v>19400</v>
      </c>
      <c r="AQ426" s="15">
        <v>366</v>
      </c>
      <c r="AR426" s="15">
        <v>914</v>
      </c>
      <c r="AS426" s="15"/>
      <c r="AT426" s="15"/>
      <c r="AU426" s="15"/>
      <c r="AV426" s="15"/>
      <c r="AW426" s="15"/>
      <c r="AX426" s="15"/>
      <c r="AY426" s="27">
        <f t="shared" si="25"/>
        <v>67136</v>
      </c>
      <c r="AZ426" s="27">
        <f t="shared" si="26"/>
        <v>167830</v>
      </c>
    </row>
    <row r="427" spans="1:52" x14ac:dyDescent="0.25">
      <c r="A427" s="13">
        <v>546</v>
      </c>
      <c r="B427" s="19" t="s">
        <v>910</v>
      </c>
      <c r="C427" s="26" t="s">
        <v>911</v>
      </c>
      <c r="D427" s="19" t="s">
        <v>42</v>
      </c>
      <c r="E427" s="16">
        <v>6000</v>
      </c>
      <c r="F427" s="16">
        <v>15000</v>
      </c>
      <c r="G427" s="16">
        <v>24</v>
      </c>
      <c r="H427" s="16">
        <v>60</v>
      </c>
      <c r="I427" s="16">
        <v>9886</v>
      </c>
      <c r="J427" s="16">
        <v>24712</v>
      </c>
      <c r="K427" s="16">
        <v>3080</v>
      </c>
      <c r="L427" s="16">
        <v>7700</v>
      </c>
      <c r="M427" s="16">
        <v>80</v>
      </c>
      <c r="N427" s="16">
        <v>200</v>
      </c>
      <c r="O427" s="16">
        <v>57</v>
      </c>
      <c r="P427" s="16">
        <v>140</v>
      </c>
      <c r="Q427" s="16">
        <v>170</v>
      </c>
      <c r="R427" s="16">
        <v>424</v>
      </c>
      <c r="S427" s="16">
        <v>32</v>
      </c>
      <c r="T427" s="16">
        <v>79</v>
      </c>
      <c r="U427" s="16">
        <v>880</v>
      </c>
      <c r="V427" s="16">
        <v>2200</v>
      </c>
      <c r="W427" s="16"/>
      <c r="X427" s="16"/>
      <c r="Y427" s="16">
        <v>856</v>
      </c>
      <c r="Z427" s="16">
        <v>2136</v>
      </c>
      <c r="AA427" s="16"/>
      <c r="AB427" s="16"/>
      <c r="AC427" s="16">
        <v>2002</v>
      </c>
      <c r="AD427" s="16">
        <v>5005</v>
      </c>
      <c r="AE427" s="16">
        <v>19200</v>
      </c>
      <c r="AF427" s="16">
        <v>48000</v>
      </c>
      <c r="AG427" s="16">
        <v>2640</v>
      </c>
      <c r="AH427" s="16">
        <v>6600</v>
      </c>
      <c r="AI427" s="16">
        <v>1920</v>
      </c>
      <c r="AJ427" s="16">
        <v>4800</v>
      </c>
      <c r="AK427" s="16"/>
      <c r="AL427" s="16"/>
      <c r="AM427" s="16"/>
      <c r="AN427" s="16"/>
      <c r="AO427" s="15">
        <v>2680</v>
      </c>
      <c r="AP427" s="15">
        <v>6700</v>
      </c>
      <c r="AQ427" s="15"/>
      <c r="AR427" s="15"/>
      <c r="AS427" s="15"/>
      <c r="AT427" s="15"/>
      <c r="AU427" s="15"/>
      <c r="AV427" s="15"/>
      <c r="AW427" s="15"/>
      <c r="AX427" s="15"/>
      <c r="AY427" s="27">
        <f t="shared" si="25"/>
        <v>49507</v>
      </c>
      <c r="AZ427" s="27">
        <f t="shared" si="26"/>
        <v>123756</v>
      </c>
    </row>
    <row r="428" spans="1:52" x14ac:dyDescent="0.25">
      <c r="A428" s="13">
        <v>547</v>
      </c>
      <c r="B428" s="19" t="s">
        <v>912</v>
      </c>
      <c r="C428" s="26" t="s">
        <v>913</v>
      </c>
      <c r="D428" s="19" t="s">
        <v>42</v>
      </c>
      <c r="E428" s="16"/>
      <c r="F428" s="16"/>
      <c r="G428" s="16"/>
      <c r="H428" s="16"/>
      <c r="I428" s="16"/>
      <c r="J428" s="16"/>
      <c r="K428" s="16">
        <v>48</v>
      </c>
      <c r="L428" s="16">
        <v>120</v>
      </c>
      <c r="M428" s="16"/>
      <c r="N428" s="16"/>
      <c r="O428" s="16"/>
      <c r="P428" s="16"/>
      <c r="Q428" s="16">
        <v>16</v>
      </c>
      <c r="R428" s="16">
        <v>38</v>
      </c>
      <c r="S428" s="16"/>
      <c r="T428" s="16"/>
      <c r="U428" s="16">
        <v>28</v>
      </c>
      <c r="V428" s="16">
        <v>70</v>
      </c>
      <c r="W428" s="16">
        <v>216</v>
      </c>
      <c r="X428" s="16">
        <v>540</v>
      </c>
      <c r="Y428" s="16">
        <v>100</v>
      </c>
      <c r="Z428" s="16">
        <v>248</v>
      </c>
      <c r="AA428" s="16"/>
      <c r="AB428" s="16"/>
      <c r="AC428" s="16"/>
      <c r="AD428" s="16"/>
      <c r="AE428" s="16"/>
      <c r="AF428" s="16"/>
      <c r="AG428" s="16"/>
      <c r="AH428" s="16"/>
      <c r="AI428" s="16">
        <v>4800</v>
      </c>
      <c r="AJ428" s="16">
        <v>12000</v>
      </c>
      <c r="AK428" s="16"/>
      <c r="AL428" s="16"/>
      <c r="AM428" s="16"/>
      <c r="AN428" s="16"/>
      <c r="AO428" s="15"/>
      <c r="AP428" s="15"/>
      <c r="AQ428" s="15"/>
      <c r="AR428" s="15"/>
      <c r="AS428" s="15"/>
      <c r="AT428" s="15"/>
      <c r="AU428" s="15"/>
      <c r="AV428" s="15"/>
      <c r="AW428" s="15"/>
      <c r="AX428" s="15"/>
      <c r="AY428" s="27">
        <f t="shared" si="25"/>
        <v>5208</v>
      </c>
      <c r="AZ428" s="27">
        <f t="shared" si="26"/>
        <v>13016</v>
      </c>
    </row>
    <row r="429" spans="1:52" x14ac:dyDescent="0.25">
      <c r="A429" s="13">
        <v>550</v>
      </c>
      <c r="B429" s="19" t="s">
        <v>914</v>
      </c>
      <c r="C429" s="26" t="s">
        <v>915</v>
      </c>
      <c r="D429" s="19" t="s">
        <v>42</v>
      </c>
      <c r="E429" s="16"/>
      <c r="F429" s="16"/>
      <c r="G429" s="16">
        <v>64</v>
      </c>
      <c r="H429" s="16">
        <v>160</v>
      </c>
      <c r="I429" s="16">
        <v>351</v>
      </c>
      <c r="J429" s="16">
        <v>872</v>
      </c>
      <c r="K429" s="16"/>
      <c r="L429" s="16"/>
      <c r="M429" s="16"/>
      <c r="N429" s="16"/>
      <c r="O429" s="16"/>
      <c r="P429" s="16"/>
      <c r="Q429" s="16"/>
      <c r="R429" s="16"/>
      <c r="S429" s="16"/>
      <c r="T429" s="16"/>
      <c r="U429" s="16">
        <v>532</v>
      </c>
      <c r="V429" s="16">
        <v>1326</v>
      </c>
      <c r="W429" s="16">
        <v>120</v>
      </c>
      <c r="X429" s="16">
        <v>300</v>
      </c>
      <c r="Y429" s="16"/>
      <c r="Z429" s="16"/>
      <c r="AA429" s="16">
        <v>20</v>
      </c>
      <c r="AB429" s="16">
        <v>50</v>
      </c>
      <c r="AC429" s="16">
        <v>1124</v>
      </c>
      <c r="AD429" s="16">
        <v>2810</v>
      </c>
      <c r="AE429" s="16">
        <v>6240</v>
      </c>
      <c r="AF429" s="16">
        <v>15600</v>
      </c>
      <c r="AG429" s="16"/>
      <c r="AH429" s="16"/>
      <c r="AI429" s="16"/>
      <c r="AJ429" s="16"/>
      <c r="AK429" s="16"/>
      <c r="AL429" s="16"/>
      <c r="AM429" s="16"/>
      <c r="AN429" s="16"/>
      <c r="AO429" s="15"/>
      <c r="AP429" s="15"/>
      <c r="AQ429" s="15"/>
      <c r="AR429" s="15"/>
      <c r="AS429" s="15"/>
      <c r="AT429" s="15"/>
      <c r="AU429" s="15"/>
      <c r="AV429" s="15"/>
      <c r="AW429" s="15"/>
      <c r="AX429" s="15"/>
      <c r="AY429" s="27">
        <f t="shared" si="25"/>
        <v>8451</v>
      </c>
      <c r="AZ429" s="27">
        <f t="shared" si="26"/>
        <v>21118</v>
      </c>
    </row>
    <row r="430" spans="1:52" x14ac:dyDescent="0.25">
      <c r="A430" s="13">
        <v>551</v>
      </c>
      <c r="B430" s="19" t="s">
        <v>916</v>
      </c>
      <c r="C430" s="26" t="s">
        <v>917</v>
      </c>
      <c r="D430" s="19" t="s">
        <v>42</v>
      </c>
      <c r="E430" s="16"/>
      <c r="F430" s="16"/>
      <c r="G430" s="16"/>
      <c r="H430" s="16"/>
      <c r="I430" s="16"/>
      <c r="J430" s="16"/>
      <c r="K430" s="16"/>
      <c r="L430" s="16"/>
      <c r="M430" s="16">
        <v>20</v>
      </c>
      <c r="N430" s="16">
        <v>48</v>
      </c>
      <c r="O430" s="16"/>
      <c r="P430" s="16"/>
      <c r="Q430" s="16"/>
      <c r="R430" s="16"/>
      <c r="S430" s="16"/>
      <c r="T430" s="16"/>
      <c r="U430" s="16">
        <v>44</v>
      </c>
      <c r="V430" s="16">
        <v>110</v>
      </c>
      <c r="W430" s="16"/>
      <c r="X430" s="16"/>
      <c r="Y430" s="16">
        <v>2</v>
      </c>
      <c r="Z430" s="16">
        <v>2</v>
      </c>
      <c r="AA430" s="16"/>
      <c r="AB430" s="16"/>
      <c r="AC430" s="16"/>
      <c r="AD430" s="16"/>
      <c r="AE430" s="16"/>
      <c r="AF430" s="16"/>
      <c r="AG430" s="16"/>
      <c r="AH430" s="16"/>
      <c r="AI430" s="16"/>
      <c r="AJ430" s="16"/>
      <c r="AK430" s="16"/>
      <c r="AL430" s="16"/>
      <c r="AM430" s="16"/>
      <c r="AN430" s="16"/>
      <c r="AO430" s="15"/>
      <c r="AP430" s="15"/>
      <c r="AQ430" s="15"/>
      <c r="AR430" s="15"/>
      <c r="AS430" s="15"/>
      <c r="AT430" s="15"/>
      <c r="AU430" s="15"/>
      <c r="AV430" s="15"/>
      <c r="AW430" s="15"/>
      <c r="AX430" s="15"/>
      <c r="AY430" s="27">
        <f t="shared" si="25"/>
        <v>66</v>
      </c>
      <c r="AZ430" s="27">
        <f t="shared" si="26"/>
        <v>160</v>
      </c>
    </row>
    <row r="431" spans="1:52" x14ac:dyDescent="0.25">
      <c r="A431" s="13">
        <v>552</v>
      </c>
      <c r="B431" s="19" t="s">
        <v>918</v>
      </c>
      <c r="C431" s="26" t="s">
        <v>919</v>
      </c>
      <c r="D431" s="19" t="s">
        <v>42</v>
      </c>
      <c r="E431" s="16">
        <v>3120</v>
      </c>
      <c r="F431" s="16">
        <v>7800</v>
      </c>
      <c r="G431" s="16">
        <v>2080</v>
      </c>
      <c r="H431" s="16">
        <v>5200</v>
      </c>
      <c r="I431" s="16">
        <v>36246</v>
      </c>
      <c r="J431" s="16">
        <v>90613</v>
      </c>
      <c r="K431" s="16">
        <v>2874</v>
      </c>
      <c r="L431" s="16">
        <v>7183</v>
      </c>
      <c r="M431" s="16">
        <v>11628</v>
      </c>
      <c r="N431" s="16">
        <v>29067</v>
      </c>
      <c r="O431" s="16">
        <v>18732</v>
      </c>
      <c r="P431" s="16">
        <v>46827</v>
      </c>
      <c r="Q431" s="16">
        <v>1628</v>
      </c>
      <c r="R431" s="16">
        <v>4066</v>
      </c>
      <c r="S431" s="16">
        <v>1440</v>
      </c>
      <c r="T431" s="16">
        <v>3600</v>
      </c>
      <c r="U431" s="16">
        <v>4883</v>
      </c>
      <c r="V431" s="16">
        <v>12205</v>
      </c>
      <c r="W431" s="16">
        <v>8000</v>
      </c>
      <c r="X431" s="16">
        <v>20000</v>
      </c>
      <c r="Y431" s="16">
        <v>6400</v>
      </c>
      <c r="Z431" s="16">
        <v>16000</v>
      </c>
      <c r="AA431" s="16">
        <v>561</v>
      </c>
      <c r="AB431" s="16">
        <v>1400</v>
      </c>
      <c r="AC431" s="16">
        <v>20177</v>
      </c>
      <c r="AD431" s="16">
        <v>50441</v>
      </c>
      <c r="AE431" s="16">
        <v>20470</v>
      </c>
      <c r="AF431" s="16">
        <v>51172</v>
      </c>
      <c r="AG431" s="16">
        <v>732</v>
      </c>
      <c r="AH431" s="16">
        <v>1830</v>
      </c>
      <c r="AI431" s="16">
        <v>12000</v>
      </c>
      <c r="AJ431" s="16">
        <v>30000</v>
      </c>
      <c r="AK431" s="16">
        <v>2060</v>
      </c>
      <c r="AL431" s="16">
        <v>5148</v>
      </c>
      <c r="AM431" s="16">
        <v>2304</v>
      </c>
      <c r="AN431" s="16">
        <v>5760</v>
      </c>
      <c r="AO431" s="15">
        <v>2112</v>
      </c>
      <c r="AP431" s="15">
        <v>5280</v>
      </c>
      <c r="AQ431" s="15">
        <v>1000</v>
      </c>
      <c r="AR431" s="15">
        <v>2500</v>
      </c>
      <c r="AS431" s="15"/>
      <c r="AT431" s="15"/>
      <c r="AU431" s="15">
        <v>824</v>
      </c>
      <c r="AV431" s="15">
        <v>2058</v>
      </c>
      <c r="AW431" s="15">
        <v>192</v>
      </c>
      <c r="AX431" s="15">
        <v>476</v>
      </c>
      <c r="AY431" s="27">
        <f t="shared" si="25"/>
        <v>159463</v>
      </c>
      <c r="AZ431" s="27">
        <f t="shared" si="26"/>
        <v>398626</v>
      </c>
    </row>
    <row r="432" spans="1:52" x14ac:dyDescent="0.25">
      <c r="A432" s="13">
        <v>554</v>
      </c>
      <c r="B432" s="19" t="s">
        <v>920</v>
      </c>
      <c r="C432" s="26" t="s">
        <v>921</v>
      </c>
      <c r="D432" s="19" t="s">
        <v>42</v>
      </c>
      <c r="E432" s="16"/>
      <c r="F432" s="16"/>
      <c r="G432" s="16">
        <v>50</v>
      </c>
      <c r="H432" s="16">
        <v>125</v>
      </c>
      <c r="I432" s="16">
        <v>5119</v>
      </c>
      <c r="J432" s="16">
        <v>12796</v>
      </c>
      <c r="K432" s="16">
        <v>92</v>
      </c>
      <c r="L432" s="16">
        <v>230</v>
      </c>
      <c r="M432" s="16">
        <v>828</v>
      </c>
      <c r="N432" s="16">
        <v>2070</v>
      </c>
      <c r="O432" s="16">
        <v>3284</v>
      </c>
      <c r="P432" s="16">
        <v>8205</v>
      </c>
      <c r="Q432" s="16"/>
      <c r="R432" s="16"/>
      <c r="S432" s="16">
        <v>48</v>
      </c>
      <c r="T432" s="16">
        <v>120</v>
      </c>
      <c r="U432" s="16">
        <v>190</v>
      </c>
      <c r="V432" s="16">
        <v>474</v>
      </c>
      <c r="W432" s="16">
        <v>2000</v>
      </c>
      <c r="X432" s="16">
        <v>5000</v>
      </c>
      <c r="Y432" s="16">
        <v>536</v>
      </c>
      <c r="Z432" s="16">
        <v>1340</v>
      </c>
      <c r="AA432" s="16">
        <v>60</v>
      </c>
      <c r="AB432" s="16">
        <v>150</v>
      </c>
      <c r="AC432" s="16">
        <v>1376</v>
      </c>
      <c r="AD432" s="16">
        <v>3438</v>
      </c>
      <c r="AE432" s="16">
        <v>7793</v>
      </c>
      <c r="AF432" s="16">
        <v>19481</v>
      </c>
      <c r="AG432" s="16">
        <v>4</v>
      </c>
      <c r="AH432" s="16">
        <v>7</v>
      </c>
      <c r="AI432" s="16">
        <v>2156</v>
      </c>
      <c r="AJ432" s="16">
        <v>5384</v>
      </c>
      <c r="AK432" s="16">
        <v>152</v>
      </c>
      <c r="AL432" s="16">
        <v>378</v>
      </c>
      <c r="AM432" s="16"/>
      <c r="AN432" s="16"/>
      <c r="AO432" s="15">
        <v>1173</v>
      </c>
      <c r="AP432" s="15">
        <v>2929</v>
      </c>
      <c r="AQ432" s="15">
        <v>4</v>
      </c>
      <c r="AR432" s="15">
        <v>10</v>
      </c>
      <c r="AS432" s="15"/>
      <c r="AT432" s="15"/>
      <c r="AU432" s="15"/>
      <c r="AV432" s="15"/>
      <c r="AW432" s="15"/>
      <c r="AX432" s="15"/>
      <c r="AY432" s="27">
        <f t="shared" si="25"/>
        <v>24865</v>
      </c>
      <c r="AZ432" s="27">
        <f t="shared" si="26"/>
        <v>62137</v>
      </c>
    </row>
    <row r="433" spans="1:52" x14ac:dyDescent="0.25">
      <c r="A433" s="13">
        <v>556</v>
      </c>
      <c r="B433" s="19" t="s">
        <v>922</v>
      </c>
      <c r="C433" s="26" t="s">
        <v>923</v>
      </c>
      <c r="D433" s="19" t="s">
        <v>42</v>
      </c>
      <c r="E433" s="16"/>
      <c r="F433" s="16"/>
      <c r="G433" s="16">
        <v>140</v>
      </c>
      <c r="H433" s="16">
        <v>350</v>
      </c>
      <c r="I433" s="16">
        <v>2884</v>
      </c>
      <c r="J433" s="16">
        <v>7207</v>
      </c>
      <c r="K433" s="16"/>
      <c r="L433" s="16"/>
      <c r="M433" s="16"/>
      <c r="N433" s="16"/>
      <c r="O433" s="16">
        <v>3164</v>
      </c>
      <c r="P433" s="16">
        <v>7908</v>
      </c>
      <c r="Q433" s="16"/>
      <c r="R433" s="16"/>
      <c r="S433" s="16">
        <v>144</v>
      </c>
      <c r="T433" s="16">
        <v>360</v>
      </c>
      <c r="U433" s="16">
        <v>654</v>
      </c>
      <c r="V433" s="16">
        <v>1632</v>
      </c>
      <c r="W433" s="16">
        <v>144</v>
      </c>
      <c r="X433" s="16">
        <v>360</v>
      </c>
      <c r="Y433" s="16">
        <v>338</v>
      </c>
      <c r="Z433" s="16">
        <v>840</v>
      </c>
      <c r="AA433" s="16">
        <v>16</v>
      </c>
      <c r="AB433" s="16">
        <v>40</v>
      </c>
      <c r="AC433" s="16">
        <v>953</v>
      </c>
      <c r="AD433" s="16">
        <v>2378</v>
      </c>
      <c r="AE433" s="16">
        <v>10775</v>
      </c>
      <c r="AF433" s="16">
        <v>26935</v>
      </c>
      <c r="AG433" s="16"/>
      <c r="AH433" s="16"/>
      <c r="AI433" s="16">
        <v>228</v>
      </c>
      <c r="AJ433" s="16">
        <v>563</v>
      </c>
      <c r="AK433" s="16">
        <v>160</v>
      </c>
      <c r="AL433" s="16">
        <v>400</v>
      </c>
      <c r="AM433" s="16"/>
      <c r="AN433" s="16"/>
      <c r="AO433" s="15">
        <v>8</v>
      </c>
      <c r="AP433" s="15">
        <v>18</v>
      </c>
      <c r="AQ433" s="15"/>
      <c r="AR433" s="15"/>
      <c r="AS433" s="15"/>
      <c r="AT433" s="15"/>
      <c r="AU433" s="15"/>
      <c r="AV433" s="15"/>
      <c r="AW433" s="15"/>
      <c r="AX433" s="15"/>
      <c r="AY433" s="27">
        <f t="shared" si="25"/>
        <v>19608</v>
      </c>
      <c r="AZ433" s="27">
        <f t="shared" si="26"/>
        <v>48991</v>
      </c>
    </row>
    <row r="434" spans="1:52" x14ac:dyDescent="0.25">
      <c r="A434" s="13">
        <v>557</v>
      </c>
      <c r="B434" s="19" t="s">
        <v>924</v>
      </c>
      <c r="C434" s="26" t="s">
        <v>925</v>
      </c>
      <c r="D434" s="19" t="s">
        <v>42</v>
      </c>
      <c r="E434" s="16">
        <v>112</v>
      </c>
      <c r="F434" s="16">
        <v>280</v>
      </c>
      <c r="G434" s="16"/>
      <c r="H434" s="16"/>
      <c r="I434" s="16">
        <v>172</v>
      </c>
      <c r="J434" s="16">
        <v>430</v>
      </c>
      <c r="K434" s="16"/>
      <c r="L434" s="16"/>
      <c r="M434" s="16">
        <v>188</v>
      </c>
      <c r="N434" s="16">
        <v>466</v>
      </c>
      <c r="O434" s="16">
        <v>26</v>
      </c>
      <c r="P434" s="16">
        <v>64</v>
      </c>
      <c r="Q434" s="16"/>
      <c r="R434" s="16"/>
      <c r="S434" s="16"/>
      <c r="T434" s="16"/>
      <c r="U434" s="16">
        <v>24</v>
      </c>
      <c r="V434" s="16">
        <v>60</v>
      </c>
      <c r="W434" s="16">
        <v>28</v>
      </c>
      <c r="X434" s="16">
        <v>70</v>
      </c>
      <c r="Y434" s="16">
        <v>34</v>
      </c>
      <c r="Z434" s="16">
        <v>80</v>
      </c>
      <c r="AA434" s="16">
        <v>2</v>
      </c>
      <c r="AB434" s="16">
        <v>4</v>
      </c>
      <c r="AC434" s="16">
        <v>25</v>
      </c>
      <c r="AD434" s="16">
        <v>61</v>
      </c>
      <c r="AE434" s="16">
        <v>64</v>
      </c>
      <c r="AF434" s="16">
        <v>160</v>
      </c>
      <c r="AG434" s="16"/>
      <c r="AH434" s="16"/>
      <c r="AI434" s="16">
        <v>3</v>
      </c>
      <c r="AJ434" s="16">
        <v>5</v>
      </c>
      <c r="AK434" s="16"/>
      <c r="AL434" s="16"/>
      <c r="AM434" s="16"/>
      <c r="AN434" s="16"/>
      <c r="AO434" s="15">
        <v>18</v>
      </c>
      <c r="AP434" s="15">
        <v>43</v>
      </c>
      <c r="AQ434" s="15"/>
      <c r="AR434" s="15"/>
      <c r="AS434" s="15"/>
      <c r="AT434" s="15"/>
      <c r="AU434" s="15"/>
      <c r="AV434" s="15"/>
      <c r="AW434" s="15"/>
      <c r="AX434" s="15"/>
      <c r="AY434" s="27">
        <f t="shared" si="25"/>
        <v>696</v>
      </c>
      <c r="AZ434" s="27">
        <f t="shared" si="26"/>
        <v>1723</v>
      </c>
    </row>
    <row r="435" spans="1:52" x14ac:dyDescent="0.25">
      <c r="A435" s="13">
        <v>559</v>
      </c>
      <c r="B435" s="19" t="s">
        <v>926</v>
      </c>
      <c r="C435" s="26" t="s">
        <v>927</v>
      </c>
      <c r="D435" s="19" t="s">
        <v>42</v>
      </c>
      <c r="E435" s="16"/>
      <c r="F435" s="16"/>
      <c r="G435" s="16">
        <v>40</v>
      </c>
      <c r="H435" s="16">
        <v>100</v>
      </c>
      <c r="I435" s="16">
        <v>60</v>
      </c>
      <c r="J435" s="16">
        <v>146</v>
      </c>
      <c r="K435" s="16"/>
      <c r="L435" s="16"/>
      <c r="M435" s="16"/>
      <c r="N435" s="16"/>
      <c r="O435" s="16"/>
      <c r="P435" s="16"/>
      <c r="Q435" s="16"/>
      <c r="R435" s="16"/>
      <c r="S435" s="16"/>
      <c r="T435" s="16"/>
      <c r="U435" s="16">
        <v>531</v>
      </c>
      <c r="V435" s="16">
        <v>1325</v>
      </c>
      <c r="W435" s="16"/>
      <c r="X435" s="16"/>
      <c r="Y435" s="16"/>
      <c r="Z435" s="16"/>
      <c r="AA435" s="16"/>
      <c r="AB435" s="16"/>
      <c r="AC435" s="16">
        <v>800</v>
      </c>
      <c r="AD435" s="16">
        <v>2000</v>
      </c>
      <c r="AE435" s="16">
        <v>360</v>
      </c>
      <c r="AF435" s="16">
        <v>895</v>
      </c>
      <c r="AG435" s="16"/>
      <c r="AH435" s="16"/>
      <c r="AI435" s="16"/>
      <c r="AJ435" s="16"/>
      <c r="AK435" s="16"/>
      <c r="AL435" s="16"/>
      <c r="AM435" s="16"/>
      <c r="AN435" s="16"/>
      <c r="AO435" s="15"/>
      <c r="AP435" s="15"/>
      <c r="AQ435" s="15"/>
      <c r="AR435" s="15"/>
      <c r="AS435" s="15"/>
      <c r="AT435" s="15"/>
      <c r="AU435" s="15"/>
      <c r="AV435" s="15"/>
      <c r="AW435" s="15"/>
      <c r="AX435" s="15"/>
      <c r="AY435" s="27">
        <f t="shared" si="25"/>
        <v>1791</v>
      </c>
      <c r="AZ435" s="27">
        <f t="shared" si="26"/>
        <v>4466</v>
      </c>
    </row>
    <row r="436" spans="1:52" x14ac:dyDescent="0.25">
      <c r="A436" s="13">
        <v>560</v>
      </c>
      <c r="B436" s="19" t="s">
        <v>928</v>
      </c>
      <c r="C436" s="26" t="s">
        <v>929</v>
      </c>
      <c r="D436" s="19" t="s">
        <v>42</v>
      </c>
      <c r="E436" s="16">
        <v>20</v>
      </c>
      <c r="F436" s="16">
        <v>50</v>
      </c>
      <c r="G436" s="16"/>
      <c r="H436" s="16"/>
      <c r="I436" s="16"/>
      <c r="J436" s="16"/>
      <c r="K436" s="16"/>
      <c r="L436" s="16"/>
      <c r="M436" s="16"/>
      <c r="N436" s="16"/>
      <c r="O436" s="16"/>
      <c r="P436" s="16"/>
      <c r="Q436" s="16"/>
      <c r="R436" s="16"/>
      <c r="S436" s="16"/>
      <c r="T436" s="16"/>
      <c r="U436" s="16"/>
      <c r="V436" s="16"/>
      <c r="W436" s="16">
        <v>22</v>
      </c>
      <c r="X436" s="16">
        <v>54</v>
      </c>
      <c r="Y436" s="16"/>
      <c r="Z436" s="16"/>
      <c r="AA436" s="16"/>
      <c r="AB436" s="16"/>
      <c r="AC436" s="16">
        <v>4</v>
      </c>
      <c r="AD436" s="16">
        <v>7</v>
      </c>
      <c r="AE436" s="16"/>
      <c r="AF436" s="16"/>
      <c r="AG436" s="16"/>
      <c r="AH436" s="16"/>
      <c r="AI436" s="16"/>
      <c r="AJ436" s="16"/>
      <c r="AK436" s="16"/>
      <c r="AL436" s="16"/>
      <c r="AM436" s="16"/>
      <c r="AN436" s="16"/>
      <c r="AO436" s="15"/>
      <c r="AP436" s="15"/>
      <c r="AQ436" s="15"/>
      <c r="AR436" s="15"/>
      <c r="AS436" s="15"/>
      <c r="AT436" s="15"/>
      <c r="AU436" s="15"/>
      <c r="AV436" s="15"/>
      <c r="AW436" s="15"/>
      <c r="AX436" s="15"/>
      <c r="AY436" s="27">
        <f t="shared" si="25"/>
        <v>46</v>
      </c>
      <c r="AZ436" s="27">
        <f t="shared" si="26"/>
        <v>111</v>
      </c>
    </row>
    <row r="437" spans="1:52" x14ac:dyDescent="0.25">
      <c r="A437" s="13">
        <v>563</v>
      </c>
      <c r="B437" s="19" t="s">
        <v>930</v>
      </c>
      <c r="C437" s="26" t="s">
        <v>931</v>
      </c>
      <c r="D437" s="19" t="s">
        <v>42</v>
      </c>
      <c r="E437" s="16"/>
      <c r="F437" s="16"/>
      <c r="G437" s="16"/>
      <c r="H437" s="16"/>
      <c r="I437" s="16">
        <v>2623</v>
      </c>
      <c r="J437" s="16">
        <v>6555</v>
      </c>
      <c r="K437" s="16">
        <v>80</v>
      </c>
      <c r="L437" s="16">
        <v>200</v>
      </c>
      <c r="M437" s="16"/>
      <c r="N437" s="16"/>
      <c r="O437" s="16">
        <v>976</v>
      </c>
      <c r="P437" s="16">
        <v>2436</v>
      </c>
      <c r="Q437" s="16"/>
      <c r="R437" s="16"/>
      <c r="S437" s="16">
        <v>24</v>
      </c>
      <c r="T437" s="16">
        <v>55</v>
      </c>
      <c r="U437" s="16">
        <v>354</v>
      </c>
      <c r="V437" s="16">
        <v>878</v>
      </c>
      <c r="W437" s="16">
        <v>488</v>
      </c>
      <c r="X437" s="16">
        <v>1220</v>
      </c>
      <c r="Y437" s="16">
        <v>306</v>
      </c>
      <c r="Z437" s="16">
        <v>760</v>
      </c>
      <c r="AA437" s="16"/>
      <c r="AB437" s="16"/>
      <c r="AC437" s="16">
        <v>1308</v>
      </c>
      <c r="AD437" s="16">
        <v>3268</v>
      </c>
      <c r="AE437" s="16">
        <v>2928</v>
      </c>
      <c r="AF437" s="16">
        <v>7320</v>
      </c>
      <c r="AG437" s="16"/>
      <c r="AH437" s="16"/>
      <c r="AI437" s="16">
        <v>745</v>
      </c>
      <c r="AJ437" s="16">
        <v>1860</v>
      </c>
      <c r="AK437" s="16"/>
      <c r="AL437" s="16"/>
      <c r="AM437" s="16"/>
      <c r="AN437" s="16"/>
      <c r="AO437" s="15"/>
      <c r="AP437" s="15"/>
      <c r="AQ437" s="15"/>
      <c r="AR437" s="15"/>
      <c r="AS437" s="15"/>
      <c r="AT437" s="15"/>
      <c r="AU437" s="15"/>
      <c r="AV437" s="15"/>
      <c r="AW437" s="15"/>
      <c r="AX437" s="15"/>
      <c r="AY437" s="27">
        <f t="shared" si="25"/>
        <v>9832</v>
      </c>
      <c r="AZ437" s="27">
        <f t="shared" si="26"/>
        <v>24552</v>
      </c>
    </row>
    <row r="438" spans="1:52" x14ac:dyDescent="0.25">
      <c r="A438" s="13">
        <v>564</v>
      </c>
      <c r="B438" s="19" t="s">
        <v>932</v>
      </c>
      <c r="C438" s="26" t="s">
        <v>933</v>
      </c>
      <c r="D438" s="19" t="s">
        <v>42</v>
      </c>
      <c r="E438" s="16">
        <v>32</v>
      </c>
      <c r="F438" s="16">
        <v>80</v>
      </c>
      <c r="G438" s="16">
        <v>11</v>
      </c>
      <c r="H438" s="16">
        <v>25</v>
      </c>
      <c r="I438" s="16">
        <v>3065</v>
      </c>
      <c r="J438" s="16">
        <v>7659</v>
      </c>
      <c r="K438" s="16">
        <v>128</v>
      </c>
      <c r="L438" s="16">
        <v>320</v>
      </c>
      <c r="M438" s="16">
        <v>4</v>
      </c>
      <c r="N438" s="16">
        <v>8</v>
      </c>
      <c r="O438" s="16">
        <v>678</v>
      </c>
      <c r="P438" s="16">
        <v>1692</v>
      </c>
      <c r="Q438" s="16"/>
      <c r="R438" s="16"/>
      <c r="S438" s="16">
        <v>80</v>
      </c>
      <c r="T438" s="16">
        <v>200</v>
      </c>
      <c r="U438" s="16">
        <v>436</v>
      </c>
      <c r="V438" s="16">
        <v>1088</v>
      </c>
      <c r="W438" s="16">
        <v>984</v>
      </c>
      <c r="X438" s="16">
        <v>2460</v>
      </c>
      <c r="Y438" s="16">
        <v>704</v>
      </c>
      <c r="Z438" s="16">
        <v>1760</v>
      </c>
      <c r="AA438" s="16"/>
      <c r="AB438" s="16"/>
      <c r="AC438" s="16"/>
      <c r="AD438" s="16"/>
      <c r="AE438" s="16">
        <v>3160</v>
      </c>
      <c r="AF438" s="16">
        <v>7900</v>
      </c>
      <c r="AG438" s="16"/>
      <c r="AH438" s="16"/>
      <c r="AI438" s="16">
        <v>529</v>
      </c>
      <c r="AJ438" s="16">
        <v>1316</v>
      </c>
      <c r="AK438" s="16"/>
      <c r="AL438" s="16"/>
      <c r="AM438" s="16"/>
      <c r="AN438" s="16"/>
      <c r="AO438" s="15"/>
      <c r="AP438" s="15"/>
      <c r="AQ438" s="15"/>
      <c r="AR438" s="15"/>
      <c r="AS438" s="15"/>
      <c r="AT438" s="15"/>
      <c r="AU438" s="15"/>
      <c r="AV438" s="15"/>
      <c r="AW438" s="15"/>
      <c r="AX438" s="15"/>
      <c r="AY438" s="27">
        <f t="shared" si="25"/>
        <v>9811</v>
      </c>
      <c r="AZ438" s="27">
        <f t="shared" si="26"/>
        <v>24508</v>
      </c>
    </row>
    <row r="439" spans="1:52" x14ac:dyDescent="0.25">
      <c r="A439" s="13">
        <v>565</v>
      </c>
      <c r="B439" s="19" t="s">
        <v>934</v>
      </c>
      <c r="C439" s="26" t="s">
        <v>935</v>
      </c>
      <c r="D439" s="19" t="s">
        <v>42</v>
      </c>
      <c r="E439" s="16"/>
      <c r="F439" s="16"/>
      <c r="G439" s="16">
        <v>11</v>
      </c>
      <c r="H439" s="16">
        <v>25</v>
      </c>
      <c r="I439" s="16">
        <v>2215</v>
      </c>
      <c r="J439" s="16">
        <v>5535</v>
      </c>
      <c r="K439" s="16"/>
      <c r="L439" s="16"/>
      <c r="M439" s="16"/>
      <c r="N439" s="16"/>
      <c r="O439" s="16">
        <v>1114</v>
      </c>
      <c r="P439" s="16">
        <v>2784</v>
      </c>
      <c r="Q439" s="16"/>
      <c r="R439" s="16"/>
      <c r="S439" s="16">
        <v>192</v>
      </c>
      <c r="T439" s="16">
        <v>480</v>
      </c>
      <c r="U439" s="16">
        <v>524</v>
      </c>
      <c r="V439" s="16">
        <v>1308</v>
      </c>
      <c r="W439" s="16">
        <v>260</v>
      </c>
      <c r="X439" s="16">
        <v>650</v>
      </c>
      <c r="Y439" s="16">
        <v>480</v>
      </c>
      <c r="Z439" s="16">
        <v>1200</v>
      </c>
      <c r="AA439" s="16"/>
      <c r="AB439" s="16"/>
      <c r="AC439" s="16">
        <v>404</v>
      </c>
      <c r="AD439" s="16">
        <v>1008</v>
      </c>
      <c r="AE439" s="16">
        <v>4000</v>
      </c>
      <c r="AF439" s="16">
        <v>10000</v>
      </c>
      <c r="AG439" s="16"/>
      <c r="AH439" s="16"/>
      <c r="AI439" s="16">
        <v>338</v>
      </c>
      <c r="AJ439" s="16">
        <v>842</v>
      </c>
      <c r="AK439" s="16"/>
      <c r="AL439" s="16"/>
      <c r="AM439" s="16"/>
      <c r="AN439" s="16"/>
      <c r="AO439" s="15"/>
      <c r="AP439" s="15"/>
      <c r="AQ439" s="15"/>
      <c r="AR439" s="15"/>
      <c r="AS439" s="15"/>
      <c r="AT439" s="15"/>
      <c r="AU439" s="15"/>
      <c r="AV439" s="15"/>
      <c r="AW439" s="15"/>
      <c r="AX439" s="15"/>
      <c r="AY439" s="27">
        <f t="shared" si="25"/>
        <v>9538</v>
      </c>
      <c r="AZ439" s="27">
        <f t="shared" si="26"/>
        <v>23832</v>
      </c>
    </row>
    <row r="440" spans="1:52" x14ac:dyDescent="0.25">
      <c r="A440" s="13">
        <v>566</v>
      </c>
      <c r="B440" s="19" t="s">
        <v>936</v>
      </c>
      <c r="C440" s="26" t="s">
        <v>937</v>
      </c>
      <c r="D440" s="19" t="s">
        <v>42</v>
      </c>
      <c r="E440" s="16">
        <v>8</v>
      </c>
      <c r="F440" s="16">
        <v>20</v>
      </c>
      <c r="G440" s="16"/>
      <c r="H440" s="16"/>
      <c r="I440" s="16"/>
      <c r="J440" s="16"/>
      <c r="K440" s="16"/>
      <c r="L440" s="16"/>
      <c r="M440" s="16">
        <v>320</v>
      </c>
      <c r="N440" s="16">
        <v>800</v>
      </c>
      <c r="O440" s="16"/>
      <c r="P440" s="16"/>
      <c r="Q440" s="16"/>
      <c r="R440" s="16"/>
      <c r="S440" s="16"/>
      <c r="T440" s="16"/>
      <c r="U440" s="16">
        <v>106</v>
      </c>
      <c r="V440" s="16">
        <v>264</v>
      </c>
      <c r="W440" s="16"/>
      <c r="X440" s="16"/>
      <c r="Y440" s="16"/>
      <c r="Z440" s="16"/>
      <c r="AA440" s="16">
        <v>4</v>
      </c>
      <c r="AB440" s="16">
        <v>10</v>
      </c>
      <c r="AC440" s="16"/>
      <c r="AD440" s="16"/>
      <c r="AE440" s="16">
        <v>288</v>
      </c>
      <c r="AF440" s="16">
        <v>720</v>
      </c>
      <c r="AG440" s="16"/>
      <c r="AH440" s="16"/>
      <c r="AI440" s="16">
        <v>340</v>
      </c>
      <c r="AJ440" s="16">
        <v>846</v>
      </c>
      <c r="AK440" s="16"/>
      <c r="AL440" s="16"/>
      <c r="AM440" s="16">
        <v>10</v>
      </c>
      <c r="AN440" s="16">
        <v>24</v>
      </c>
      <c r="AO440" s="15">
        <v>936</v>
      </c>
      <c r="AP440" s="15">
        <v>2337</v>
      </c>
      <c r="AQ440" s="15"/>
      <c r="AR440" s="15"/>
      <c r="AS440" s="15"/>
      <c r="AT440" s="15"/>
      <c r="AU440" s="15"/>
      <c r="AV440" s="15"/>
      <c r="AW440" s="15"/>
      <c r="AX440" s="15"/>
      <c r="AY440" s="27">
        <f t="shared" si="25"/>
        <v>2012</v>
      </c>
      <c r="AZ440" s="27">
        <f t="shared" si="26"/>
        <v>5021</v>
      </c>
    </row>
    <row r="441" spans="1:52" x14ac:dyDescent="0.25">
      <c r="A441" s="13">
        <v>567</v>
      </c>
      <c r="B441" s="19" t="s">
        <v>938</v>
      </c>
      <c r="C441" s="26" t="s">
        <v>939</v>
      </c>
      <c r="D441" s="19" t="s">
        <v>42</v>
      </c>
      <c r="E441" s="16">
        <v>24</v>
      </c>
      <c r="F441" s="16">
        <v>60</v>
      </c>
      <c r="G441" s="16"/>
      <c r="H441" s="16"/>
      <c r="I441" s="16">
        <v>76</v>
      </c>
      <c r="J441" s="16">
        <v>185</v>
      </c>
      <c r="K441" s="16"/>
      <c r="L441" s="16"/>
      <c r="M441" s="16">
        <v>8</v>
      </c>
      <c r="N441" s="16">
        <v>20</v>
      </c>
      <c r="O441" s="16">
        <v>86</v>
      </c>
      <c r="P441" s="16">
        <v>212</v>
      </c>
      <c r="Q441" s="16"/>
      <c r="R441" s="16"/>
      <c r="S441" s="16"/>
      <c r="T441" s="16"/>
      <c r="U441" s="16">
        <v>101</v>
      </c>
      <c r="V441" s="16">
        <v>251</v>
      </c>
      <c r="W441" s="16">
        <v>48</v>
      </c>
      <c r="X441" s="16">
        <v>120</v>
      </c>
      <c r="Y441" s="16">
        <v>222</v>
      </c>
      <c r="Z441" s="16">
        <v>554</v>
      </c>
      <c r="AA441" s="16"/>
      <c r="AB441" s="16"/>
      <c r="AC441" s="16">
        <v>159</v>
      </c>
      <c r="AD441" s="16">
        <v>394</v>
      </c>
      <c r="AE441" s="16">
        <v>24</v>
      </c>
      <c r="AF441" s="16">
        <v>59</v>
      </c>
      <c r="AG441" s="16"/>
      <c r="AH441" s="16"/>
      <c r="AI441" s="16"/>
      <c r="AJ441" s="16"/>
      <c r="AK441" s="16"/>
      <c r="AL441" s="16"/>
      <c r="AM441" s="16"/>
      <c r="AN441" s="16"/>
      <c r="AO441" s="15"/>
      <c r="AP441" s="15"/>
      <c r="AQ441" s="15"/>
      <c r="AR441" s="15"/>
      <c r="AS441" s="15"/>
      <c r="AT441" s="15"/>
      <c r="AU441" s="15"/>
      <c r="AV441" s="15"/>
      <c r="AW441" s="15"/>
      <c r="AX441" s="15"/>
      <c r="AY441" s="27">
        <f t="shared" si="25"/>
        <v>748</v>
      </c>
      <c r="AZ441" s="27">
        <f t="shared" si="26"/>
        <v>1855</v>
      </c>
    </row>
    <row r="442" spans="1:52" x14ac:dyDescent="0.25">
      <c r="A442" s="13">
        <v>568</v>
      </c>
      <c r="B442" s="19" t="s">
        <v>940</v>
      </c>
      <c r="C442" s="26" t="s">
        <v>941</v>
      </c>
      <c r="D442" s="19" t="s">
        <v>42</v>
      </c>
      <c r="E442" s="16">
        <v>8</v>
      </c>
      <c r="F442" s="16">
        <v>20</v>
      </c>
      <c r="G442" s="16"/>
      <c r="H442" s="16"/>
      <c r="I442" s="16"/>
      <c r="J442" s="16"/>
      <c r="K442" s="16"/>
      <c r="L442" s="16"/>
      <c r="M442" s="16">
        <v>144</v>
      </c>
      <c r="N442" s="16">
        <v>360</v>
      </c>
      <c r="O442" s="16"/>
      <c r="P442" s="16"/>
      <c r="Q442" s="16"/>
      <c r="R442" s="16"/>
      <c r="S442" s="16"/>
      <c r="T442" s="16"/>
      <c r="U442" s="16">
        <v>9</v>
      </c>
      <c r="V442" s="16">
        <v>22</v>
      </c>
      <c r="W442" s="16"/>
      <c r="X442" s="16"/>
      <c r="Y442" s="16"/>
      <c r="Z442" s="16"/>
      <c r="AA442" s="16">
        <v>4</v>
      </c>
      <c r="AB442" s="16">
        <v>10</v>
      </c>
      <c r="AC442" s="16"/>
      <c r="AD442" s="16"/>
      <c r="AE442" s="16"/>
      <c r="AF442" s="16"/>
      <c r="AG442" s="16"/>
      <c r="AH442" s="16"/>
      <c r="AI442" s="16">
        <v>214</v>
      </c>
      <c r="AJ442" s="16">
        <v>533</v>
      </c>
      <c r="AK442" s="16"/>
      <c r="AL442" s="16"/>
      <c r="AM442" s="16"/>
      <c r="AN442" s="16"/>
      <c r="AO442" s="15">
        <v>1492</v>
      </c>
      <c r="AP442" s="15">
        <v>3726</v>
      </c>
      <c r="AQ442" s="15"/>
      <c r="AR442" s="15"/>
      <c r="AS442" s="15"/>
      <c r="AT442" s="15"/>
      <c r="AU442" s="15"/>
      <c r="AV442" s="15"/>
      <c r="AW442" s="15"/>
      <c r="AX442" s="15"/>
      <c r="AY442" s="27">
        <f t="shared" si="25"/>
        <v>1871</v>
      </c>
      <c r="AZ442" s="27">
        <f t="shared" si="26"/>
        <v>4671</v>
      </c>
    </row>
    <row r="443" spans="1:52" x14ac:dyDescent="0.25">
      <c r="A443" s="13">
        <v>569</v>
      </c>
      <c r="B443" s="19" t="s">
        <v>942</v>
      </c>
      <c r="C443" s="26" t="s">
        <v>943</v>
      </c>
      <c r="D443" s="19" t="s">
        <v>42</v>
      </c>
      <c r="E443" s="16">
        <v>16</v>
      </c>
      <c r="F443" s="16">
        <v>40</v>
      </c>
      <c r="G443" s="16"/>
      <c r="H443" s="16"/>
      <c r="I443" s="16">
        <v>15</v>
      </c>
      <c r="J443" s="16">
        <v>35</v>
      </c>
      <c r="K443" s="16"/>
      <c r="L443" s="16"/>
      <c r="M443" s="16"/>
      <c r="N443" s="16"/>
      <c r="O443" s="16">
        <v>54</v>
      </c>
      <c r="P443" s="16">
        <v>132</v>
      </c>
      <c r="Q443" s="16"/>
      <c r="R443" s="16"/>
      <c r="S443" s="16"/>
      <c r="T443" s="16"/>
      <c r="U443" s="16">
        <v>28</v>
      </c>
      <c r="V443" s="16">
        <v>66</v>
      </c>
      <c r="W443" s="16"/>
      <c r="X443" s="16"/>
      <c r="Y443" s="16">
        <v>154</v>
      </c>
      <c r="Z443" s="16">
        <v>382</v>
      </c>
      <c r="AA443" s="16"/>
      <c r="AB443" s="16"/>
      <c r="AC443" s="16">
        <v>133</v>
      </c>
      <c r="AD443" s="16">
        <v>328</v>
      </c>
      <c r="AE443" s="16"/>
      <c r="AF443" s="16"/>
      <c r="AG443" s="16"/>
      <c r="AH443" s="16"/>
      <c r="AI443" s="16"/>
      <c r="AJ443" s="16"/>
      <c r="AK443" s="16"/>
      <c r="AL443" s="16"/>
      <c r="AM443" s="16">
        <v>14</v>
      </c>
      <c r="AN443" s="16">
        <v>32</v>
      </c>
      <c r="AO443" s="15"/>
      <c r="AP443" s="15"/>
      <c r="AQ443" s="15"/>
      <c r="AR443" s="15"/>
      <c r="AS443" s="15"/>
      <c r="AT443" s="15"/>
      <c r="AU443" s="15"/>
      <c r="AV443" s="15"/>
      <c r="AW443" s="15"/>
      <c r="AX443" s="15"/>
      <c r="AY443" s="27">
        <f t="shared" si="25"/>
        <v>414</v>
      </c>
      <c r="AZ443" s="27">
        <f t="shared" si="26"/>
        <v>1015</v>
      </c>
    </row>
    <row r="444" spans="1:52" x14ac:dyDescent="0.25">
      <c r="A444" s="13">
        <v>570</v>
      </c>
      <c r="B444" s="19" t="s">
        <v>944</v>
      </c>
      <c r="C444" s="26" t="s">
        <v>945</v>
      </c>
      <c r="D444" s="19" t="s">
        <v>42</v>
      </c>
      <c r="E444" s="16"/>
      <c r="F444" s="16"/>
      <c r="G444" s="16"/>
      <c r="H444" s="16"/>
      <c r="I444" s="16"/>
      <c r="J444" s="16"/>
      <c r="K444" s="16">
        <v>80</v>
      </c>
      <c r="L444" s="16">
        <v>200</v>
      </c>
      <c r="M444" s="16"/>
      <c r="N444" s="16"/>
      <c r="O444" s="16">
        <v>4</v>
      </c>
      <c r="P444" s="16">
        <v>6</v>
      </c>
      <c r="Q444" s="16"/>
      <c r="R444" s="16"/>
      <c r="S444" s="16"/>
      <c r="T444" s="16"/>
      <c r="U444" s="16">
        <v>266</v>
      </c>
      <c r="V444" s="16">
        <v>662</v>
      </c>
      <c r="W444" s="16">
        <v>4</v>
      </c>
      <c r="X444" s="16">
        <v>9</v>
      </c>
      <c r="Y444" s="16"/>
      <c r="Z444" s="16"/>
      <c r="AA444" s="16"/>
      <c r="AB444" s="16"/>
      <c r="AC444" s="16">
        <v>26</v>
      </c>
      <c r="AD444" s="16">
        <v>63</v>
      </c>
      <c r="AE444" s="16"/>
      <c r="AF444" s="16"/>
      <c r="AG444" s="16"/>
      <c r="AH444" s="16"/>
      <c r="AI444" s="16"/>
      <c r="AJ444" s="16"/>
      <c r="AK444" s="16"/>
      <c r="AL444" s="16"/>
      <c r="AM444" s="16"/>
      <c r="AN444" s="16"/>
      <c r="AO444" s="15"/>
      <c r="AP444" s="15"/>
      <c r="AQ444" s="15"/>
      <c r="AR444" s="15"/>
      <c r="AS444" s="15"/>
      <c r="AT444" s="15"/>
      <c r="AU444" s="15"/>
      <c r="AV444" s="15"/>
      <c r="AW444" s="15"/>
      <c r="AX444" s="15"/>
      <c r="AY444" s="27">
        <f t="shared" si="25"/>
        <v>380</v>
      </c>
      <c r="AZ444" s="27">
        <f t="shared" si="26"/>
        <v>940</v>
      </c>
    </row>
    <row r="445" spans="1:52" x14ac:dyDescent="0.25">
      <c r="A445" s="13">
        <v>571</v>
      </c>
      <c r="B445" s="19" t="s">
        <v>946</v>
      </c>
      <c r="C445" s="26" t="s">
        <v>947</v>
      </c>
      <c r="D445" s="19" t="s">
        <v>42</v>
      </c>
      <c r="E445" s="16"/>
      <c r="F445" s="16"/>
      <c r="G445" s="16">
        <v>21</v>
      </c>
      <c r="H445" s="16">
        <v>50</v>
      </c>
      <c r="I445" s="16">
        <v>1376</v>
      </c>
      <c r="J445" s="16">
        <v>3438</v>
      </c>
      <c r="K445" s="16">
        <v>190</v>
      </c>
      <c r="L445" s="16">
        <v>472</v>
      </c>
      <c r="M445" s="16"/>
      <c r="N445" s="16"/>
      <c r="O445" s="16">
        <v>339</v>
      </c>
      <c r="P445" s="16">
        <v>846</v>
      </c>
      <c r="Q445" s="16"/>
      <c r="R445" s="16"/>
      <c r="S445" s="16">
        <v>32</v>
      </c>
      <c r="T445" s="16">
        <v>80</v>
      </c>
      <c r="U445" s="16">
        <v>325</v>
      </c>
      <c r="V445" s="16">
        <v>805</v>
      </c>
      <c r="W445" s="16">
        <v>42</v>
      </c>
      <c r="X445" s="16">
        <v>100</v>
      </c>
      <c r="Y445" s="16">
        <v>224</v>
      </c>
      <c r="Z445" s="16">
        <v>560</v>
      </c>
      <c r="AA445" s="16">
        <v>32</v>
      </c>
      <c r="AB445" s="16">
        <v>80</v>
      </c>
      <c r="AC445" s="16">
        <v>568</v>
      </c>
      <c r="AD445" s="16">
        <v>1416</v>
      </c>
      <c r="AE445" s="16">
        <v>2082</v>
      </c>
      <c r="AF445" s="16">
        <v>5200</v>
      </c>
      <c r="AG445" s="16">
        <v>4</v>
      </c>
      <c r="AH445" s="16">
        <v>8</v>
      </c>
      <c r="AI445" s="16">
        <v>1190</v>
      </c>
      <c r="AJ445" s="16">
        <v>2969</v>
      </c>
      <c r="AK445" s="16">
        <v>164</v>
      </c>
      <c r="AL445" s="16">
        <v>410</v>
      </c>
      <c r="AM445" s="16"/>
      <c r="AN445" s="16"/>
      <c r="AO445" s="15">
        <v>108</v>
      </c>
      <c r="AP445" s="15">
        <v>270</v>
      </c>
      <c r="AQ445" s="15">
        <v>4</v>
      </c>
      <c r="AR445" s="15">
        <v>10</v>
      </c>
      <c r="AS445" s="15"/>
      <c r="AT445" s="15"/>
      <c r="AU445" s="15">
        <v>324</v>
      </c>
      <c r="AV445" s="15">
        <v>810</v>
      </c>
      <c r="AW445" s="15"/>
      <c r="AX445" s="15"/>
      <c r="AY445" s="27">
        <f t="shared" si="25"/>
        <v>7025</v>
      </c>
      <c r="AZ445" s="27">
        <f t="shared" si="26"/>
        <v>17524</v>
      </c>
    </row>
    <row r="446" spans="1:52" x14ac:dyDescent="0.25">
      <c r="A446" s="13">
        <v>572</v>
      </c>
      <c r="B446" s="19" t="s">
        <v>948</v>
      </c>
      <c r="C446" s="26" t="s">
        <v>949</v>
      </c>
      <c r="D446" s="19" t="s">
        <v>42</v>
      </c>
      <c r="E446" s="16"/>
      <c r="F446" s="16"/>
      <c r="G446" s="16"/>
      <c r="H446" s="16"/>
      <c r="I446" s="16"/>
      <c r="J446" s="16"/>
      <c r="K446" s="16"/>
      <c r="L446" s="16"/>
      <c r="M446" s="16"/>
      <c r="N446" s="16"/>
      <c r="O446" s="16">
        <v>20</v>
      </c>
      <c r="P446" s="16">
        <v>48</v>
      </c>
      <c r="Q446" s="16"/>
      <c r="R446" s="16"/>
      <c r="S446" s="16"/>
      <c r="T446" s="16"/>
      <c r="U446" s="16">
        <v>88</v>
      </c>
      <c r="V446" s="16">
        <v>220</v>
      </c>
      <c r="W446" s="16"/>
      <c r="X446" s="16"/>
      <c r="Y446" s="16"/>
      <c r="Z446" s="16"/>
      <c r="AA446" s="16"/>
      <c r="AB446" s="16"/>
      <c r="AC446" s="16"/>
      <c r="AD446" s="16"/>
      <c r="AE446" s="16">
        <v>480</v>
      </c>
      <c r="AF446" s="16">
        <v>1200</v>
      </c>
      <c r="AG446" s="16"/>
      <c r="AH446" s="16"/>
      <c r="AI446" s="16"/>
      <c r="AJ446" s="16"/>
      <c r="AK446" s="16">
        <v>160</v>
      </c>
      <c r="AL446" s="16">
        <v>400</v>
      </c>
      <c r="AM446" s="16"/>
      <c r="AN446" s="16"/>
      <c r="AO446" s="15"/>
      <c r="AP446" s="15"/>
      <c r="AQ446" s="15"/>
      <c r="AR446" s="15"/>
      <c r="AS446" s="15"/>
      <c r="AT446" s="15"/>
      <c r="AU446" s="15"/>
      <c r="AV446" s="15"/>
      <c r="AW446" s="15"/>
      <c r="AX446" s="15"/>
      <c r="AY446" s="27">
        <f t="shared" si="25"/>
        <v>748</v>
      </c>
      <c r="AZ446" s="27">
        <f t="shared" si="26"/>
        <v>1868</v>
      </c>
    </row>
    <row r="447" spans="1:52" x14ac:dyDescent="0.25">
      <c r="A447" s="13">
        <v>573</v>
      </c>
      <c r="B447" s="19" t="s">
        <v>950</v>
      </c>
      <c r="C447" s="26" t="s">
        <v>951</v>
      </c>
      <c r="D447" s="19" t="s">
        <v>42</v>
      </c>
      <c r="E447" s="16"/>
      <c r="F447" s="16"/>
      <c r="G447" s="16"/>
      <c r="H447" s="16"/>
      <c r="I447" s="16"/>
      <c r="J447" s="16"/>
      <c r="K447" s="16"/>
      <c r="L447" s="16"/>
      <c r="M447" s="16"/>
      <c r="N447" s="16"/>
      <c r="O447" s="16"/>
      <c r="P447" s="16"/>
      <c r="Q447" s="16"/>
      <c r="R447" s="16"/>
      <c r="S447" s="16"/>
      <c r="T447" s="16"/>
      <c r="U447" s="16">
        <v>44</v>
      </c>
      <c r="V447" s="16">
        <v>110</v>
      </c>
      <c r="W447" s="16"/>
      <c r="X447" s="16"/>
      <c r="Y447" s="16">
        <v>24</v>
      </c>
      <c r="Z447" s="16">
        <v>60</v>
      </c>
      <c r="AA447" s="16"/>
      <c r="AB447" s="16"/>
      <c r="AC447" s="16">
        <v>4</v>
      </c>
      <c r="AD447" s="16">
        <v>9</v>
      </c>
      <c r="AE447" s="16"/>
      <c r="AF447" s="16"/>
      <c r="AG447" s="16"/>
      <c r="AH447" s="16"/>
      <c r="AI447" s="16">
        <v>160</v>
      </c>
      <c r="AJ447" s="16">
        <v>400</v>
      </c>
      <c r="AK447" s="16"/>
      <c r="AL447" s="16"/>
      <c r="AM447" s="16"/>
      <c r="AN447" s="16"/>
      <c r="AO447" s="15">
        <v>4000</v>
      </c>
      <c r="AP447" s="15">
        <v>10000</v>
      </c>
      <c r="AQ447" s="15"/>
      <c r="AR447" s="15"/>
      <c r="AS447" s="15"/>
      <c r="AT447" s="15"/>
      <c r="AU447" s="15"/>
      <c r="AV447" s="15"/>
      <c r="AW447" s="15"/>
      <c r="AX447" s="15"/>
      <c r="AY447" s="27">
        <f t="shared" si="25"/>
        <v>4232</v>
      </c>
      <c r="AZ447" s="27">
        <f t="shared" si="26"/>
        <v>10579</v>
      </c>
    </row>
    <row r="448" spans="1:52" x14ac:dyDescent="0.25">
      <c r="A448" s="13">
        <v>574</v>
      </c>
      <c r="B448" s="19" t="s">
        <v>952</v>
      </c>
      <c r="C448" s="26" t="s">
        <v>953</v>
      </c>
      <c r="D448" s="19" t="s">
        <v>42</v>
      </c>
      <c r="E448" s="16"/>
      <c r="F448" s="16"/>
      <c r="G448" s="16">
        <v>108</v>
      </c>
      <c r="H448" s="16">
        <v>270</v>
      </c>
      <c r="I448" s="16">
        <v>7058</v>
      </c>
      <c r="J448" s="16">
        <v>17638</v>
      </c>
      <c r="K448" s="16">
        <v>116</v>
      </c>
      <c r="L448" s="16">
        <v>288</v>
      </c>
      <c r="M448" s="16">
        <v>46</v>
      </c>
      <c r="N448" s="16">
        <v>115</v>
      </c>
      <c r="O448" s="16">
        <v>1638</v>
      </c>
      <c r="P448" s="16">
        <v>4092</v>
      </c>
      <c r="Q448" s="16"/>
      <c r="R448" s="16"/>
      <c r="S448" s="16">
        <v>20</v>
      </c>
      <c r="T448" s="16">
        <v>50</v>
      </c>
      <c r="U448" s="16">
        <v>488</v>
      </c>
      <c r="V448" s="16">
        <v>1217</v>
      </c>
      <c r="W448" s="16">
        <v>208</v>
      </c>
      <c r="X448" s="16">
        <v>520</v>
      </c>
      <c r="Y448" s="16">
        <v>1200</v>
      </c>
      <c r="Z448" s="16">
        <v>3000</v>
      </c>
      <c r="AA448" s="16"/>
      <c r="AB448" s="16"/>
      <c r="AC448" s="16">
        <v>419</v>
      </c>
      <c r="AD448" s="16">
        <v>1045</v>
      </c>
      <c r="AE448" s="16">
        <v>1440</v>
      </c>
      <c r="AF448" s="16">
        <v>3600</v>
      </c>
      <c r="AG448" s="16"/>
      <c r="AH448" s="16"/>
      <c r="AI448" s="16">
        <v>348</v>
      </c>
      <c r="AJ448" s="16">
        <v>865</v>
      </c>
      <c r="AK448" s="16">
        <v>80</v>
      </c>
      <c r="AL448" s="16">
        <v>200</v>
      </c>
      <c r="AM448" s="16"/>
      <c r="AN448" s="16"/>
      <c r="AO448" s="15">
        <v>389</v>
      </c>
      <c r="AP448" s="15">
        <v>967</v>
      </c>
      <c r="AQ448" s="15"/>
      <c r="AR448" s="15"/>
      <c r="AS448" s="15"/>
      <c r="AT448" s="15"/>
      <c r="AU448" s="15"/>
      <c r="AV448" s="15"/>
      <c r="AW448" s="15"/>
      <c r="AX448" s="15"/>
      <c r="AY448" s="27">
        <f t="shared" si="25"/>
        <v>13558</v>
      </c>
      <c r="AZ448" s="27">
        <f t="shared" si="26"/>
        <v>33867</v>
      </c>
    </row>
    <row r="449" spans="1:52" x14ac:dyDescent="0.25">
      <c r="A449" s="13">
        <v>575</v>
      </c>
      <c r="B449" s="19" t="s">
        <v>954</v>
      </c>
      <c r="C449" s="26" t="s">
        <v>955</v>
      </c>
      <c r="D449" s="19" t="s">
        <v>42</v>
      </c>
      <c r="E449" s="16"/>
      <c r="F449" s="16"/>
      <c r="G449" s="16">
        <v>108</v>
      </c>
      <c r="H449" s="16">
        <v>270</v>
      </c>
      <c r="I449" s="16">
        <v>1279</v>
      </c>
      <c r="J449" s="16">
        <v>3190</v>
      </c>
      <c r="K449" s="16"/>
      <c r="L449" s="16"/>
      <c r="M449" s="16">
        <v>86</v>
      </c>
      <c r="N449" s="16">
        <v>213</v>
      </c>
      <c r="O449" s="16">
        <v>4212</v>
      </c>
      <c r="P449" s="16">
        <v>10528</v>
      </c>
      <c r="Q449" s="16"/>
      <c r="R449" s="16"/>
      <c r="S449" s="16">
        <v>20</v>
      </c>
      <c r="T449" s="16">
        <v>50</v>
      </c>
      <c r="U449" s="16">
        <v>496</v>
      </c>
      <c r="V449" s="16">
        <v>1236</v>
      </c>
      <c r="W449" s="16">
        <v>260</v>
      </c>
      <c r="X449" s="16">
        <v>650</v>
      </c>
      <c r="Y449" s="16">
        <v>336</v>
      </c>
      <c r="Z449" s="16">
        <v>840</v>
      </c>
      <c r="AA449" s="16">
        <v>12</v>
      </c>
      <c r="AB449" s="16">
        <v>30</v>
      </c>
      <c r="AC449" s="16">
        <v>929</v>
      </c>
      <c r="AD449" s="16">
        <v>2320</v>
      </c>
      <c r="AE449" s="16">
        <v>2064</v>
      </c>
      <c r="AF449" s="16">
        <v>5160</v>
      </c>
      <c r="AG449" s="16"/>
      <c r="AH449" s="16"/>
      <c r="AI449" s="16">
        <v>177</v>
      </c>
      <c r="AJ449" s="16">
        <v>437</v>
      </c>
      <c r="AK449" s="16">
        <v>80</v>
      </c>
      <c r="AL449" s="16">
        <v>200</v>
      </c>
      <c r="AM449" s="16">
        <v>26</v>
      </c>
      <c r="AN449" s="16">
        <v>64</v>
      </c>
      <c r="AO449" s="15"/>
      <c r="AP449" s="15"/>
      <c r="AQ449" s="15"/>
      <c r="AR449" s="15"/>
      <c r="AS449" s="15"/>
      <c r="AT449" s="15"/>
      <c r="AU449" s="15"/>
      <c r="AV449" s="15"/>
      <c r="AW449" s="15"/>
      <c r="AX449" s="15"/>
      <c r="AY449" s="27">
        <f t="shared" si="25"/>
        <v>10085</v>
      </c>
      <c r="AZ449" s="27">
        <f t="shared" si="26"/>
        <v>25188</v>
      </c>
    </row>
    <row r="450" spans="1:52" x14ac:dyDescent="0.25">
      <c r="A450" s="13">
        <v>576</v>
      </c>
      <c r="B450" s="19" t="s">
        <v>956</v>
      </c>
      <c r="C450" s="26" t="s">
        <v>957</v>
      </c>
      <c r="D450" s="19" t="s">
        <v>42</v>
      </c>
      <c r="E450" s="16"/>
      <c r="F450" s="16"/>
      <c r="G450" s="16"/>
      <c r="H450" s="16"/>
      <c r="I450" s="16"/>
      <c r="J450" s="16"/>
      <c r="K450" s="16"/>
      <c r="L450" s="16"/>
      <c r="M450" s="16"/>
      <c r="N450" s="16"/>
      <c r="O450" s="16">
        <v>20</v>
      </c>
      <c r="P450" s="16">
        <v>48</v>
      </c>
      <c r="Q450" s="16"/>
      <c r="R450" s="16"/>
      <c r="S450" s="16"/>
      <c r="T450" s="16"/>
      <c r="U450" s="16">
        <v>88</v>
      </c>
      <c r="V450" s="16">
        <v>220</v>
      </c>
      <c r="W450" s="16"/>
      <c r="X450" s="16"/>
      <c r="Y450" s="16"/>
      <c r="Z450" s="16"/>
      <c r="AA450" s="16">
        <v>8</v>
      </c>
      <c r="AB450" s="16">
        <v>20</v>
      </c>
      <c r="AC450" s="16"/>
      <c r="AD450" s="16"/>
      <c r="AE450" s="16"/>
      <c r="AF450" s="16"/>
      <c r="AG450" s="16"/>
      <c r="AH450" s="16"/>
      <c r="AI450" s="16"/>
      <c r="AJ450" s="16"/>
      <c r="AK450" s="16">
        <v>40</v>
      </c>
      <c r="AL450" s="16">
        <v>100</v>
      </c>
      <c r="AM450" s="16"/>
      <c r="AN450" s="16"/>
      <c r="AO450" s="15"/>
      <c r="AP450" s="15"/>
      <c r="AQ450" s="15"/>
      <c r="AR450" s="15"/>
      <c r="AS450" s="15"/>
      <c r="AT450" s="15"/>
      <c r="AU450" s="15"/>
      <c r="AV450" s="15"/>
      <c r="AW450" s="15"/>
      <c r="AX450" s="15"/>
      <c r="AY450" s="27">
        <f t="shared" si="25"/>
        <v>156</v>
      </c>
      <c r="AZ450" s="27">
        <f t="shared" si="26"/>
        <v>388</v>
      </c>
    </row>
    <row r="451" spans="1:52" x14ac:dyDescent="0.25">
      <c r="A451" s="13">
        <v>577</v>
      </c>
      <c r="B451" s="19" t="s">
        <v>958</v>
      </c>
      <c r="C451" s="26" t="s">
        <v>959</v>
      </c>
      <c r="D451" s="19" t="s">
        <v>42</v>
      </c>
      <c r="E451" s="16"/>
      <c r="F451" s="16"/>
      <c r="G451" s="16"/>
      <c r="H451" s="16"/>
      <c r="I451" s="16">
        <v>1144</v>
      </c>
      <c r="J451" s="16">
        <v>2860</v>
      </c>
      <c r="K451" s="16"/>
      <c r="L451" s="16"/>
      <c r="M451" s="16">
        <v>87</v>
      </c>
      <c r="N451" s="16">
        <v>216</v>
      </c>
      <c r="O451" s="16"/>
      <c r="P451" s="16"/>
      <c r="Q451" s="16"/>
      <c r="R451" s="16"/>
      <c r="S451" s="16"/>
      <c r="T451" s="16"/>
      <c r="U451" s="16">
        <v>624</v>
      </c>
      <c r="V451" s="16">
        <v>1560</v>
      </c>
      <c r="W451" s="16">
        <v>200</v>
      </c>
      <c r="X451" s="16">
        <v>500</v>
      </c>
      <c r="Y451" s="16">
        <v>1254</v>
      </c>
      <c r="Z451" s="16">
        <v>3134</v>
      </c>
      <c r="AA451" s="16">
        <v>24</v>
      </c>
      <c r="AB451" s="16">
        <v>60</v>
      </c>
      <c r="AC451" s="16">
        <v>344</v>
      </c>
      <c r="AD451" s="16">
        <v>854</v>
      </c>
      <c r="AE451" s="16">
        <v>504</v>
      </c>
      <c r="AF451" s="16">
        <v>1260</v>
      </c>
      <c r="AG451" s="16"/>
      <c r="AH451" s="16"/>
      <c r="AI451" s="16">
        <v>168</v>
      </c>
      <c r="AJ451" s="16">
        <v>416</v>
      </c>
      <c r="AK451" s="16">
        <v>32</v>
      </c>
      <c r="AL451" s="16">
        <v>80</v>
      </c>
      <c r="AM451" s="16"/>
      <c r="AN451" s="16"/>
      <c r="AO451" s="15"/>
      <c r="AP451" s="15"/>
      <c r="AQ451" s="15"/>
      <c r="AR451" s="15"/>
      <c r="AS451" s="15"/>
      <c r="AT451" s="15"/>
      <c r="AU451" s="15"/>
      <c r="AV451" s="15"/>
      <c r="AW451" s="15"/>
      <c r="AX451" s="15"/>
      <c r="AY451" s="27">
        <f t="shared" si="25"/>
        <v>4381</v>
      </c>
      <c r="AZ451" s="27">
        <f t="shared" si="26"/>
        <v>10940</v>
      </c>
    </row>
    <row r="452" spans="1:52" x14ac:dyDescent="0.25">
      <c r="A452" s="13">
        <v>579</v>
      </c>
      <c r="B452" s="19" t="s">
        <v>960</v>
      </c>
      <c r="C452" s="26" t="s">
        <v>961</v>
      </c>
      <c r="D452" s="19" t="s">
        <v>42</v>
      </c>
      <c r="E452" s="16">
        <v>8</v>
      </c>
      <c r="F452" s="16">
        <v>20</v>
      </c>
      <c r="G452" s="16"/>
      <c r="H452" s="16"/>
      <c r="I452" s="16"/>
      <c r="J452" s="16"/>
      <c r="K452" s="16">
        <v>13</v>
      </c>
      <c r="L452" s="16">
        <v>31</v>
      </c>
      <c r="M452" s="16"/>
      <c r="N452" s="16"/>
      <c r="O452" s="16">
        <v>29</v>
      </c>
      <c r="P452" s="16">
        <v>70</v>
      </c>
      <c r="Q452" s="16"/>
      <c r="R452" s="16"/>
      <c r="S452" s="16">
        <v>7</v>
      </c>
      <c r="T452" s="16">
        <v>16</v>
      </c>
      <c r="U452" s="16">
        <v>2156</v>
      </c>
      <c r="V452" s="16">
        <v>5390</v>
      </c>
      <c r="W452" s="16">
        <v>15</v>
      </c>
      <c r="X452" s="16">
        <v>36</v>
      </c>
      <c r="Y452" s="16">
        <v>80</v>
      </c>
      <c r="Z452" s="16">
        <v>200</v>
      </c>
      <c r="AA452" s="16"/>
      <c r="AB452" s="16"/>
      <c r="AC452" s="16">
        <v>220</v>
      </c>
      <c r="AD452" s="16">
        <v>550</v>
      </c>
      <c r="AE452" s="16"/>
      <c r="AF452" s="16"/>
      <c r="AG452" s="16">
        <v>52</v>
      </c>
      <c r="AH452" s="16">
        <v>130</v>
      </c>
      <c r="AI452" s="16">
        <v>104</v>
      </c>
      <c r="AJ452" s="16">
        <v>260</v>
      </c>
      <c r="AK452" s="16">
        <v>1440</v>
      </c>
      <c r="AL452" s="16">
        <v>3600</v>
      </c>
      <c r="AM452" s="16">
        <v>1584</v>
      </c>
      <c r="AN452" s="16">
        <v>3960</v>
      </c>
      <c r="AO452" s="15"/>
      <c r="AP452" s="15"/>
      <c r="AQ452" s="15">
        <v>24</v>
      </c>
      <c r="AR452" s="15">
        <v>60</v>
      </c>
      <c r="AS452" s="15">
        <v>6688</v>
      </c>
      <c r="AT452" s="15">
        <v>16720</v>
      </c>
      <c r="AU452" s="15"/>
      <c r="AV452" s="15"/>
      <c r="AW452" s="15"/>
      <c r="AX452" s="15"/>
      <c r="AY452" s="27">
        <f t="shared" si="25"/>
        <v>12420</v>
      </c>
      <c r="AZ452" s="27">
        <f t="shared" si="26"/>
        <v>31043</v>
      </c>
    </row>
    <row r="453" spans="1:52" x14ac:dyDescent="0.25">
      <c r="A453" s="13">
        <v>581</v>
      </c>
      <c r="B453" s="19" t="s">
        <v>962</v>
      </c>
      <c r="C453" s="26" t="s">
        <v>963</v>
      </c>
      <c r="D453" s="19" t="s">
        <v>42</v>
      </c>
      <c r="E453" s="16">
        <v>40</v>
      </c>
      <c r="F453" s="16">
        <v>100</v>
      </c>
      <c r="G453" s="16"/>
      <c r="H453" s="16"/>
      <c r="I453" s="16">
        <v>240</v>
      </c>
      <c r="J453" s="16">
        <v>600</v>
      </c>
      <c r="K453" s="16">
        <v>122</v>
      </c>
      <c r="L453" s="16">
        <v>304</v>
      </c>
      <c r="M453" s="16"/>
      <c r="N453" s="16"/>
      <c r="O453" s="16">
        <v>169</v>
      </c>
      <c r="P453" s="16">
        <v>420</v>
      </c>
      <c r="Q453" s="16">
        <v>24</v>
      </c>
      <c r="R453" s="16">
        <v>58</v>
      </c>
      <c r="S453" s="16">
        <v>2</v>
      </c>
      <c r="T453" s="16">
        <v>3</v>
      </c>
      <c r="U453" s="16">
        <v>440</v>
      </c>
      <c r="V453" s="16">
        <v>1100</v>
      </c>
      <c r="W453" s="16">
        <v>8</v>
      </c>
      <c r="X453" s="16">
        <v>18</v>
      </c>
      <c r="Y453" s="16">
        <v>250</v>
      </c>
      <c r="Z453" s="16">
        <v>624</v>
      </c>
      <c r="AA453" s="16"/>
      <c r="AB453" s="16"/>
      <c r="AC453" s="16"/>
      <c r="AD453" s="16"/>
      <c r="AE453" s="16">
        <v>194</v>
      </c>
      <c r="AF453" s="16">
        <v>481</v>
      </c>
      <c r="AG453" s="16">
        <v>56</v>
      </c>
      <c r="AH453" s="16">
        <v>140</v>
      </c>
      <c r="AI453" s="16">
        <v>160</v>
      </c>
      <c r="AJ453" s="16">
        <v>400</v>
      </c>
      <c r="AK453" s="16">
        <v>526</v>
      </c>
      <c r="AL453" s="16">
        <v>1315</v>
      </c>
      <c r="AM453" s="16">
        <v>2016</v>
      </c>
      <c r="AN453" s="16">
        <v>5040</v>
      </c>
      <c r="AO453" s="15">
        <v>100</v>
      </c>
      <c r="AP453" s="15">
        <v>250</v>
      </c>
      <c r="AQ453" s="15"/>
      <c r="AR453" s="15"/>
      <c r="AS453" s="15">
        <v>13530</v>
      </c>
      <c r="AT453" s="15">
        <v>33825</v>
      </c>
      <c r="AU453" s="15"/>
      <c r="AV453" s="15"/>
      <c r="AW453" s="15"/>
      <c r="AX453" s="15"/>
      <c r="AY453" s="27">
        <f t="shared" si="25"/>
        <v>17877</v>
      </c>
      <c r="AZ453" s="27">
        <f t="shared" si="26"/>
        <v>44678</v>
      </c>
    </row>
    <row r="454" spans="1:52" x14ac:dyDescent="0.25">
      <c r="A454" s="13">
        <v>582</v>
      </c>
      <c r="B454" s="19" t="s">
        <v>964</v>
      </c>
      <c r="C454" s="26" t="s">
        <v>965</v>
      </c>
      <c r="D454" s="19" t="s">
        <v>42</v>
      </c>
      <c r="E454" s="16">
        <v>8</v>
      </c>
      <c r="F454" s="16">
        <v>20</v>
      </c>
      <c r="G454" s="16">
        <v>330</v>
      </c>
      <c r="H454" s="16">
        <v>824</v>
      </c>
      <c r="I454" s="16">
        <v>2122</v>
      </c>
      <c r="J454" s="16">
        <v>5302</v>
      </c>
      <c r="K454" s="16">
        <v>536</v>
      </c>
      <c r="L454" s="16">
        <v>1340</v>
      </c>
      <c r="M454" s="16">
        <v>1453</v>
      </c>
      <c r="N454" s="16">
        <v>3630</v>
      </c>
      <c r="O454" s="16">
        <v>225</v>
      </c>
      <c r="P454" s="16">
        <v>560</v>
      </c>
      <c r="Q454" s="16">
        <v>82</v>
      </c>
      <c r="R454" s="16">
        <v>202</v>
      </c>
      <c r="S454" s="16">
        <v>144</v>
      </c>
      <c r="T454" s="16">
        <v>360</v>
      </c>
      <c r="U454" s="16">
        <v>240</v>
      </c>
      <c r="V454" s="16">
        <v>600</v>
      </c>
      <c r="W454" s="16">
        <v>216</v>
      </c>
      <c r="X454" s="16">
        <v>540</v>
      </c>
      <c r="Y454" s="16">
        <v>54</v>
      </c>
      <c r="Z454" s="16">
        <v>132</v>
      </c>
      <c r="AA454" s="16">
        <v>24</v>
      </c>
      <c r="AB454" s="16">
        <v>60</v>
      </c>
      <c r="AC454" s="16">
        <v>40</v>
      </c>
      <c r="AD454" s="16">
        <v>97</v>
      </c>
      <c r="AE454" s="16">
        <v>48</v>
      </c>
      <c r="AF454" s="16">
        <v>120</v>
      </c>
      <c r="AG454" s="16"/>
      <c r="AH454" s="16"/>
      <c r="AI454" s="16"/>
      <c r="AJ454" s="16"/>
      <c r="AK454" s="16">
        <v>80</v>
      </c>
      <c r="AL454" s="16">
        <v>200</v>
      </c>
      <c r="AM454" s="16">
        <v>480</v>
      </c>
      <c r="AN454" s="16">
        <v>1200</v>
      </c>
      <c r="AO454" s="15">
        <v>24</v>
      </c>
      <c r="AP454" s="15">
        <v>60</v>
      </c>
      <c r="AQ454" s="15">
        <v>22</v>
      </c>
      <c r="AR454" s="15">
        <v>54</v>
      </c>
      <c r="AS454" s="15"/>
      <c r="AT454" s="15"/>
      <c r="AU454" s="15">
        <v>70</v>
      </c>
      <c r="AV454" s="15">
        <v>172</v>
      </c>
      <c r="AW454" s="15">
        <v>306</v>
      </c>
      <c r="AX454" s="15">
        <v>764</v>
      </c>
      <c r="AY454" s="27">
        <f t="shared" si="25"/>
        <v>6504</v>
      </c>
      <c r="AZ454" s="27">
        <f t="shared" si="26"/>
        <v>16237</v>
      </c>
    </row>
    <row r="455" spans="1:52" x14ac:dyDescent="0.25">
      <c r="A455" s="13">
        <v>583</v>
      </c>
      <c r="B455" s="19" t="s">
        <v>966</v>
      </c>
      <c r="C455" s="26" t="s">
        <v>967</v>
      </c>
      <c r="D455" s="19" t="s">
        <v>42</v>
      </c>
      <c r="E455" s="16">
        <v>40</v>
      </c>
      <c r="F455" s="16">
        <v>100</v>
      </c>
      <c r="G455" s="16">
        <v>280</v>
      </c>
      <c r="H455" s="16">
        <v>700</v>
      </c>
      <c r="I455" s="16"/>
      <c r="J455" s="16"/>
      <c r="K455" s="16">
        <v>348</v>
      </c>
      <c r="L455" s="16">
        <v>868</v>
      </c>
      <c r="M455" s="16">
        <v>536</v>
      </c>
      <c r="N455" s="16">
        <v>1340</v>
      </c>
      <c r="O455" s="16">
        <v>40</v>
      </c>
      <c r="P455" s="16">
        <v>100</v>
      </c>
      <c r="Q455" s="16"/>
      <c r="R455" s="16"/>
      <c r="S455" s="16">
        <v>21</v>
      </c>
      <c r="T455" s="16">
        <v>51</v>
      </c>
      <c r="U455" s="16">
        <v>780</v>
      </c>
      <c r="V455" s="16">
        <v>1950</v>
      </c>
      <c r="W455" s="16">
        <v>352</v>
      </c>
      <c r="X455" s="16">
        <v>880</v>
      </c>
      <c r="Y455" s="16">
        <v>156</v>
      </c>
      <c r="Z455" s="16">
        <v>390</v>
      </c>
      <c r="AA455" s="16">
        <v>480</v>
      </c>
      <c r="AB455" s="16">
        <v>1200</v>
      </c>
      <c r="AC455" s="16">
        <v>484</v>
      </c>
      <c r="AD455" s="16">
        <v>1210</v>
      </c>
      <c r="AE455" s="16">
        <v>960</v>
      </c>
      <c r="AF455" s="16">
        <v>2400</v>
      </c>
      <c r="AG455" s="16"/>
      <c r="AH455" s="16"/>
      <c r="AI455" s="16">
        <v>2208</v>
      </c>
      <c r="AJ455" s="16">
        <v>5520</v>
      </c>
      <c r="AK455" s="16">
        <v>44</v>
      </c>
      <c r="AL455" s="16">
        <v>110</v>
      </c>
      <c r="AM455" s="16">
        <v>424</v>
      </c>
      <c r="AN455" s="16">
        <v>1056</v>
      </c>
      <c r="AO455" s="15">
        <v>844</v>
      </c>
      <c r="AP455" s="15">
        <v>2110</v>
      </c>
      <c r="AQ455" s="15">
        <v>42</v>
      </c>
      <c r="AR455" s="15">
        <v>102</v>
      </c>
      <c r="AS455" s="15"/>
      <c r="AT455" s="15"/>
      <c r="AU455" s="15">
        <v>1000</v>
      </c>
      <c r="AV455" s="15">
        <v>2500</v>
      </c>
      <c r="AW455" s="15">
        <v>28</v>
      </c>
      <c r="AX455" s="15">
        <v>66</v>
      </c>
      <c r="AY455" s="27">
        <f t="shared" si="25"/>
        <v>9067</v>
      </c>
      <c r="AZ455" s="27">
        <f t="shared" si="26"/>
        <v>22653</v>
      </c>
    </row>
    <row r="456" spans="1:52" x14ac:dyDescent="0.25">
      <c r="A456" s="13">
        <v>584</v>
      </c>
      <c r="B456" s="19" t="s">
        <v>968</v>
      </c>
      <c r="C456" s="26" t="s">
        <v>969</v>
      </c>
      <c r="D456" s="19" t="s">
        <v>42</v>
      </c>
      <c r="E456" s="16">
        <v>24</v>
      </c>
      <c r="F456" s="16">
        <v>60</v>
      </c>
      <c r="G456" s="16">
        <v>216</v>
      </c>
      <c r="H456" s="16">
        <v>540</v>
      </c>
      <c r="I456" s="16"/>
      <c r="J456" s="16"/>
      <c r="K456" s="16">
        <v>1924</v>
      </c>
      <c r="L456" s="16">
        <v>4806</v>
      </c>
      <c r="M456" s="16"/>
      <c r="N456" s="16"/>
      <c r="O456" s="16">
        <v>3627</v>
      </c>
      <c r="P456" s="16">
        <v>9065</v>
      </c>
      <c r="Q456" s="16"/>
      <c r="R456" s="16"/>
      <c r="S456" s="16">
        <v>20</v>
      </c>
      <c r="T456" s="16">
        <v>50</v>
      </c>
      <c r="U456" s="16">
        <v>748</v>
      </c>
      <c r="V456" s="16">
        <v>1870</v>
      </c>
      <c r="W456" s="16">
        <v>480</v>
      </c>
      <c r="X456" s="16">
        <v>1200</v>
      </c>
      <c r="Y456" s="16">
        <v>310</v>
      </c>
      <c r="Z456" s="16">
        <v>772</v>
      </c>
      <c r="AA456" s="16">
        <v>932</v>
      </c>
      <c r="AB456" s="16">
        <v>2328</v>
      </c>
      <c r="AC456" s="16">
        <v>887</v>
      </c>
      <c r="AD456" s="16">
        <v>2215</v>
      </c>
      <c r="AE456" s="16">
        <v>1920</v>
      </c>
      <c r="AF456" s="16">
        <v>4800</v>
      </c>
      <c r="AG456" s="16">
        <v>48</v>
      </c>
      <c r="AH456" s="16">
        <v>120</v>
      </c>
      <c r="AI456" s="16">
        <v>9600</v>
      </c>
      <c r="AJ456" s="16">
        <v>24000</v>
      </c>
      <c r="AK456" s="16">
        <v>32</v>
      </c>
      <c r="AL456" s="16">
        <v>80</v>
      </c>
      <c r="AM456" s="16">
        <v>866</v>
      </c>
      <c r="AN456" s="16">
        <v>2160</v>
      </c>
      <c r="AO456" s="15">
        <v>480</v>
      </c>
      <c r="AP456" s="15">
        <v>1200</v>
      </c>
      <c r="AQ456" s="15">
        <v>8</v>
      </c>
      <c r="AR456" s="15">
        <v>18</v>
      </c>
      <c r="AS456" s="15">
        <v>132</v>
      </c>
      <c r="AT456" s="15">
        <v>330</v>
      </c>
      <c r="AU456" s="15">
        <v>2504</v>
      </c>
      <c r="AV456" s="15">
        <v>6260</v>
      </c>
      <c r="AW456" s="15"/>
      <c r="AX456" s="15"/>
      <c r="AY456" s="27">
        <f t="shared" si="25"/>
        <v>24758</v>
      </c>
      <c r="AZ456" s="27">
        <f t="shared" si="26"/>
        <v>61874</v>
      </c>
    </row>
    <row r="457" spans="1:52" x14ac:dyDescent="0.25">
      <c r="A457" s="13">
        <v>588</v>
      </c>
      <c r="B457" s="19" t="s">
        <v>970</v>
      </c>
      <c r="C457" s="26" t="s">
        <v>971</v>
      </c>
      <c r="D457" s="19" t="s">
        <v>42</v>
      </c>
      <c r="E457" s="16"/>
      <c r="F457" s="16"/>
      <c r="G457" s="16"/>
      <c r="H457" s="16"/>
      <c r="I457" s="16"/>
      <c r="J457" s="16"/>
      <c r="K457" s="16"/>
      <c r="L457" s="16"/>
      <c r="M457" s="16">
        <v>492</v>
      </c>
      <c r="N457" s="16">
        <v>1230</v>
      </c>
      <c r="O457" s="16"/>
      <c r="P457" s="16"/>
      <c r="Q457" s="16"/>
      <c r="R457" s="16"/>
      <c r="S457" s="16"/>
      <c r="T457" s="16"/>
      <c r="U457" s="16"/>
      <c r="V457" s="16"/>
      <c r="W457" s="16"/>
      <c r="X457" s="16"/>
      <c r="Y457" s="16">
        <v>48</v>
      </c>
      <c r="Z457" s="16">
        <v>120</v>
      </c>
      <c r="AA457" s="16"/>
      <c r="AB457" s="16"/>
      <c r="AC457" s="16"/>
      <c r="AD457" s="16"/>
      <c r="AE457" s="16"/>
      <c r="AF457" s="16"/>
      <c r="AG457" s="16"/>
      <c r="AH457" s="16"/>
      <c r="AI457" s="16"/>
      <c r="AJ457" s="16"/>
      <c r="AK457" s="16"/>
      <c r="AL457" s="16"/>
      <c r="AM457" s="16"/>
      <c r="AN457" s="16"/>
      <c r="AO457" s="15">
        <v>976</v>
      </c>
      <c r="AP457" s="15">
        <v>2436</v>
      </c>
      <c r="AQ457" s="15"/>
      <c r="AR457" s="15"/>
      <c r="AS457" s="15"/>
      <c r="AT457" s="15"/>
      <c r="AU457" s="15"/>
      <c r="AV457" s="15"/>
      <c r="AW457" s="15"/>
      <c r="AX457" s="15"/>
      <c r="AY457" s="27">
        <f t="shared" si="25"/>
        <v>1516</v>
      </c>
      <c r="AZ457" s="27">
        <f t="shared" si="26"/>
        <v>3786</v>
      </c>
    </row>
    <row r="458" spans="1:52" x14ac:dyDescent="0.25">
      <c r="A458" s="13">
        <v>597</v>
      </c>
      <c r="B458" s="19" t="s">
        <v>972</v>
      </c>
      <c r="C458" s="26" t="s">
        <v>973</v>
      </c>
      <c r="D458" s="19" t="s">
        <v>42</v>
      </c>
      <c r="E458" s="16"/>
      <c r="F458" s="16"/>
      <c r="G458" s="16"/>
      <c r="H458" s="16"/>
      <c r="I458" s="16"/>
      <c r="J458" s="16"/>
      <c r="K458" s="16">
        <v>24</v>
      </c>
      <c r="L458" s="16">
        <v>60</v>
      </c>
      <c r="M458" s="16"/>
      <c r="N458" s="16"/>
      <c r="O458" s="16"/>
      <c r="P458" s="16"/>
      <c r="Q458" s="16"/>
      <c r="R458" s="16"/>
      <c r="S458" s="16"/>
      <c r="T458" s="16"/>
      <c r="U458" s="16">
        <v>9</v>
      </c>
      <c r="V458" s="16">
        <v>22</v>
      </c>
      <c r="W458" s="16"/>
      <c r="X458" s="16"/>
      <c r="Y458" s="16"/>
      <c r="Z458" s="16"/>
      <c r="AA458" s="16"/>
      <c r="AB458" s="16"/>
      <c r="AC458" s="16"/>
      <c r="AD458" s="16"/>
      <c r="AE458" s="16"/>
      <c r="AF458" s="16"/>
      <c r="AG458" s="16">
        <v>134</v>
      </c>
      <c r="AH458" s="16">
        <v>335</v>
      </c>
      <c r="AI458" s="16">
        <v>120</v>
      </c>
      <c r="AJ458" s="16">
        <v>300</v>
      </c>
      <c r="AK458" s="16"/>
      <c r="AL458" s="16"/>
      <c r="AM458" s="16"/>
      <c r="AN458" s="16"/>
      <c r="AO458" s="15"/>
      <c r="AP458" s="15"/>
      <c r="AQ458" s="15"/>
      <c r="AR458" s="15"/>
      <c r="AS458" s="15"/>
      <c r="AT458" s="15"/>
      <c r="AU458" s="15"/>
      <c r="AV458" s="15"/>
      <c r="AW458" s="15"/>
      <c r="AX458" s="15"/>
      <c r="AY458" s="27">
        <f t="shared" si="25"/>
        <v>287</v>
      </c>
      <c r="AZ458" s="27">
        <f t="shared" si="26"/>
        <v>717</v>
      </c>
    </row>
    <row r="459" spans="1:52" x14ac:dyDescent="0.25">
      <c r="A459" s="13">
        <v>610</v>
      </c>
      <c r="B459" s="19" t="s">
        <v>974</v>
      </c>
      <c r="C459" s="26" t="s">
        <v>975</v>
      </c>
      <c r="D459" s="19" t="s">
        <v>42</v>
      </c>
      <c r="E459" s="16"/>
      <c r="F459" s="16"/>
      <c r="G459" s="16"/>
      <c r="H459" s="16"/>
      <c r="I459" s="16">
        <v>800</v>
      </c>
      <c r="J459" s="16">
        <v>2000</v>
      </c>
      <c r="K459" s="16"/>
      <c r="L459" s="16"/>
      <c r="M459" s="16"/>
      <c r="N459" s="16"/>
      <c r="O459" s="16">
        <v>96</v>
      </c>
      <c r="P459" s="16">
        <v>238</v>
      </c>
      <c r="Q459" s="16">
        <v>96</v>
      </c>
      <c r="R459" s="16">
        <v>236</v>
      </c>
      <c r="S459" s="16">
        <v>14</v>
      </c>
      <c r="T459" s="16">
        <v>34</v>
      </c>
      <c r="U459" s="16">
        <v>200</v>
      </c>
      <c r="V459" s="16">
        <v>500</v>
      </c>
      <c r="W459" s="16">
        <v>400</v>
      </c>
      <c r="X459" s="16">
        <v>1000</v>
      </c>
      <c r="Y459" s="16">
        <v>540</v>
      </c>
      <c r="Z459" s="16">
        <v>1348</v>
      </c>
      <c r="AA459" s="16">
        <v>100</v>
      </c>
      <c r="AB459" s="16">
        <v>250</v>
      </c>
      <c r="AC459" s="16">
        <v>53</v>
      </c>
      <c r="AD459" s="16">
        <v>132</v>
      </c>
      <c r="AE459" s="16"/>
      <c r="AF459" s="16"/>
      <c r="AG459" s="16"/>
      <c r="AH459" s="16"/>
      <c r="AI459" s="16"/>
      <c r="AJ459" s="16"/>
      <c r="AK459" s="16">
        <v>6</v>
      </c>
      <c r="AL459" s="16">
        <v>15</v>
      </c>
      <c r="AM459" s="16"/>
      <c r="AN459" s="16"/>
      <c r="AO459" s="15"/>
      <c r="AP459" s="15"/>
      <c r="AQ459" s="15">
        <v>4</v>
      </c>
      <c r="AR459" s="15">
        <v>6</v>
      </c>
      <c r="AS459" s="15"/>
      <c r="AT459" s="15"/>
      <c r="AU459" s="15"/>
      <c r="AV459" s="15"/>
      <c r="AW459" s="15"/>
      <c r="AX459" s="15"/>
      <c r="AY459" s="27">
        <f t="shared" si="25"/>
        <v>2309</v>
      </c>
      <c r="AZ459" s="27">
        <f t="shared" si="26"/>
        <v>5759</v>
      </c>
    </row>
    <row r="460" spans="1:52" x14ac:dyDescent="0.25">
      <c r="A460" s="13">
        <v>623</v>
      </c>
      <c r="B460" s="19" t="s">
        <v>976</v>
      </c>
      <c r="C460" s="26" t="s">
        <v>977</v>
      </c>
      <c r="D460" s="19" t="s">
        <v>42</v>
      </c>
      <c r="E460" s="16"/>
      <c r="F460" s="16"/>
      <c r="G460" s="16"/>
      <c r="H460" s="16"/>
      <c r="I460" s="16"/>
      <c r="J460" s="16"/>
      <c r="K460" s="16"/>
      <c r="L460" s="16"/>
      <c r="M460" s="16"/>
      <c r="N460" s="16"/>
      <c r="O460" s="16">
        <v>24</v>
      </c>
      <c r="P460" s="16">
        <v>60</v>
      </c>
      <c r="Q460" s="16"/>
      <c r="R460" s="16"/>
      <c r="S460" s="16"/>
      <c r="T460" s="16"/>
      <c r="U460" s="16">
        <v>92</v>
      </c>
      <c r="V460" s="16">
        <v>230</v>
      </c>
      <c r="W460" s="16">
        <v>11</v>
      </c>
      <c r="X460" s="16">
        <v>27</v>
      </c>
      <c r="Y460" s="16">
        <v>48</v>
      </c>
      <c r="Z460" s="16">
        <v>120</v>
      </c>
      <c r="AA460" s="16"/>
      <c r="AB460" s="16"/>
      <c r="AC460" s="16">
        <v>20</v>
      </c>
      <c r="AD460" s="16">
        <v>50</v>
      </c>
      <c r="AE460" s="16">
        <v>212</v>
      </c>
      <c r="AF460" s="16">
        <v>529</v>
      </c>
      <c r="AG460" s="16"/>
      <c r="AH460" s="16"/>
      <c r="AI460" s="16">
        <v>12</v>
      </c>
      <c r="AJ460" s="16">
        <v>28</v>
      </c>
      <c r="AK460" s="16"/>
      <c r="AL460" s="16"/>
      <c r="AM460" s="16"/>
      <c r="AN460" s="16"/>
      <c r="AO460" s="15"/>
      <c r="AP460" s="15"/>
      <c r="AQ460" s="15"/>
      <c r="AR460" s="15"/>
      <c r="AS460" s="15"/>
      <c r="AT460" s="15"/>
      <c r="AU460" s="15"/>
      <c r="AV460" s="15"/>
      <c r="AW460" s="15"/>
      <c r="AX460" s="15"/>
      <c r="AY460" s="27">
        <f t="shared" si="25"/>
        <v>419</v>
      </c>
      <c r="AZ460" s="27">
        <f t="shared" si="26"/>
        <v>1044</v>
      </c>
    </row>
    <row r="461" spans="1:52" x14ac:dyDescent="0.25">
      <c r="A461" s="13">
        <v>624</v>
      </c>
      <c r="B461" s="19" t="s">
        <v>978</v>
      </c>
      <c r="C461" s="26" t="s">
        <v>979</v>
      </c>
      <c r="D461" s="19" t="s">
        <v>42</v>
      </c>
      <c r="E461" s="16"/>
      <c r="F461" s="16"/>
      <c r="G461" s="16"/>
      <c r="H461" s="16"/>
      <c r="I461" s="16">
        <v>2400</v>
      </c>
      <c r="J461" s="16">
        <v>6000</v>
      </c>
      <c r="K461" s="16">
        <v>400</v>
      </c>
      <c r="L461" s="16">
        <v>1000</v>
      </c>
      <c r="M461" s="16"/>
      <c r="N461" s="16"/>
      <c r="O461" s="16">
        <v>170</v>
      </c>
      <c r="P461" s="16">
        <v>420</v>
      </c>
      <c r="Q461" s="16"/>
      <c r="R461" s="16"/>
      <c r="S461" s="16"/>
      <c r="T461" s="16"/>
      <c r="U461" s="16">
        <v>44</v>
      </c>
      <c r="V461" s="16">
        <v>110</v>
      </c>
      <c r="W461" s="16">
        <v>87</v>
      </c>
      <c r="X461" s="16">
        <v>216</v>
      </c>
      <c r="Y461" s="16"/>
      <c r="Z461" s="16"/>
      <c r="AA461" s="16"/>
      <c r="AB461" s="16"/>
      <c r="AC461" s="16"/>
      <c r="AD461" s="16"/>
      <c r="AE461" s="16"/>
      <c r="AF461" s="16"/>
      <c r="AG461" s="16"/>
      <c r="AH461" s="16"/>
      <c r="AI461" s="16">
        <v>768</v>
      </c>
      <c r="AJ461" s="16">
        <v>1920</v>
      </c>
      <c r="AK461" s="16"/>
      <c r="AL461" s="16"/>
      <c r="AM461" s="16"/>
      <c r="AN461" s="16"/>
      <c r="AO461" s="15"/>
      <c r="AP461" s="15"/>
      <c r="AQ461" s="15"/>
      <c r="AR461" s="15"/>
      <c r="AS461" s="15"/>
      <c r="AT461" s="15"/>
      <c r="AU461" s="15"/>
      <c r="AV461" s="15"/>
      <c r="AW461" s="15"/>
      <c r="AX461" s="15"/>
      <c r="AY461" s="27">
        <f t="shared" si="25"/>
        <v>3869</v>
      </c>
      <c r="AZ461" s="27">
        <f t="shared" si="26"/>
        <v>9666</v>
      </c>
    </row>
    <row r="462" spans="1:52" x14ac:dyDescent="0.25">
      <c r="A462" s="13">
        <v>630</v>
      </c>
      <c r="B462" s="19" t="s">
        <v>980</v>
      </c>
      <c r="C462" s="26" t="s">
        <v>981</v>
      </c>
      <c r="D462" s="19" t="s">
        <v>42</v>
      </c>
      <c r="E462" s="16">
        <v>2</v>
      </c>
      <c r="F462" s="16">
        <v>2</v>
      </c>
      <c r="G462" s="16"/>
      <c r="H462" s="16"/>
      <c r="I462" s="16">
        <v>80</v>
      </c>
      <c r="J462" s="16">
        <v>200</v>
      </c>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v>400</v>
      </c>
      <c r="AJ462" s="16">
        <v>1000</v>
      </c>
      <c r="AK462" s="16"/>
      <c r="AL462" s="16"/>
      <c r="AM462" s="16"/>
      <c r="AN462" s="16"/>
      <c r="AO462" s="15">
        <v>3480</v>
      </c>
      <c r="AP462" s="15">
        <v>8700</v>
      </c>
      <c r="AQ462" s="15">
        <v>72</v>
      </c>
      <c r="AR462" s="15">
        <v>180</v>
      </c>
      <c r="AS462" s="15"/>
      <c r="AT462" s="15"/>
      <c r="AU462" s="15"/>
      <c r="AV462" s="15"/>
      <c r="AW462" s="15"/>
      <c r="AX462" s="15"/>
      <c r="AY462" s="27">
        <f t="shared" si="25"/>
        <v>4034</v>
      </c>
      <c r="AZ462" s="27">
        <f t="shared" si="26"/>
        <v>10082</v>
      </c>
    </row>
    <row r="463" spans="1:52" x14ac:dyDescent="0.25">
      <c r="A463" s="13">
        <v>632</v>
      </c>
      <c r="B463" s="19" t="s">
        <v>982</v>
      </c>
      <c r="C463" s="26" t="s">
        <v>983</v>
      </c>
      <c r="D463" s="19" t="s">
        <v>42</v>
      </c>
      <c r="E463" s="16">
        <v>1600</v>
      </c>
      <c r="F463" s="16">
        <v>4000</v>
      </c>
      <c r="G463" s="16"/>
      <c r="H463" s="16"/>
      <c r="I463" s="16">
        <v>1382</v>
      </c>
      <c r="J463" s="16">
        <v>3452</v>
      </c>
      <c r="K463" s="16">
        <v>6</v>
      </c>
      <c r="L463" s="16">
        <v>14</v>
      </c>
      <c r="M463" s="16"/>
      <c r="N463" s="16"/>
      <c r="O463" s="16">
        <v>200</v>
      </c>
      <c r="P463" s="16">
        <v>500</v>
      </c>
      <c r="Q463" s="16"/>
      <c r="R463" s="16"/>
      <c r="S463" s="16"/>
      <c r="T463" s="16"/>
      <c r="U463" s="16">
        <v>264</v>
      </c>
      <c r="V463" s="16">
        <v>660</v>
      </c>
      <c r="W463" s="16">
        <v>392</v>
      </c>
      <c r="X463" s="16">
        <v>980</v>
      </c>
      <c r="Y463" s="16">
        <v>1200</v>
      </c>
      <c r="Z463" s="16">
        <v>3000</v>
      </c>
      <c r="AA463" s="16">
        <v>16</v>
      </c>
      <c r="AB463" s="16">
        <v>40</v>
      </c>
      <c r="AC463" s="16"/>
      <c r="AD463" s="16"/>
      <c r="AE463" s="16"/>
      <c r="AF463" s="16"/>
      <c r="AG463" s="16"/>
      <c r="AH463" s="16"/>
      <c r="AI463" s="16">
        <v>192</v>
      </c>
      <c r="AJ463" s="16">
        <v>480</v>
      </c>
      <c r="AK463" s="16"/>
      <c r="AL463" s="16"/>
      <c r="AM463" s="16">
        <v>1920</v>
      </c>
      <c r="AN463" s="16">
        <v>4800</v>
      </c>
      <c r="AO463" s="15">
        <v>3840</v>
      </c>
      <c r="AP463" s="15">
        <v>9600</v>
      </c>
      <c r="AQ463" s="15">
        <v>48</v>
      </c>
      <c r="AR463" s="15">
        <v>120</v>
      </c>
      <c r="AS463" s="15"/>
      <c r="AT463" s="15"/>
      <c r="AU463" s="15"/>
      <c r="AV463" s="15"/>
      <c r="AW463" s="15"/>
      <c r="AX463" s="15"/>
      <c r="AY463" s="27">
        <f t="shared" si="25"/>
        <v>11060</v>
      </c>
      <c r="AZ463" s="27">
        <f t="shared" si="26"/>
        <v>27646</v>
      </c>
    </row>
    <row r="464" spans="1:52" x14ac:dyDescent="0.25">
      <c r="A464" s="13">
        <v>633</v>
      </c>
      <c r="B464" s="19" t="s">
        <v>984</v>
      </c>
      <c r="C464" s="26" t="s">
        <v>985</v>
      </c>
      <c r="D464" s="19" t="s">
        <v>42</v>
      </c>
      <c r="E464" s="16">
        <v>80</v>
      </c>
      <c r="F464" s="16">
        <v>200</v>
      </c>
      <c r="G464" s="16"/>
      <c r="H464" s="16"/>
      <c r="I464" s="16">
        <v>400</v>
      </c>
      <c r="J464" s="16">
        <v>996</v>
      </c>
      <c r="K464" s="16">
        <v>270</v>
      </c>
      <c r="L464" s="16">
        <v>672</v>
      </c>
      <c r="M464" s="16">
        <v>400</v>
      </c>
      <c r="N464" s="16">
        <v>1000</v>
      </c>
      <c r="O464" s="16"/>
      <c r="P464" s="16"/>
      <c r="Q464" s="16"/>
      <c r="R464" s="16"/>
      <c r="S464" s="16"/>
      <c r="T464" s="16"/>
      <c r="U464" s="16">
        <v>272</v>
      </c>
      <c r="V464" s="16">
        <v>680</v>
      </c>
      <c r="W464" s="16"/>
      <c r="X464" s="16"/>
      <c r="Y464" s="16"/>
      <c r="Z464" s="16"/>
      <c r="AA464" s="16"/>
      <c r="AB464" s="16"/>
      <c r="AC464" s="16"/>
      <c r="AD464" s="16"/>
      <c r="AE464" s="16">
        <v>30</v>
      </c>
      <c r="AF464" s="16">
        <v>73</v>
      </c>
      <c r="AG464" s="16"/>
      <c r="AH464" s="16"/>
      <c r="AI464" s="16">
        <v>400</v>
      </c>
      <c r="AJ464" s="16">
        <v>1000</v>
      </c>
      <c r="AK464" s="16"/>
      <c r="AL464" s="16"/>
      <c r="AM464" s="16"/>
      <c r="AN464" s="16"/>
      <c r="AO464" s="15">
        <v>1920</v>
      </c>
      <c r="AP464" s="15">
        <v>4800</v>
      </c>
      <c r="AQ464" s="15"/>
      <c r="AR464" s="15"/>
      <c r="AS464" s="15"/>
      <c r="AT464" s="15"/>
      <c r="AU464" s="15"/>
      <c r="AV464" s="15"/>
      <c r="AW464" s="15"/>
      <c r="AX464" s="15"/>
      <c r="AY464" s="27">
        <f t="shared" si="25"/>
        <v>3772</v>
      </c>
      <c r="AZ464" s="27">
        <f t="shared" si="26"/>
        <v>9421</v>
      </c>
    </row>
    <row r="465" spans="1:52" x14ac:dyDescent="0.25">
      <c r="A465" s="13">
        <v>635</v>
      </c>
      <c r="B465" s="19" t="s">
        <v>986</v>
      </c>
      <c r="C465" s="26" t="s">
        <v>987</v>
      </c>
      <c r="D465" s="19" t="s">
        <v>42</v>
      </c>
      <c r="E465" s="16">
        <v>8000</v>
      </c>
      <c r="F465" s="16">
        <v>20000</v>
      </c>
      <c r="G465" s="16"/>
      <c r="H465" s="16"/>
      <c r="I465" s="16">
        <v>10906</v>
      </c>
      <c r="J465" s="16">
        <v>27264</v>
      </c>
      <c r="K465" s="16">
        <v>2439</v>
      </c>
      <c r="L465" s="16">
        <v>6096</v>
      </c>
      <c r="M465" s="16">
        <v>30148</v>
      </c>
      <c r="N465" s="16">
        <v>75367</v>
      </c>
      <c r="O465" s="16">
        <v>2036</v>
      </c>
      <c r="P465" s="16">
        <v>5088</v>
      </c>
      <c r="Q465" s="16">
        <v>16</v>
      </c>
      <c r="R465" s="16">
        <v>36</v>
      </c>
      <c r="S465" s="16"/>
      <c r="T465" s="16"/>
      <c r="U465" s="16">
        <v>880</v>
      </c>
      <c r="V465" s="16">
        <v>2200</v>
      </c>
      <c r="W465" s="16"/>
      <c r="X465" s="16"/>
      <c r="Y465" s="16"/>
      <c r="Z465" s="16"/>
      <c r="AA465" s="16">
        <v>67</v>
      </c>
      <c r="AB465" s="16">
        <v>165</v>
      </c>
      <c r="AC465" s="16">
        <v>598</v>
      </c>
      <c r="AD465" s="16">
        <v>1492</v>
      </c>
      <c r="AE465" s="16">
        <v>960</v>
      </c>
      <c r="AF465" s="16">
        <v>2400</v>
      </c>
      <c r="AG465" s="16"/>
      <c r="AH465" s="16"/>
      <c r="AI465" s="16">
        <v>240</v>
      </c>
      <c r="AJ465" s="16">
        <v>600</v>
      </c>
      <c r="AK465" s="16"/>
      <c r="AL465" s="16"/>
      <c r="AM465" s="16"/>
      <c r="AN465" s="16"/>
      <c r="AO465" s="15">
        <v>26800</v>
      </c>
      <c r="AP465" s="15">
        <v>67000</v>
      </c>
      <c r="AQ465" s="15"/>
      <c r="AR465" s="15"/>
      <c r="AS465" s="15"/>
      <c r="AT465" s="15"/>
      <c r="AU465" s="15">
        <v>8760</v>
      </c>
      <c r="AV465" s="15">
        <v>21900</v>
      </c>
      <c r="AW465" s="15"/>
      <c r="AX465" s="15"/>
      <c r="AY465" s="27">
        <f t="shared" si="25"/>
        <v>91850</v>
      </c>
      <c r="AZ465" s="27">
        <f t="shared" si="26"/>
        <v>229608</v>
      </c>
    </row>
    <row r="466" spans="1:52" x14ac:dyDescent="0.25">
      <c r="A466" s="13">
        <v>636</v>
      </c>
      <c r="B466" s="19" t="s">
        <v>988</v>
      </c>
      <c r="C466" s="26" t="s">
        <v>989</v>
      </c>
      <c r="D466" s="19" t="s">
        <v>42</v>
      </c>
      <c r="E466" s="16"/>
      <c r="F466" s="16"/>
      <c r="G466" s="16">
        <v>40</v>
      </c>
      <c r="H466" s="16">
        <v>100</v>
      </c>
      <c r="I466" s="16"/>
      <c r="J466" s="16"/>
      <c r="K466" s="16"/>
      <c r="L466" s="16"/>
      <c r="M466" s="16">
        <v>104</v>
      </c>
      <c r="N466" s="16">
        <v>258</v>
      </c>
      <c r="O466" s="16"/>
      <c r="P466" s="16"/>
      <c r="Q466" s="16"/>
      <c r="R466" s="16"/>
      <c r="S466" s="16"/>
      <c r="T466" s="16"/>
      <c r="U466" s="16">
        <v>608</v>
      </c>
      <c r="V466" s="16">
        <v>1520</v>
      </c>
      <c r="W466" s="16">
        <v>720</v>
      </c>
      <c r="X466" s="16">
        <v>1800</v>
      </c>
      <c r="Y466" s="16"/>
      <c r="Z466" s="16"/>
      <c r="AA466" s="16"/>
      <c r="AB466" s="16"/>
      <c r="AC466" s="16"/>
      <c r="AD466" s="16"/>
      <c r="AE466" s="16">
        <v>240</v>
      </c>
      <c r="AF466" s="16">
        <v>600</v>
      </c>
      <c r="AG466" s="16"/>
      <c r="AH466" s="16"/>
      <c r="AI466" s="16"/>
      <c r="AJ466" s="16"/>
      <c r="AK466" s="16"/>
      <c r="AL466" s="16"/>
      <c r="AM466" s="16"/>
      <c r="AN466" s="16"/>
      <c r="AO466" s="15"/>
      <c r="AP466" s="15"/>
      <c r="AQ466" s="15"/>
      <c r="AR466" s="15"/>
      <c r="AS466" s="15"/>
      <c r="AT466" s="15"/>
      <c r="AU466" s="15"/>
      <c r="AV466" s="15"/>
      <c r="AW466" s="15"/>
      <c r="AX466" s="15"/>
      <c r="AY466" s="27">
        <f t="shared" si="25"/>
        <v>1712</v>
      </c>
      <c r="AZ466" s="27">
        <f t="shared" si="26"/>
        <v>4278</v>
      </c>
    </row>
    <row r="467" spans="1:52" x14ac:dyDescent="0.25">
      <c r="A467" s="13">
        <v>637</v>
      </c>
      <c r="B467" s="19" t="s">
        <v>990</v>
      </c>
      <c r="C467" s="26" t="s">
        <v>991</v>
      </c>
      <c r="D467" s="19" t="s">
        <v>42</v>
      </c>
      <c r="E467" s="16"/>
      <c r="F467" s="16"/>
      <c r="G467" s="16">
        <v>240</v>
      </c>
      <c r="H467" s="16">
        <v>600</v>
      </c>
      <c r="I467" s="16"/>
      <c r="J467" s="16"/>
      <c r="K467" s="16"/>
      <c r="L467" s="16"/>
      <c r="M467" s="16">
        <v>1280</v>
      </c>
      <c r="N467" s="16">
        <v>3200</v>
      </c>
      <c r="O467" s="16"/>
      <c r="P467" s="16"/>
      <c r="Q467" s="16"/>
      <c r="R467" s="16"/>
      <c r="S467" s="16">
        <v>1320</v>
      </c>
      <c r="T467" s="16">
        <v>3300</v>
      </c>
      <c r="U467" s="16">
        <v>88</v>
      </c>
      <c r="V467" s="16">
        <v>220</v>
      </c>
      <c r="W467" s="16">
        <v>1800</v>
      </c>
      <c r="X467" s="16">
        <v>4500</v>
      </c>
      <c r="Y467" s="16"/>
      <c r="Z467" s="16"/>
      <c r="AA467" s="16"/>
      <c r="AB467" s="16"/>
      <c r="AC467" s="16"/>
      <c r="AD467" s="16"/>
      <c r="AE467" s="16"/>
      <c r="AF467" s="16"/>
      <c r="AG467" s="16"/>
      <c r="AH467" s="16"/>
      <c r="AI467" s="16"/>
      <c r="AJ467" s="16"/>
      <c r="AK467" s="16"/>
      <c r="AL467" s="16"/>
      <c r="AM467" s="16"/>
      <c r="AN467" s="16"/>
      <c r="AO467" s="15"/>
      <c r="AP467" s="15"/>
      <c r="AQ467" s="15"/>
      <c r="AR467" s="15"/>
      <c r="AS467" s="15"/>
      <c r="AT467" s="15"/>
      <c r="AU467" s="15"/>
      <c r="AV467" s="15"/>
      <c r="AW467" s="15"/>
      <c r="AX467" s="15"/>
      <c r="AY467" s="27">
        <f t="shared" si="25"/>
        <v>4728</v>
      </c>
      <c r="AZ467" s="27">
        <f t="shared" si="26"/>
        <v>11820</v>
      </c>
    </row>
    <row r="468" spans="1:52" x14ac:dyDescent="0.25">
      <c r="A468" s="13">
        <v>655</v>
      </c>
      <c r="B468" s="19" t="s">
        <v>992</v>
      </c>
      <c r="C468" s="26" t="s">
        <v>993</v>
      </c>
      <c r="D468" s="19" t="s">
        <v>42</v>
      </c>
      <c r="E468" s="16">
        <v>175</v>
      </c>
      <c r="F468" s="16">
        <v>431</v>
      </c>
      <c r="G468" s="16">
        <v>4</v>
      </c>
      <c r="H468" s="16">
        <v>6</v>
      </c>
      <c r="I468" s="16"/>
      <c r="J468" s="16"/>
      <c r="K468" s="16"/>
      <c r="L468" s="16"/>
      <c r="M468" s="16">
        <v>685</v>
      </c>
      <c r="N468" s="16">
        <v>1710</v>
      </c>
      <c r="O468" s="16"/>
      <c r="P468" s="16"/>
      <c r="Q468" s="16"/>
      <c r="R468" s="16"/>
      <c r="S468" s="16"/>
      <c r="T468" s="16"/>
      <c r="U468" s="16">
        <v>274</v>
      </c>
      <c r="V468" s="16">
        <v>684</v>
      </c>
      <c r="W468" s="16">
        <v>24</v>
      </c>
      <c r="X468" s="16">
        <v>60</v>
      </c>
      <c r="Y468" s="16">
        <v>240</v>
      </c>
      <c r="Z468" s="16">
        <v>600</v>
      </c>
      <c r="AA468" s="16">
        <v>3</v>
      </c>
      <c r="AB468" s="16">
        <v>5</v>
      </c>
      <c r="AC468" s="16">
        <v>24</v>
      </c>
      <c r="AD468" s="16">
        <v>60</v>
      </c>
      <c r="AE468" s="16"/>
      <c r="AF468" s="16"/>
      <c r="AG468" s="16">
        <v>380</v>
      </c>
      <c r="AH468" s="16">
        <v>950</v>
      </c>
      <c r="AI468" s="16">
        <v>400</v>
      </c>
      <c r="AJ468" s="16">
        <v>1000</v>
      </c>
      <c r="AK468" s="16">
        <v>1664</v>
      </c>
      <c r="AL468" s="16">
        <v>4160</v>
      </c>
      <c r="AM468" s="16"/>
      <c r="AN468" s="16"/>
      <c r="AO468" s="15">
        <v>242</v>
      </c>
      <c r="AP468" s="15">
        <v>604</v>
      </c>
      <c r="AQ468" s="15">
        <v>60</v>
      </c>
      <c r="AR468" s="15">
        <v>150</v>
      </c>
      <c r="AS468" s="15"/>
      <c r="AT468" s="15"/>
      <c r="AU468" s="15"/>
      <c r="AV468" s="15"/>
      <c r="AW468" s="15"/>
      <c r="AX468" s="15"/>
      <c r="AY468" s="27">
        <f t="shared" si="25"/>
        <v>4175</v>
      </c>
      <c r="AZ468" s="27">
        <f t="shared" si="26"/>
        <v>10420</v>
      </c>
    </row>
    <row r="469" spans="1:52" x14ac:dyDescent="0.25">
      <c r="A469" s="13">
        <v>662</v>
      </c>
      <c r="B469" s="19" t="s">
        <v>994</v>
      </c>
      <c r="C469" s="26" t="s">
        <v>995</v>
      </c>
      <c r="D469" s="19" t="s">
        <v>42</v>
      </c>
      <c r="E469" s="16"/>
      <c r="F469" s="16"/>
      <c r="G469" s="16"/>
      <c r="H469" s="16"/>
      <c r="I469" s="16">
        <v>80</v>
      </c>
      <c r="J469" s="16">
        <v>200</v>
      </c>
      <c r="K469" s="16">
        <v>16</v>
      </c>
      <c r="L469" s="16">
        <v>40</v>
      </c>
      <c r="M469" s="16"/>
      <c r="N469" s="16"/>
      <c r="O469" s="16">
        <v>186</v>
      </c>
      <c r="P469" s="16">
        <v>464</v>
      </c>
      <c r="Q469" s="16"/>
      <c r="R469" s="16"/>
      <c r="S469" s="16"/>
      <c r="T469" s="16"/>
      <c r="U469" s="16">
        <v>40</v>
      </c>
      <c r="V469" s="16">
        <v>96</v>
      </c>
      <c r="W469" s="16">
        <v>96</v>
      </c>
      <c r="X469" s="16">
        <v>240</v>
      </c>
      <c r="Y469" s="16">
        <v>72</v>
      </c>
      <c r="Z469" s="16">
        <v>177</v>
      </c>
      <c r="AA469" s="16"/>
      <c r="AB469" s="16"/>
      <c r="AC469" s="16">
        <v>58</v>
      </c>
      <c r="AD469" s="16">
        <v>143</v>
      </c>
      <c r="AE469" s="16">
        <v>512</v>
      </c>
      <c r="AF469" s="16">
        <v>1280</v>
      </c>
      <c r="AG469" s="16"/>
      <c r="AH469" s="16"/>
      <c r="AI469" s="16">
        <v>288</v>
      </c>
      <c r="AJ469" s="16">
        <v>720</v>
      </c>
      <c r="AK469" s="16"/>
      <c r="AL469" s="16"/>
      <c r="AM469" s="16"/>
      <c r="AN469" s="16"/>
      <c r="AO469" s="15">
        <v>32</v>
      </c>
      <c r="AP469" s="15">
        <v>80</v>
      </c>
      <c r="AQ469" s="15"/>
      <c r="AR469" s="15"/>
      <c r="AS469" s="15"/>
      <c r="AT469" s="15"/>
      <c r="AU469" s="15"/>
      <c r="AV469" s="15"/>
      <c r="AW469" s="15"/>
      <c r="AX469" s="15"/>
      <c r="AY469" s="27">
        <f t="shared" si="25"/>
        <v>1380</v>
      </c>
      <c r="AZ469" s="27">
        <f t="shared" si="26"/>
        <v>3440</v>
      </c>
    </row>
    <row r="470" spans="1:52" x14ac:dyDescent="0.25">
      <c r="A470" s="13">
        <v>664</v>
      </c>
      <c r="B470" s="19" t="s">
        <v>996</v>
      </c>
      <c r="C470" s="26" t="s">
        <v>997</v>
      </c>
      <c r="D470" s="19" t="s">
        <v>42</v>
      </c>
      <c r="E470" s="16"/>
      <c r="F470" s="16"/>
      <c r="G470" s="16"/>
      <c r="H470" s="16"/>
      <c r="I470" s="16"/>
      <c r="J470" s="16"/>
      <c r="K470" s="16">
        <v>108</v>
      </c>
      <c r="L470" s="16">
        <v>270</v>
      </c>
      <c r="M470" s="16"/>
      <c r="N470" s="16"/>
      <c r="O470" s="16">
        <v>114</v>
      </c>
      <c r="P470" s="16">
        <v>280</v>
      </c>
      <c r="Q470" s="16"/>
      <c r="R470" s="16"/>
      <c r="S470" s="16"/>
      <c r="T470" s="16"/>
      <c r="U470" s="16">
        <v>136</v>
      </c>
      <c r="V470" s="16">
        <v>340</v>
      </c>
      <c r="W470" s="16">
        <v>36</v>
      </c>
      <c r="X470" s="16">
        <v>90</v>
      </c>
      <c r="Y470" s="16"/>
      <c r="Z470" s="16"/>
      <c r="AA470" s="16"/>
      <c r="AB470" s="16"/>
      <c r="AC470" s="16"/>
      <c r="AD470" s="16"/>
      <c r="AE470" s="16">
        <v>576</v>
      </c>
      <c r="AF470" s="16">
        <v>1440</v>
      </c>
      <c r="AG470" s="16">
        <v>5824</v>
      </c>
      <c r="AH470" s="16">
        <v>14560</v>
      </c>
      <c r="AI470" s="16">
        <v>80</v>
      </c>
      <c r="AJ470" s="16">
        <v>200</v>
      </c>
      <c r="AK470" s="16"/>
      <c r="AL470" s="16"/>
      <c r="AM470" s="16">
        <v>20</v>
      </c>
      <c r="AN470" s="16">
        <v>48</v>
      </c>
      <c r="AO470" s="15"/>
      <c r="AP470" s="15"/>
      <c r="AQ470" s="15"/>
      <c r="AR470" s="15"/>
      <c r="AS470" s="15"/>
      <c r="AT470" s="15"/>
      <c r="AU470" s="15"/>
      <c r="AV470" s="15"/>
      <c r="AW470" s="15"/>
      <c r="AX470" s="15"/>
      <c r="AY470" s="27">
        <f t="shared" si="25"/>
        <v>6894</v>
      </c>
      <c r="AZ470" s="27">
        <f t="shared" si="26"/>
        <v>17228</v>
      </c>
    </row>
    <row r="471" spans="1:52" x14ac:dyDescent="0.25">
      <c r="A471" s="13">
        <v>665</v>
      </c>
      <c r="B471" s="19" t="s">
        <v>998</v>
      </c>
      <c r="C471" s="26" t="s">
        <v>999</v>
      </c>
      <c r="D471" s="19" t="s">
        <v>42</v>
      </c>
      <c r="E471" s="16"/>
      <c r="F471" s="16"/>
      <c r="G471" s="16"/>
      <c r="H471" s="16"/>
      <c r="I471" s="16"/>
      <c r="J471" s="16"/>
      <c r="K471" s="16">
        <v>20</v>
      </c>
      <c r="L471" s="16">
        <v>50</v>
      </c>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v>20</v>
      </c>
      <c r="AJ471" s="16">
        <v>50</v>
      </c>
      <c r="AK471" s="16">
        <v>40</v>
      </c>
      <c r="AL471" s="16">
        <v>100</v>
      </c>
      <c r="AM471" s="16"/>
      <c r="AN471" s="16"/>
      <c r="AO471" s="15">
        <v>48</v>
      </c>
      <c r="AP471" s="15">
        <v>120</v>
      </c>
      <c r="AQ471" s="15"/>
      <c r="AR471" s="15"/>
      <c r="AS471" s="15"/>
      <c r="AT471" s="15"/>
      <c r="AU471" s="15"/>
      <c r="AV471" s="15"/>
      <c r="AW471" s="15"/>
      <c r="AX471" s="15"/>
      <c r="AY471" s="27">
        <f t="shared" si="25"/>
        <v>128</v>
      </c>
      <c r="AZ471" s="27">
        <f t="shared" si="26"/>
        <v>320</v>
      </c>
    </row>
    <row r="472" spans="1:52" x14ac:dyDescent="0.25">
      <c r="A472" s="13">
        <v>667</v>
      </c>
      <c r="B472" s="19" t="s">
        <v>1000</v>
      </c>
      <c r="C472" s="26" t="s">
        <v>1001</v>
      </c>
      <c r="D472" s="19" t="s">
        <v>42</v>
      </c>
      <c r="E472" s="16"/>
      <c r="F472" s="16"/>
      <c r="G472" s="16">
        <v>1232</v>
      </c>
      <c r="H472" s="16">
        <v>3080</v>
      </c>
      <c r="I472" s="16"/>
      <c r="J472" s="16"/>
      <c r="K472" s="16">
        <v>3126</v>
      </c>
      <c r="L472" s="16">
        <v>7814</v>
      </c>
      <c r="M472" s="16"/>
      <c r="N472" s="16"/>
      <c r="O472" s="16">
        <v>24</v>
      </c>
      <c r="P472" s="16">
        <v>56</v>
      </c>
      <c r="Q472" s="16"/>
      <c r="R472" s="16"/>
      <c r="S472" s="16">
        <v>20</v>
      </c>
      <c r="T472" s="16">
        <v>50</v>
      </c>
      <c r="U472" s="16"/>
      <c r="V472" s="16"/>
      <c r="W472" s="16"/>
      <c r="X472" s="16"/>
      <c r="Y472" s="16"/>
      <c r="Z472" s="16"/>
      <c r="AA472" s="16"/>
      <c r="AB472" s="16"/>
      <c r="AC472" s="16"/>
      <c r="AD472" s="16"/>
      <c r="AE472" s="16"/>
      <c r="AF472" s="16"/>
      <c r="AG472" s="16"/>
      <c r="AH472" s="16"/>
      <c r="AI472" s="16">
        <v>1920</v>
      </c>
      <c r="AJ472" s="16">
        <v>4800</v>
      </c>
      <c r="AK472" s="16">
        <v>2288</v>
      </c>
      <c r="AL472" s="16">
        <v>5720</v>
      </c>
      <c r="AM472" s="16"/>
      <c r="AN472" s="16"/>
      <c r="AO472" s="15">
        <v>3498</v>
      </c>
      <c r="AP472" s="15">
        <v>8745</v>
      </c>
      <c r="AQ472" s="15"/>
      <c r="AR472" s="15"/>
      <c r="AS472" s="15"/>
      <c r="AT472" s="15"/>
      <c r="AU472" s="15">
        <v>200</v>
      </c>
      <c r="AV472" s="15">
        <v>500</v>
      </c>
      <c r="AW472" s="15">
        <v>8</v>
      </c>
      <c r="AX472" s="15">
        <v>16</v>
      </c>
      <c r="AY472" s="27">
        <f t="shared" ref="AY472:AY535" si="27">SUM(E472+G472+I472+K472+M472+O472+Q472+S472+U472+W472+Y472+AA472+AC472+AE472+AG472+AI472+AK472+AM472+AO472+AQ472+AS472+AU472+AW472)</f>
        <v>12316</v>
      </c>
      <c r="AZ472" s="27">
        <f t="shared" ref="AZ472:AZ535" si="28">SUM(F472+H472+J472+L472+N472+P472+R472+T472+V472+X472+Z472+AB472+AD472+AF472+AH472+AJ472+AL472+AN472+AP472+AR472+AT472+AV472+AX472)</f>
        <v>30781</v>
      </c>
    </row>
    <row r="473" spans="1:52" x14ac:dyDescent="0.25">
      <c r="A473" s="13">
        <v>668</v>
      </c>
      <c r="B473" s="19" t="s">
        <v>1002</v>
      </c>
      <c r="C473" s="26" t="s">
        <v>1003</v>
      </c>
      <c r="D473" s="19" t="s">
        <v>42</v>
      </c>
      <c r="E473" s="16"/>
      <c r="F473" s="16"/>
      <c r="G473" s="16">
        <v>2800</v>
      </c>
      <c r="H473" s="16">
        <v>7000</v>
      </c>
      <c r="I473" s="16">
        <v>7200</v>
      </c>
      <c r="J473" s="16">
        <v>18000</v>
      </c>
      <c r="K473" s="16">
        <v>2370</v>
      </c>
      <c r="L473" s="16">
        <v>5924</v>
      </c>
      <c r="M473" s="16">
        <v>5504</v>
      </c>
      <c r="N473" s="16">
        <v>13754</v>
      </c>
      <c r="O473" s="16">
        <v>15</v>
      </c>
      <c r="P473" s="16">
        <v>35</v>
      </c>
      <c r="Q473" s="16">
        <v>826</v>
      </c>
      <c r="R473" s="16">
        <v>2064</v>
      </c>
      <c r="S473" s="16">
        <v>20</v>
      </c>
      <c r="T473" s="16">
        <v>50</v>
      </c>
      <c r="U473" s="16">
        <v>792</v>
      </c>
      <c r="V473" s="16">
        <v>1980</v>
      </c>
      <c r="W473" s="16"/>
      <c r="X473" s="16"/>
      <c r="Y473" s="16"/>
      <c r="Z473" s="16"/>
      <c r="AA473" s="16">
        <v>160</v>
      </c>
      <c r="AB473" s="16">
        <v>400</v>
      </c>
      <c r="AC473" s="16"/>
      <c r="AD473" s="16"/>
      <c r="AE473" s="16">
        <v>2400</v>
      </c>
      <c r="AF473" s="16">
        <v>6000</v>
      </c>
      <c r="AG473" s="16"/>
      <c r="AH473" s="16"/>
      <c r="AI473" s="16">
        <v>9760</v>
      </c>
      <c r="AJ473" s="16">
        <v>24400</v>
      </c>
      <c r="AK473" s="16">
        <v>1664</v>
      </c>
      <c r="AL473" s="16">
        <v>4160</v>
      </c>
      <c r="AM473" s="16">
        <v>164</v>
      </c>
      <c r="AN473" s="16">
        <v>408</v>
      </c>
      <c r="AO473" s="15">
        <v>508</v>
      </c>
      <c r="AP473" s="15">
        <v>1270</v>
      </c>
      <c r="AQ473" s="15"/>
      <c r="AR473" s="15"/>
      <c r="AS473" s="15"/>
      <c r="AT473" s="15"/>
      <c r="AU473" s="15"/>
      <c r="AV473" s="15"/>
      <c r="AW473" s="15"/>
      <c r="AX473" s="15"/>
      <c r="AY473" s="27">
        <f t="shared" si="27"/>
        <v>34183</v>
      </c>
      <c r="AZ473" s="27">
        <f t="shared" si="28"/>
        <v>85445</v>
      </c>
    </row>
    <row r="474" spans="1:52" x14ac:dyDescent="0.25">
      <c r="A474" s="13">
        <v>669</v>
      </c>
      <c r="B474" s="19" t="s">
        <v>1004</v>
      </c>
      <c r="C474" s="26" t="s">
        <v>1005</v>
      </c>
      <c r="D474" s="19" t="s">
        <v>42</v>
      </c>
      <c r="E474" s="16">
        <v>170</v>
      </c>
      <c r="F474" s="16">
        <v>424</v>
      </c>
      <c r="G474" s="16">
        <v>248</v>
      </c>
      <c r="H474" s="16">
        <v>620</v>
      </c>
      <c r="I474" s="16"/>
      <c r="J474" s="16"/>
      <c r="K474" s="16">
        <v>8</v>
      </c>
      <c r="L474" s="16">
        <v>16</v>
      </c>
      <c r="M474" s="16">
        <v>2000</v>
      </c>
      <c r="N474" s="16">
        <v>5000</v>
      </c>
      <c r="O474" s="16">
        <v>2078</v>
      </c>
      <c r="P474" s="16">
        <v>5193</v>
      </c>
      <c r="Q474" s="16"/>
      <c r="R474" s="16"/>
      <c r="S474" s="16">
        <v>80</v>
      </c>
      <c r="T474" s="16">
        <v>200</v>
      </c>
      <c r="U474" s="16"/>
      <c r="V474" s="16"/>
      <c r="W474" s="16">
        <v>160</v>
      </c>
      <c r="X474" s="16">
        <v>400</v>
      </c>
      <c r="Y474" s="16">
        <v>4</v>
      </c>
      <c r="Z474" s="16">
        <v>8</v>
      </c>
      <c r="AA474" s="16"/>
      <c r="AB474" s="16"/>
      <c r="AC474" s="16"/>
      <c r="AD474" s="16"/>
      <c r="AE474" s="16">
        <v>194</v>
      </c>
      <c r="AF474" s="16">
        <v>481</v>
      </c>
      <c r="AG474" s="16">
        <v>4</v>
      </c>
      <c r="AH474" s="16">
        <v>8</v>
      </c>
      <c r="AI474" s="16">
        <v>40</v>
      </c>
      <c r="AJ474" s="16">
        <v>100</v>
      </c>
      <c r="AK474" s="16">
        <v>480</v>
      </c>
      <c r="AL474" s="16">
        <v>1200</v>
      </c>
      <c r="AM474" s="16">
        <v>58</v>
      </c>
      <c r="AN474" s="16">
        <v>144</v>
      </c>
      <c r="AO474" s="15">
        <v>336</v>
      </c>
      <c r="AP474" s="15">
        <v>840</v>
      </c>
      <c r="AQ474" s="15">
        <v>56</v>
      </c>
      <c r="AR474" s="15">
        <v>138</v>
      </c>
      <c r="AS474" s="15"/>
      <c r="AT474" s="15"/>
      <c r="AU474" s="15">
        <v>1600</v>
      </c>
      <c r="AV474" s="15">
        <v>4000</v>
      </c>
      <c r="AW474" s="15">
        <v>24</v>
      </c>
      <c r="AX474" s="15">
        <v>58</v>
      </c>
      <c r="AY474" s="27">
        <f t="shared" si="27"/>
        <v>7540</v>
      </c>
      <c r="AZ474" s="27">
        <f t="shared" si="28"/>
        <v>18830</v>
      </c>
    </row>
    <row r="475" spans="1:52" x14ac:dyDescent="0.25">
      <c r="A475" s="13">
        <v>670</v>
      </c>
      <c r="B475" s="19" t="s">
        <v>1006</v>
      </c>
      <c r="C475" s="26" t="s">
        <v>1007</v>
      </c>
      <c r="D475" s="19" t="s">
        <v>42</v>
      </c>
      <c r="E475" s="16"/>
      <c r="F475" s="16"/>
      <c r="G475" s="16">
        <v>4080</v>
      </c>
      <c r="H475" s="16">
        <v>10200</v>
      </c>
      <c r="I475" s="16">
        <v>1200</v>
      </c>
      <c r="J475" s="16">
        <v>3000</v>
      </c>
      <c r="K475" s="16">
        <v>2186</v>
      </c>
      <c r="L475" s="16">
        <v>5462</v>
      </c>
      <c r="M475" s="16"/>
      <c r="N475" s="16"/>
      <c r="O475" s="16">
        <v>17</v>
      </c>
      <c r="P475" s="16">
        <v>42</v>
      </c>
      <c r="Q475" s="16">
        <v>128</v>
      </c>
      <c r="R475" s="16">
        <v>318</v>
      </c>
      <c r="S475" s="16">
        <v>20</v>
      </c>
      <c r="T475" s="16">
        <v>50</v>
      </c>
      <c r="U475" s="16"/>
      <c r="V475" s="16"/>
      <c r="W475" s="16">
        <v>72</v>
      </c>
      <c r="X475" s="16">
        <v>180</v>
      </c>
      <c r="Y475" s="16"/>
      <c r="Z475" s="16"/>
      <c r="AA475" s="16">
        <v>60</v>
      </c>
      <c r="AB475" s="16">
        <v>150</v>
      </c>
      <c r="AC475" s="16"/>
      <c r="AD475" s="16"/>
      <c r="AE475" s="16">
        <v>291</v>
      </c>
      <c r="AF475" s="16">
        <v>721</v>
      </c>
      <c r="AG475" s="16">
        <v>220</v>
      </c>
      <c r="AH475" s="16">
        <v>548</v>
      </c>
      <c r="AI475" s="16">
        <v>1480</v>
      </c>
      <c r="AJ475" s="16">
        <v>3700</v>
      </c>
      <c r="AK475" s="16">
        <v>72</v>
      </c>
      <c r="AL475" s="16">
        <v>180</v>
      </c>
      <c r="AM475" s="16">
        <v>48</v>
      </c>
      <c r="AN475" s="16">
        <v>120</v>
      </c>
      <c r="AO475" s="15"/>
      <c r="AP475" s="15"/>
      <c r="AQ475" s="15"/>
      <c r="AR475" s="15"/>
      <c r="AS475" s="15"/>
      <c r="AT475" s="15"/>
      <c r="AU475" s="15">
        <v>800</v>
      </c>
      <c r="AV475" s="15">
        <v>2000</v>
      </c>
      <c r="AW475" s="15">
        <v>4</v>
      </c>
      <c r="AX475" s="15">
        <v>10</v>
      </c>
      <c r="AY475" s="27">
        <f t="shared" si="27"/>
        <v>10678</v>
      </c>
      <c r="AZ475" s="27">
        <f t="shared" si="28"/>
        <v>26681</v>
      </c>
    </row>
    <row r="476" spans="1:52" x14ac:dyDescent="0.25">
      <c r="A476" s="13">
        <v>671</v>
      </c>
      <c r="B476" s="19" t="s">
        <v>1008</v>
      </c>
      <c r="C476" s="26" t="s">
        <v>1009</v>
      </c>
      <c r="D476" s="19" t="s">
        <v>42</v>
      </c>
      <c r="E476" s="16">
        <v>380</v>
      </c>
      <c r="F476" s="16">
        <v>950</v>
      </c>
      <c r="G476" s="16"/>
      <c r="H476" s="16"/>
      <c r="I476" s="16">
        <v>960</v>
      </c>
      <c r="J476" s="16">
        <v>2400</v>
      </c>
      <c r="K476" s="16">
        <v>488</v>
      </c>
      <c r="L476" s="16">
        <v>1218</v>
      </c>
      <c r="M476" s="16">
        <v>10414</v>
      </c>
      <c r="N476" s="16">
        <v>26031</v>
      </c>
      <c r="O476" s="16">
        <v>100</v>
      </c>
      <c r="P476" s="16">
        <v>249</v>
      </c>
      <c r="Q476" s="16">
        <v>40</v>
      </c>
      <c r="R476" s="16">
        <v>100</v>
      </c>
      <c r="S476" s="16"/>
      <c r="T476" s="16"/>
      <c r="U476" s="16">
        <v>132</v>
      </c>
      <c r="V476" s="16">
        <v>330</v>
      </c>
      <c r="W476" s="16"/>
      <c r="X476" s="16"/>
      <c r="Y476" s="16"/>
      <c r="Z476" s="16"/>
      <c r="AA476" s="16">
        <v>20</v>
      </c>
      <c r="AB476" s="16">
        <v>48</v>
      </c>
      <c r="AC476" s="16"/>
      <c r="AD476" s="16"/>
      <c r="AE476" s="16"/>
      <c r="AF476" s="16"/>
      <c r="AG476" s="16"/>
      <c r="AH476" s="16"/>
      <c r="AI476" s="16"/>
      <c r="AJ476" s="16"/>
      <c r="AK476" s="16">
        <v>220</v>
      </c>
      <c r="AL476" s="16">
        <v>550</v>
      </c>
      <c r="AM476" s="16"/>
      <c r="AN476" s="16"/>
      <c r="AO476" s="15">
        <v>5784</v>
      </c>
      <c r="AP476" s="15">
        <v>14460</v>
      </c>
      <c r="AQ476" s="15">
        <v>48</v>
      </c>
      <c r="AR476" s="15">
        <v>120</v>
      </c>
      <c r="AS476" s="15"/>
      <c r="AT476" s="15"/>
      <c r="AU476" s="15">
        <v>400</v>
      </c>
      <c r="AV476" s="15">
        <v>1000</v>
      </c>
      <c r="AW476" s="15"/>
      <c r="AX476" s="15"/>
      <c r="AY476" s="27">
        <f t="shared" si="27"/>
        <v>18986</v>
      </c>
      <c r="AZ476" s="27">
        <f t="shared" si="28"/>
        <v>47456</v>
      </c>
    </row>
    <row r="477" spans="1:52" x14ac:dyDescent="0.25">
      <c r="A477" s="13">
        <v>672</v>
      </c>
      <c r="B477" s="19" t="s">
        <v>1010</v>
      </c>
      <c r="C477" s="26" t="s">
        <v>1011</v>
      </c>
      <c r="D477" s="19" t="s">
        <v>42</v>
      </c>
      <c r="E477" s="16">
        <v>224</v>
      </c>
      <c r="F477" s="16">
        <v>560</v>
      </c>
      <c r="G477" s="16">
        <v>4</v>
      </c>
      <c r="H477" s="16">
        <v>10</v>
      </c>
      <c r="I477" s="16"/>
      <c r="J477" s="16"/>
      <c r="K477" s="16">
        <v>1864</v>
      </c>
      <c r="L477" s="16">
        <v>4660</v>
      </c>
      <c r="M477" s="16">
        <v>3790</v>
      </c>
      <c r="N477" s="16">
        <v>9475</v>
      </c>
      <c r="O477" s="16">
        <v>12</v>
      </c>
      <c r="P477" s="16">
        <v>28</v>
      </c>
      <c r="Q477" s="16">
        <v>56</v>
      </c>
      <c r="R477" s="16">
        <v>140</v>
      </c>
      <c r="S477" s="16"/>
      <c r="T477" s="16"/>
      <c r="U477" s="16">
        <v>88</v>
      </c>
      <c r="V477" s="16">
        <v>220</v>
      </c>
      <c r="W477" s="16"/>
      <c r="X477" s="16"/>
      <c r="Y477" s="16"/>
      <c r="Z477" s="16"/>
      <c r="AA477" s="16">
        <v>40</v>
      </c>
      <c r="AB477" s="16">
        <v>100</v>
      </c>
      <c r="AC477" s="16">
        <v>1320</v>
      </c>
      <c r="AD477" s="16">
        <v>3300</v>
      </c>
      <c r="AE477" s="16"/>
      <c r="AF477" s="16"/>
      <c r="AG477" s="16"/>
      <c r="AH477" s="16"/>
      <c r="AI477" s="16"/>
      <c r="AJ477" s="16"/>
      <c r="AK477" s="16">
        <v>60</v>
      </c>
      <c r="AL477" s="16">
        <v>150</v>
      </c>
      <c r="AM477" s="16"/>
      <c r="AN477" s="16"/>
      <c r="AO477" s="15">
        <v>496</v>
      </c>
      <c r="AP477" s="15">
        <v>1240</v>
      </c>
      <c r="AQ477" s="15">
        <v>58</v>
      </c>
      <c r="AR477" s="15">
        <v>144</v>
      </c>
      <c r="AS477" s="15"/>
      <c r="AT477" s="15"/>
      <c r="AU477" s="15"/>
      <c r="AV477" s="15"/>
      <c r="AW477" s="15">
        <v>4</v>
      </c>
      <c r="AX477" s="15">
        <v>6</v>
      </c>
      <c r="AY477" s="27">
        <f t="shared" si="27"/>
        <v>8016</v>
      </c>
      <c r="AZ477" s="27">
        <f t="shared" si="28"/>
        <v>20033</v>
      </c>
    </row>
    <row r="478" spans="1:52" x14ac:dyDescent="0.25">
      <c r="A478" s="13">
        <v>680</v>
      </c>
      <c r="B478" s="19" t="s">
        <v>1012</v>
      </c>
      <c r="C478" s="26" t="s">
        <v>1013</v>
      </c>
      <c r="D478" s="19" t="s">
        <v>42</v>
      </c>
      <c r="E478" s="16">
        <v>216</v>
      </c>
      <c r="F478" s="16">
        <v>540</v>
      </c>
      <c r="G478" s="16">
        <v>600</v>
      </c>
      <c r="H478" s="16">
        <v>1500</v>
      </c>
      <c r="I478" s="16">
        <v>11600</v>
      </c>
      <c r="J478" s="16">
        <v>29000</v>
      </c>
      <c r="K478" s="16">
        <v>3340</v>
      </c>
      <c r="L478" s="16">
        <v>8348</v>
      </c>
      <c r="M478" s="16">
        <v>1650</v>
      </c>
      <c r="N478" s="16">
        <v>4122</v>
      </c>
      <c r="O478" s="16">
        <v>2689</v>
      </c>
      <c r="P478" s="16">
        <v>6720</v>
      </c>
      <c r="Q478" s="16">
        <v>70</v>
      </c>
      <c r="R478" s="16">
        <v>174</v>
      </c>
      <c r="S478" s="16">
        <v>10</v>
      </c>
      <c r="T478" s="16">
        <v>21</v>
      </c>
      <c r="U478" s="16"/>
      <c r="V478" s="16"/>
      <c r="W478" s="16">
        <v>176</v>
      </c>
      <c r="X478" s="16">
        <v>440</v>
      </c>
      <c r="Y478" s="16">
        <v>112</v>
      </c>
      <c r="Z478" s="16">
        <v>280</v>
      </c>
      <c r="AA478" s="16">
        <v>40</v>
      </c>
      <c r="AB478" s="16">
        <v>100</v>
      </c>
      <c r="AC478" s="16"/>
      <c r="AD478" s="16"/>
      <c r="AE478" s="16"/>
      <c r="AF478" s="16"/>
      <c r="AG478" s="16">
        <v>3680</v>
      </c>
      <c r="AH478" s="16">
        <v>9200</v>
      </c>
      <c r="AI478" s="16">
        <v>9656</v>
      </c>
      <c r="AJ478" s="16">
        <v>24140</v>
      </c>
      <c r="AK478" s="16">
        <v>568</v>
      </c>
      <c r="AL478" s="16">
        <v>1420</v>
      </c>
      <c r="AM478" s="16">
        <v>144</v>
      </c>
      <c r="AN478" s="16">
        <v>360</v>
      </c>
      <c r="AO478" s="15">
        <v>7457</v>
      </c>
      <c r="AP478" s="15">
        <v>18639</v>
      </c>
      <c r="AQ478" s="15"/>
      <c r="AR478" s="15"/>
      <c r="AS478" s="15">
        <v>144</v>
      </c>
      <c r="AT478" s="15">
        <v>360</v>
      </c>
      <c r="AU478" s="15">
        <v>720</v>
      </c>
      <c r="AV478" s="15">
        <v>1800</v>
      </c>
      <c r="AW478" s="15"/>
      <c r="AX478" s="15"/>
      <c r="AY478" s="27">
        <f t="shared" si="27"/>
        <v>42872</v>
      </c>
      <c r="AZ478" s="27">
        <f t="shared" si="28"/>
        <v>107164</v>
      </c>
    </row>
    <row r="479" spans="1:52" x14ac:dyDescent="0.25">
      <c r="A479" s="13">
        <v>691</v>
      </c>
      <c r="B479" s="19" t="s">
        <v>1014</v>
      </c>
      <c r="C479" s="26" t="s">
        <v>1015</v>
      </c>
      <c r="D479" s="19" t="s">
        <v>42</v>
      </c>
      <c r="E479" s="16">
        <v>88</v>
      </c>
      <c r="F479" s="16">
        <v>220</v>
      </c>
      <c r="G479" s="16">
        <v>160</v>
      </c>
      <c r="H479" s="16">
        <v>400</v>
      </c>
      <c r="I479" s="16"/>
      <c r="J479" s="16"/>
      <c r="K479" s="16">
        <v>64</v>
      </c>
      <c r="L479" s="16">
        <v>160</v>
      </c>
      <c r="M479" s="16">
        <v>54</v>
      </c>
      <c r="N479" s="16">
        <v>134</v>
      </c>
      <c r="O479" s="16">
        <v>48</v>
      </c>
      <c r="P479" s="16">
        <v>120</v>
      </c>
      <c r="Q479" s="16"/>
      <c r="R479" s="16"/>
      <c r="S479" s="16"/>
      <c r="T479" s="16"/>
      <c r="U479" s="16">
        <v>261</v>
      </c>
      <c r="V479" s="16">
        <v>650</v>
      </c>
      <c r="W479" s="16">
        <v>40</v>
      </c>
      <c r="X479" s="16">
        <v>100</v>
      </c>
      <c r="Y479" s="16">
        <v>200</v>
      </c>
      <c r="Z479" s="16">
        <v>500</v>
      </c>
      <c r="AA479" s="16">
        <v>8</v>
      </c>
      <c r="AB479" s="16">
        <v>18</v>
      </c>
      <c r="AC479" s="16">
        <v>592</v>
      </c>
      <c r="AD479" s="16">
        <v>1480</v>
      </c>
      <c r="AE479" s="16">
        <v>7760</v>
      </c>
      <c r="AF479" s="16">
        <v>19400</v>
      </c>
      <c r="AG479" s="16"/>
      <c r="AH479" s="16"/>
      <c r="AI479" s="16">
        <v>800</v>
      </c>
      <c r="AJ479" s="16">
        <v>2000</v>
      </c>
      <c r="AK479" s="16">
        <v>884</v>
      </c>
      <c r="AL479" s="16">
        <v>2210</v>
      </c>
      <c r="AM479" s="16"/>
      <c r="AN479" s="16"/>
      <c r="AO479" s="15">
        <v>196</v>
      </c>
      <c r="AP479" s="15">
        <v>490</v>
      </c>
      <c r="AQ479" s="15"/>
      <c r="AR479" s="15"/>
      <c r="AS479" s="15"/>
      <c r="AT479" s="15"/>
      <c r="AU479" s="15"/>
      <c r="AV479" s="15"/>
      <c r="AW479" s="15"/>
      <c r="AX479" s="15"/>
      <c r="AY479" s="27">
        <f t="shared" si="27"/>
        <v>11155</v>
      </c>
      <c r="AZ479" s="27">
        <f t="shared" si="28"/>
        <v>27882</v>
      </c>
    </row>
    <row r="480" spans="1:52" x14ac:dyDescent="0.25">
      <c r="A480" s="13">
        <v>693</v>
      </c>
      <c r="B480" s="19" t="s">
        <v>1016</v>
      </c>
      <c r="C480" s="26" t="s">
        <v>1017</v>
      </c>
      <c r="D480" s="19" t="s">
        <v>43</v>
      </c>
      <c r="E480" s="16"/>
      <c r="F480" s="16"/>
      <c r="G480" s="16"/>
      <c r="H480" s="16"/>
      <c r="I480" s="16">
        <v>480</v>
      </c>
      <c r="J480" s="16">
        <v>1200</v>
      </c>
      <c r="K480" s="16"/>
      <c r="L480" s="16"/>
      <c r="M480" s="16"/>
      <c r="N480" s="16"/>
      <c r="O480" s="16"/>
      <c r="P480" s="16"/>
      <c r="Q480" s="16"/>
      <c r="R480" s="16"/>
      <c r="S480" s="16"/>
      <c r="T480" s="16"/>
      <c r="U480" s="16"/>
      <c r="V480" s="16"/>
      <c r="W480" s="16"/>
      <c r="X480" s="16"/>
      <c r="Y480" s="16">
        <v>26</v>
      </c>
      <c r="Z480" s="16">
        <v>64</v>
      </c>
      <c r="AA480" s="16"/>
      <c r="AB480" s="16"/>
      <c r="AC480" s="16"/>
      <c r="AD480" s="16"/>
      <c r="AE480" s="16"/>
      <c r="AF480" s="16"/>
      <c r="AG480" s="16"/>
      <c r="AH480" s="16"/>
      <c r="AI480" s="16"/>
      <c r="AJ480" s="16"/>
      <c r="AK480" s="16">
        <v>4</v>
      </c>
      <c r="AL480" s="16">
        <v>10</v>
      </c>
      <c r="AM480" s="16"/>
      <c r="AN480" s="16"/>
      <c r="AO480" s="15">
        <v>2400</v>
      </c>
      <c r="AP480" s="15">
        <v>6000</v>
      </c>
      <c r="AQ480" s="15"/>
      <c r="AR480" s="15"/>
      <c r="AS480" s="15"/>
      <c r="AT480" s="15"/>
      <c r="AU480" s="15"/>
      <c r="AV480" s="15"/>
      <c r="AW480" s="15"/>
      <c r="AX480" s="15"/>
      <c r="AY480" s="27">
        <f t="shared" si="27"/>
        <v>2910</v>
      </c>
      <c r="AZ480" s="27">
        <f t="shared" si="28"/>
        <v>7274</v>
      </c>
    </row>
    <row r="481" spans="1:52" x14ac:dyDescent="0.25">
      <c r="A481" s="13">
        <v>694</v>
      </c>
      <c r="B481" s="19" t="s">
        <v>1018</v>
      </c>
      <c r="C481" s="26" t="s">
        <v>1019</v>
      </c>
      <c r="D481" s="19" t="s">
        <v>43</v>
      </c>
      <c r="E481" s="16">
        <v>160</v>
      </c>
      <c r="F481" s="16">
        <v>400</v>
      </c>
      <c r="G481" s="16"/>
      <c r="H481" s="16"/>
      <c r="I481" s="16">
        <v>24</v>
      </c>
      <c r="J481" s="16">
        <v>60</v>
      </c>
      <c r="K481" s="16"/>
      <c r="L481" s="16"/>
      <c r="M481" s="16">
        <v>608</v>
      </c>
      <c r="N481" s="16">
        <v>1520</v>
      </c>
      <c r="O481" s="16">
        <v>40</v>
      </c>
      <c r="P481" s="16">
        <v>100</v>
      </c>
      <c r="Q481" s="16"/>
      <c r="R481" s="16"/>
      <c r="S481" s="16"/>
      <c r="T481" s="16"/>
      <c r="U481" s="16"/>
      <c r="V481" s="16"/>
      <c r="W481" s="16"/>
      <c r="X481" s="16"/>
      <c r="Y481" s="16"/>
      <c r="Z481" s="16"/>
      <c r="AA481" s="16"/>
      <c r="AB481" s="16"/>
      <c r="AC481" s="16"/>
      <c r="AD481" s="16"/>
      <c r="AE481" s="16"/>
      <c r="AF481" s="16"/>
      <c r="AG481" s="16"/>
      <c r="AH481" s="16"/>
      <c r="AI481" s="16">
        <v>192</v>
      </c>
      <c r="AJ481" s="16">
        <v>480</v>
      </c>
      <c r="AK481" s="16"/>
      <c r="AL481" s="16"/>
      <c r="AM481" s="16"/>
      <c r="AN481" s="16"/>
      <c r="AO481" s="15">
        <v>1080</v>
      </c>
      <c r="AP481" s="15">
        <v>2700</v>
      </c>
      <c r="AQ481" s="15"/>
      <c r="AR481" s="15"/>
      <c r="AS481" s="15"/>
      <c r="AT481" s="15"/>
      <c r="AU481" s="15"/>
      <c r="AV481" s="15"/>
      <c r="AW481" s="15"/>
      <c r="AX481" s="15"/>
      <c r="AY481" s="27">
        <f t="shared" si="27"/>
        <v>2104</v>
      </c>
      <c r="AZ481" s="27">
        <f t="shared" si="28"/>
        <v>5260</v>
      </c>
    </row>
    <row r="482" spans="1:52" x14ac:dyDescent="0.25">
      <c r="A482" s="13">
        <v>695</v>
      </c>
      <c r="B482" s="19" t="s">
        <v>1020</v>
      </c>
      <c r="C482" s="26" t="s">
        <v>1021</v>
      </c>
      <c r="D482" s="19" t="s">
        <v>43</v>
      </c>
      <c r="E482" s="16"/>
      <c r="F482" s="16"/>
      <c r="G482" s="16"/>
      <c r="H482" s="16"/>
      <c r="I482" s="16"/>
      <c r="J482" s="16"/>
      <c r="K482" s="16"/>
      <c r="L482" s="16"/>
      <c r="M482" s="16">
        <v>648</v>
      </c>
      <c r="N482" s="16">
        <v>1620</v>
      </c>
      <c r="O482" s="16">
        <v>102</v>
      </c>
      <c r="P482" s="16">
        <v>252</v>
      </c>
      <c r="Q482" s="16"/>
      <c r="R482" s="16"/>
      <c r="S482" s="16"/>
      <c r="T482" s="16"/>
      <c r="U482" s="16">
        <v>88</v>
      </c>
      <c r="V482" s="16">
        <v>220</v>
      </c>
      <c r="W482" s="16"/>
      <c r="X482" s="16"/>
      <c r="Y482" s="16"/>
      <c r="Z482" s="16"/>
      <c r="AA482" s="16">
        <v>12</v>
      </c>
      <c r="AB482" s="16">
        <v>26</v>
      </c>
      <c r="AC482" s="16"/>
      <c r="AD482" s="16"/>
      <c r="AE482" s="16"/>
      <c r="AF482" s="16"/>
      <c r="AG482" s="16"/>
      <c r="AH482" s="16"/>
      <c r="AI482" s="16"/>
      <c r="AJ482" s="16"/>
      <c r="AK482" s="16"/>
      <c r="AL482" s="16"/>
      <c r="AM482" s="16"/>
      <c r="AN482" s="16"/>
      <c r="AO482" s="15"/>
      <c r="AP482" s="15"/>
      <c r="AQ482" s="15"/>
      <c r="AR482" s="15"/>
      <c r="AS482" s="15"/>
      <c r="AT482" s="15"/>
      <c r="AU482" s="15"/>
      <c r="AV482" s="15"/>
      <c r="AW482" s="15"/>
      <c r="AX482" s="15"/>
      <c r="AY482" s="27">
        <f t="shared" si="27"/>
        <v>850</v>
      </c>
      <c r="AZ482" s="27">
        <f t="shared" si="28"/>
        <v>2118</v>
      </c>
    </row>
    <row r="483" spans="1:52" x14ac:dyDescent="0.25">
      <c r="A483" s="13">
        <v>696</v>
      </c>
      <c r="B483" s="19" t="s">
        <v>1022</v>
      </c>
      <c r="C483" s="26" t="s">
        <v>1023</v>
      </c>
      <c r="D483" s="19" t="s">
        <v>43</v>
      </c>
      <c r="E483" s="16"/>
      <c r="F483" s="16"/>
      <c r="G483" s="16"/>
      <c r="H483" s="16"/>
      <c r="I483" s="16"/>
      <c r="J483" s="16"/>
      <c r="K483" s="16"/>
      <c r="L483" s="16"/>
      <c r="M483" s="16"/>
      <c r="N483" s="16"/>
      <c r="O483" s="16"/>
      <c r="P483" s="16"/>
      <c r="Q483" s="16"/>
      <c r="R483" s="16"/>
      <c r="S483" s="16"/>
      <c r="T483" s="16"/>
      <c r="U483" s="16">
        <v>38</v>
      </c>
      <c r="V483" s="16">
        <v>94</v>
      </c>
      <c r="W483" s="16"/>
      <c r="X483" s="16"/>
      <c r="Y483" s="16"/>
      <c r="Z483" s="16"/>
      <c r="AA483" s="16"/>
      <c r="AB483" s="16"/>
      <c r="AC483" s="16"/>
      <c r="AD483" s="16"/>
      <c r="AE483" s="16"/>
      <c r="AF483" s="16"/>
      <c r="AG483" s="16"/>
      <c r="AH483" s="16"/>
      <c r="AI483" s="16"/>
      <c r="AJ483" s="16"/>
      <c r="AK483" s="16"/>
      <c r="AL483" s="16"/>
      <c r="AM483" s="16"/>
      <c r="AN483" s="16"/>
      <c r="AO483" s="15"/>
      <c r="AP483" s="15"/>
      <c r="AQ483" s="15"/>
      <c r="AR483" s="15"/>
      <c r="AS483" s="15"/>
      <c r="AT483" s="15"/>
      <c r="AU483" s="15"/>
      <c r="AV483" s="15"/>
      <c r="AW483" s="15"/>
      <c r="AX483" s="15"/>
      <c r="AY483" s="27">
        <f t="shared" si="27"/>
        <v>38</v>
      </c>
      <c r="AZ483" s="27">
        <f t="shared" si="28"/>
        <v>94</v>
      </c>
    </row>
    <row r="484" spans="1:52" x14ac:dyDescent="0.25">
      <c r="A484" s="13">
        <v>698</v>
      </c>
      <c r="B484" s="19" t="s">
        <v>1024</v>
      </c>
      <c r="C484" s="26" t="s">
        <v>1025</v>
      </c>
      <c r="D484" s="19" t="s">
        <v>43</v>
      </c>
      <c r="E484" s="16">
        <v>80</v>
      </c>
      <c r="F484" s="16">
        <v>200</v>
      </c>
      <c r="G484" s="16"/>
      <c r="H484" s="16"/>
      <c r="I484" s="16">
        <v>192</v>
      </c>
      <c r="J484" s="16">
        <v>480</v>
      </c>
      <c r="K484" s="16">
        <v>240</v>
      </c>
      <c r="L484" s="16">
        <v>600</v>
      </c>
      <c r="M484" s="16">
        <v>104</v>
      </c>
      <c r="N484" s="16">
        <v>260</v>
      </c>
      <c r="O484" s="16"/>
      <c r="P484" s="16"/>
      <c r="Q484" s="16"/>
      <c r="R484" s="16"/>
      <c r="S484" s="16"/>
      <c r="T484" s="16"/>
      <c r="U484" s="16">
        <v>9</v>
      </c>
      <c r="V484" s="16">
        <v>22</v>
      </c>
      <c r="W484" s="16"/>
      <c r="X484" s="16"/>
      <c r="Y484" s="16">
        <v>206</v>
      </c>
      <c r="Z484" s="16">
        <v>512</v>
      </c>
      <c r="AA484" s="16"/>
      <c r="AB484" s="16"/>
      <c r="AC484" s="16"/>
      <c r="AD484" s="16"/>
      <c r="AE484" s="16"/>
      <c r="AF484" s="16"/>
      <c r="AG484" s="16"/>
      <c r="AH484" s="16"/>
      <c r="AI484" s="16"/>
      <c r="AJ484" s="16"/>
      <c r="AK484" s="16"/>
      <c r="AL484" s="16"/>
      <c r="AM484" s="16"/>
      <c r="AN484" s="16"/>
      <c r="AO484" s="15">
        <v>4</v>
      </c>
      <c r="AP484" s="15">
        <v>10</v>
      </c>
      <c r="AQ484" s="15"/>
      <c r="AR484" s="15"/>
      <c r="AS484" s="15"/>
      <c r="AT484" s="15"/>
      <c r="AU484" s="15">
        <v>4</v>
      </c>
      <c r="AV484" s="15">
        <v>8</v>
      </c>
      <c r="AW484" s="15"/>
      <c r="AX484" s="15"/>
      <c r="AY484" s="27">
        <f t="shared" si="27"/>
        <v>839</v>
      </c>
      <c r="AZ484" s="27">
        <f t="shared" si="28"/>
        <v>2092</v>
      </c>
    </row>
    <row r="485" spans="1:52" x14ac:dyDescent="0.25">
      <c r="A485" s="13">
        <v>699</v>
      </c>
      <c r="B485" s="19" t="s">
        <v>1026</v>
      </c>
      <c r="C485" s="26" t="s">
        <v>1027</v>
      </c>
      <c r="D485" s="19" t="s">
        <v>43</v>
      </c>
      <c r="E485" s="16">
        <v>80</v>
      </c>
      <c r="F485" s="16">
        <v>200</v>
      </c>
      <c r="G485" s="16"/>
      <c r="H485" s="16"/>
      <c r="I485" s="16">
        <v>192</v>
      </c>
      <c r="J485" s="16">
        <v>480</v>
      </c>
      <c r="K485" s="16">
        <v>160</v>
      </c>
      <c r="L485" s="16">
        <v>400</v>
      </c>
      <c r="M485" s="16">
        <v>168</v>
      </c>
      <c r="N485" s="16">
        <v>420</v>
      </c>
      <c r="O485" s="16"/>
      <c r="P485" s="16"/>
      <c r="Q485" s="16"/>
      <c r="R485" s="16"/>
      <c r="S485" s="16">
        <v>120</v>
      </c>
      <c r="T485" s="16">
        <v>300</v>
      </c>
      <c r="U485" s="16">
        <v>9</v>
      </c>
      <c r="V485" s="16">
        <v>22</v>
      </c>
      <c r="W485" s="16"/>
      <c r="X485" s="16"/>
      <c r="Y485" s="16"/>
      <c r="Z485" s="16"/>
      <c r="AA485" s="16"/>
      <c r="AB485" s="16"/>
      <c r="AC485" s="16"/>
      <c r="AD485" s="16"/>
      <c r="AE485" s="16"/>
      <c r="AF485" s="16"/>
      <c r="AG485" s="16"/>
      <c r="AH485" s="16"/>
      <c r="AI485" s="16"/>
      <c r="AJ485" s="16"/>
      <c r="AK485" s="16"/>
      <c r="AL485" s="16"/>
      <c r="AM485" s="16"/>
      <c r="AN485" s="16"/>
      <c r="AO485" s="15">
        <v>4</v>
      </c>
      <c r="AP485" s="15">
        <v>10</v>
      </c>
      <c r="AQ485" s="15"/>
      <c r="AR485" s="15"/>
      <c r="AS485" s="15"/>
      <c r="AT485" s="15"/>
      <c r="AU485" s="15">
        <v>48</v>
      </c>
      <c r="AV485" s="15">
        <v>120</v>
      </c>
      <c r="AW485" s="15"/>
      <c r="AX485" s="15"/>
      <c r="AY485" s="27">
        <f t="shared" si="27"/>
        <v>781</v>
      </c>
      <c r="AZ485" s="27">
        <f t="shared" si="28"/>
        <v>1952</v>
      </c>
    </row>
    <row r="486" spans="1:52" x14ac:dyDescent="0.25">
      <c r="A486" s="13">
        <v>700</v>
      </c>
      <c r="B486" s="19" t="s">
        <v>1028</v>
      </c>
      <c r="C486" s="26" t="s">
        <v>1029</v>
      </c>
      <c r="D486" s="19" t="s">
        <v>43</v>
      </c>
      <c r="E486" s="16"/>
      <c r="F486" s="16"/>
      <c r="G486" s="16">
        <v>40</v>
      </c>
      <c r="H486" s="16">
        <v>100</v>
      </c>
      <c r="I486" s="16">
        <v>40</v>
      </c>
      <c r="J486" s="16">
        <v>100</v>
      </c>
      <c r="K486" s="16"/>
      <c r="L486" s="16"/>
      <c r="M486" s="16"/>
      <c r="N486" s="16"/>
      <c r="O486" s="16"/>
      <c r="P486" s="16"/>
      <c r="Q486" s="16">
        <v>8</v>
      </c>
      <c r="R486" s="16">
        <v>18</v>
      </c>
      <c r="S486" s="16"/>
      <c r="T486" s="16"/>
      <c r="U486" s="16"/>
      <c r="V486" s="16"/>
      <c r="W486" s="16"/>
      <c r="X486" s="16"/>
      <c r="Y486" s="16"/>
      <c r="Z486" s="16"/>
      <c r="AA486" s="16"/>
      <c r="AB486" s="16"/>
      <c r="AC486" s="16">
        <v>8</v>
      </c>
      <c r="AD486" s="16">
        <v>18</v>
      </c>
      <c r="AE486" s="16"/>
      <c r="AF486" s="16"/>
      <c r="AG486" s="16"/>
      <c r="AH486" s="16"/>
      <c r="AI486" s="16"/>
      <c r="AJ486" s="16"/>
      <c r="AK486" s="16"/>
      <c r="AL486" s="16"/>
      <c r="AM486" s="16"/>
      <c r="AN486" s="16"/>
      <c r="AO486" s="15"/>
      <c r="AP486" s="15"/>
      <c r="AQ486" s="15">
        <v>120</v>
      </c>
      <c r="AR486" s="15">
        <v>300</v>
      </c>
      <c r="AS486" s="15"/>
      <c r="AT486" s="15"/>
      <c r="AU486" s="15"/>
      <c r="AV486" s="15"/>
      <c r="AW486" s="15"/>
      <c r="AX486" s="15"/>
      <c r="AY486" s="27">
        <f t="shared" si="27"/>
        <v>216</v>
      </c>
      <c r="AZ486" s="27">
        <f t="shared" si="28"/>
        <v>536</v>
      </c>
    </row>
    <row r="487" spans="1:52" x14ac:dyDescent="0.25">
      <c r="A487" s="13">
        <v>702</v>
      </c>
      <c r="B487" s="19" t="s">
        <v>1030</v>
      </c>
      <c r="C487" s="26" t="s">
        <v>1031</v>
      </c>
      <c r="D487" s="19" t="s">
        <v>43</v>
      </c>
      <c r="E487" s="16">
        <v>24</v>
      </c>
      <c r="F487" s="16">
        <v>58</v>
      </c>
      <c r="G487" s="16"/>
      <c r="H487" s="16"/>
      <c r="I487" s="16"/>
      <c r="J487" s="16"/>
      <c r="K487" s="16"/>
      <c r="L487" s="16"/>
      <c r="M487" s="16"/>
      <c r="N487" s="16"/>
      <c r="O487" s="16"/>
      <c r="P487" s="16"/>
      <c r="Q487" s="16"/>
      <c r="R487" s="16"/>
      <c r="S487" s="16"/>
      <c r="T487" s="16"/>
      <c r="U487" s="16">
        <v>3</v>
      </c>
      <c r="V487" s="16">
        <v>5</v>
      </c>
      <c r="W487" s="16"/>
      <c r="X487" s="16"/>
      <c r="Y487" s="16"/>
      <c r="Z487" s="16"/>
      <c r="AA487" s="16"/>
      <c r="AB487" s="16"/>
      <c r="AC487" s="16">
        <v>4</v>
      </c>
      <c r="AD487" s="16">
        <v>9</v>
      </c>
      <c r="AE487" s="16"/>
      <c r="AF487" s="16"/>
      <c r="AG487" s="16"/>
      <c r="AH487" s="16"/>
      <c r="AI487" s="16"/>
      <c r="AJ487" s="16"/>
      <c r="AK487" s="16"/>
      <c r="AL487" s="16"/>
      <c r="AM487" s="16"/>
      <c r="AN487" s="16"/>
      <c r="AO487" s="15"/>
      <c r="AP487" s="15"/>
      <c r="AQ487" s="15"/>
      <c r="AR487" s="15"/>
      <c r="AS487" s="15"/>
      <c r="AT487" s="15"/>
      <c r="AU487" s="15"/>
      <c r="AV487" s="15"/>
      <c r="AW487" s="15"/>
      <c r="AX487" s="15"/>
      <c r="AY487" s="27">
        <f t="shared" si="27"/>
        <v>31</v>
      </c>
      <c r="AZ487" s="27">
        <f t="shared" si="28"/>
        <v>72</v>
      </c>
    </row>
    <row r="488" spans="1:52" x14ac:dyDescent="0.25">
      <c r="A488" s="13">
        <v>708</v>
      </c>
      <c r="B488" s="19" t="s">
        <v>1032</v>
      </c>
      <c r="C488" s="26" t="s">
        <v>1033</v>
      </c>
      <c r="D488" s="19" t="s">
        <v>43</v>
      </c>
      <c r="E488" s="16">
        <v>12</v>
      </c>
      <c r="F488" s="16">
        <v>28</v>
      </c>
      <c r="G488" s="16">
        <v>6</v>
      </c>
      <c r="H488" s="16">
        <v>12</v>
      </c>
      <c r="I488" s="16">
        <v>48</v>
      </c>
      <c r="J488" s="16">
        <v>120</v>
      </c>
      <c r="K488" s="16">
        <v>2</v>
      </c>
      <c r="L488" s="16">
        <v>2</v>
      </c>
      <c r="M488" s="16">
        <v>176</v>
      </c>
      <c r="N488" s="16">
        <v>440</v>
      </c>
      <c r="O488" s="16"/>
      <c r="P488" s="16"/>
      <c r="Q488" s="16"/>
      <c r="R488" s="16"/>
      <c r="S488" s="16"/>
      <c r="T488" s="16"/>
      <c r="U488" s="16">
        <v>12</v>
      </c>
      <c r="V488" s="16">
        <v>30</v>
      </c>
      <c r="W488" s="16"/>
      <c r="X488" s="16"/>
      <c r="Y488" s="16">
        <v>20</v>
      </c>
      <c r="Z488" s="16">
        <v>50</v>
      </c>
      <c r="AA488" s="16">
        <v>2</v>
      </c>
      <c r="AB488" s="16">
        <v>2</v>
      </c>
      <c r="AC488" s="16"/>
      <c r="AD488" s="16"/>
      <c r="AE488" s="16"/>
      <c r="AF488" s="16"/>
      <c r="AG488" s="16"/>
      <c r="AH488" s="16"/>
      <c r="AI488" s="16"/>
      <c r="AJ488" s="16"/>
      <c r="AK488" s="16"/>
      <c r="AL488" s="16"/>
      <c r="AM488" s="16"/>
      <c r="AN488" s="16"/>
      <c r="AO488" s="15">
        <v>46</v>
      </c>
      <c r="AP488" s="15">
        <v>112</v>
      </c>
      <c r="AQ488" s="15">
        <v>22</v>
      </c>
      <c r="AR488" s="15">
        <v>54</v>
      </c>
      <c r="AS488" s="15"/>
      <c r="AT488" s="15"/>
      <c r="AU488" s="15"/>
      <c r="AV488" s="15"/>
      <c r="AW488" s="15"/>
      <c r="AX488" s="15"/>
      <c r="AY488" s="27">
        <f t="shared" si="27"/>
        <v>346</v>
      </c>
      <c r="AZ488" s="27">
        <f t="shared" si="28"/>
        <v>850</v>
      </c>
    </row>
    <row r="489" spans="1:52" x14ac:dyDescent="0.25">
      <c r="A489" s="13">
        <v>709</v>
      </c>
      <c r="B489" s="19" t="s">
        <v>1034</v>
      </c>
      <c r="C489" s="26" t="s">
        <v>1035</v>
      </c>
      <c r="D489" s="19" t="s">
        <v>43</v>
      </c>
      <c r="E489" s="16"/>
      <c r="F489" s="16"/>
      <c r="G489" s="16"/>
      <c r="H489" s="16"/>
      <c r="I489" s="16">
        <v>960</v>
      </c>
      <c r="J489" s="16">
        <v>2400</v>
      </c>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5">
        <v>40</v>
      </c>
      <c r="AP489" s="15">
        <v>96</v>
      </c>
      <c r="AQ489" s="15"/>
      <c r="AR489" s="15"/>
      <c r="AS489" s="15"/>
      <c r="AT489" s="15"/>
      <c r="AU489" s="15"/>
      <c r="AV489" s="15"/>
      <c r="AW489" s="15"/>
      <c r="AX489" s="15"/>
      <c r="AY489" s="27">
        <f t="shared" si="27"/>
        <v>1000</v>
      </c>
      <c r="AZ489" s="27">
        <f t="shared" si="28"/>
        <v>2496</v>
      </c>
    </row>
    <row r="490" spans="1:52" x14ac:dyDescent="0.25">
      <c r="A490" s="13">
        <v>710</v>
      </c>
      <c r="B490" s="19" t="s">
        <v>1036</v>
      </c>
      <c r="C490" s="26" t="s">
        <v>1037</v>
      </c>
      <c r="D490" s="19" t="s">
        <v>43</v>
      </c>
      <c r="E490" s="16">
        <v>8</v>
      </c>
      <c r="F490" s="16">
        <v>20</v>
      </c>
      <c r="G490" s="16"/>
      <c r="H490" s="16"/>
      <c r="I490" s="16"/>
      <c r="J490" s="16"/>
      <c r="K490" s="16"/>
      <c r="L490" s="16"/>
      <c r="M490" s="16">
        <v>864</v>
      </c>
      <c r="N490" s="16">
        <v>2156</v>
      </c>
      <c r="O490" s="16">
        <v>1124</v>
      </c>
      <c r="P490" s="16">
        <v>2808</v>
      </c>
      <c r="Q490" s="16"/>
      <c r="R490" s="16"/>
      <c r="S490" s="16"/>
      <c r="T490" s="16"/>
      <c r="U490" s="16">
        <v>9</v>
      </c>
      <c r="V490" s="16">
        <v>22</v>
      </c>
      <c r="W490" s="16"/>
      <c r="X490" s="16"/>
      <c r="Y490" s="16">
        <v>44</v>
      </c>
      <c r="Z490" s="16">
        <v>110</v>
      </c>
      <c r="AA490" s="16"/>
      <c r="AB490" s="16"/>
      <c r="AC490" s="16">
        <v>706</v>
      </c>
      <c r="AD490" s="16">
        <v>1765</v>
      </c>
      <c r="AE490" s="16"/>
      <c r="AF490" s="16"/>
      <c r="AG490" s="16"/>
      <c r="AH490" s="16"/>
      <c r="AI490" s="16">
        <v>80</v>
      </c>
      <c r="AJ490" s="16">
        <v>200</v>
      </c>
      <c r="AK490" s="16"/>
      <c r="AL490" s="16"/>
      <c r="AM490" s="16"/>
      <c r="AN490" s="16"/>
      <c r="AO490" s="15">
        <v>426</v>
      </c>
      <c r="AP490" s="15">
        <v>1060</v>
      </c>
      <c r="AQ490" s="15"/>
      <c r="AR490" s="15"/>
      <c r="AS490" s="15"/>
      <c r="AT490" s="15"/>
      <c r="AU490" s="15"/>
      <c r="AV490" s="15"/>
      <c r="AW490" s="15"/>
      <c r="AX490" s="15"/>
      <c r="AY490" s="27">
        <f t="shared" si="27"/>
        <v>3261</v>
      </c>
      <c r="AZ490" s="27">
        <f t="shared" si="28"/>
        <v>8141</v>
      </c>
    </row>
    <row r="491" spans="1:52" x14ac:dyDescent="0.25">
      <c r="A491" s="13">
        <v>711</v>
      </c>
      <c r="B491" s="19" t="s">
        <v>1038</v>
      </c>
      <c r="C491" s="26" t="s">
        <v>1039</v>
      </c>
      <c r="D491" s="19" t="s">
        <v>43</v>
      </c>
      <c r="E491" s="16"/>
      <c r="F491" s="16"/>
      <c r="G491" s="16"/>
      <c r="H491" s="16"/>
      <c r="I491" s="16"/>
      <c r="J491" s="16"/>
      <c r="K491" s="16"/>
      <c r="L491" s="16"/>
      <c r="M491" s="16"/>
      <c r="N491" s="16"/>
      <c r="O491" s="16">
        <v>562</v>
      </c>
      <c r="P491" s="16">
        <v>1404</v>
      </c>
      <c r="Q491" s="16"/>
      <c r="R491" s="16"/>
      <c r="S491" s="16"/>
      <c r="T491" s="16"/>
      <c r="U491" s="16">
        <v>9</v>
      </c>
      <c r="V491" s="16">
        <v>22</v>
      </c>
      <c r="W491" s="16"/>
      <c r="X491" s="16"/>
      <c r="Y491" s="16"/>
      <c r="Z491" s="16"/>
      <c r="AA491" s="16"/>
      <c r="AB491" s="16"/>
      <c r="AC491" s="16">
        <v>227</v>
      </c>
      <c r="AD491" s="16">
        <v>565</v>
      </c>
      <c r="AE491" s="16"/>
      <c r="AF491" s="16"/>
      <c r="AG491" s="16"/>
      <c r="AH491" s="16"/>
      <c r="AI491" s="16">
        <v>80</v>
      </c>
      <c r="AJ491" s="16">
        <v>200</v>
      </c>
      <c r="AK491" s="16"/>
      <c r="AL491" s="16"/>
      <c r="AM491" s="16"/>
      <c r="AN491" s="16"/>
      <c r="AO491" s="15"/>
      <c r="AP491" s="15"/>
      <c r="AQ491" s="15"/>
      <c r="AR491" s="15"/>
      <c r="AS491" s="15"/>
      <c r="AT491" s="15"/>
      <c r="AU491" s="15"/>
      <c r="AV491" s="15"/>
      <c r="AW491" s="15"/>
      <c r="AX491" s="15"/>
      <c r="AY491" s="27">
        <f t="shared" si="27"/>
        <v>878</v>
      </c>
      <c r="AZ491" s="27">
        <f t="shared" si="28"/>
        <v>2191</v>
      </c>
    </row>
    <row r="492" spans="1:52" x14ac:dyDescent="0.25">
      <c r="A492" s="13">
        <v>727</v>
      </c>
      <c r="B492" s="19" t="s">
        <v>1040</v>
      </c>
      <c r="C492" s="26" t="s">
        <v>1041</v>
      </c>
      <c r="D492" s="19" t="s">
        <v>43</v>
      </c>
      <c r="E492" s="16"/>
      <c r="F492" s="16"/>
      <c r="G492" s="16"/>
      <c r="H492" s="16"/>
      <c r="I492" s="16"/>
      <c r="J492" s="16"/>
      <c r="K492" s="16"/>
      <c r="L492" s="16"/>
      <c r="M492" s="16">
        <v>353</v>
      </c>
      <c r="N492" s="16">
        <v>879</v>
      </c>
      <c r="O492" s="16"/>
      <c r="P492" s="16"/>
      <c r="Q492" s="16"/>
      <c r="R492" s="16"/>
      <c r="S492" s="16"/>
      <c r="T492" s="16"/>
      <c r="U492" s="16">
        <v>4</v>
      </c>
      <c r="V492" s="16">
        <v>8</v>
      </c>
      <c r="W492" s="16"/>
      <c r="X492" s="16"/>
      <c r="Y492" s="16"/>
      <c r="Z492" s="16"/>
      <c r="AA492" s="16"/>
      <c r="AB492" s="16"/>
      <c r="AC492" s="16">
        <v>24</v>
      </c>
      <c r="AD492" s="16">
        <v>60</v>
      </c>
      <c r="AE492" s="16"/>
      <c r="AF492" s="16"/>
      <c r="AG492" s="16"/>
      <c r="AH492" s="16"/>
      <c r="AI492" s="16"/>
      <c r="AJ492" s="16"/>
      <c r="AK492" s="16"/>
      <c r="AL492" s="16"/>
      <c r="AM492" s="16"/>
      <c r="AN492" s="16"/>
      <c r="AO492" s="15"/>
      <c r="AP492" s="15"/>
      <c r="AQ492" s="15"/>
      <c r="AR492" s="15"/>
      <c r="AS492" s="15"/>
      <c r="AT492" s="15"/>
      <c r="AU492" s="15"/>
      <c r="AV492" s="15"/>
      <c r="AW492" s="15"/>
      <c r="AX492" s="15"/>
      <c r="AY492" s="27">
        <f t="shared" si="27"/>
        <v>381</v>
      </c>
      <c r="AZ492" s="27">
        <f t="shared" si="28"/>
        <v>947</v>
      </c>
    </row>
    <row r="493" spans="1:52" x14ac:dyDescent="0.25">
      <c r="A493" s="13">
        <v>739</v>
      </c>
      <c r="B493" s="19" t="s">
        <v>1042</v>
      </c>
      <c r="C493" s="26" t="s">
        <v>1043</v>
      </c>
      <c r="D493" s="19" t="s">
        <v>43</v>
      </c>
      <c r="E493" s="16">
        <v>400</v>
      </c>
      <c r="F493" s="16">
        <v>1000</v>
      </c>
      <c r="G493" s="16">
        <v>56</v>
      </c>
      <c r="H493" s="16">
        <v>140</v>
      </c>
      <c r="I493" s="16"/>
      <c r="J493" s="16"/>
      <c r="K493" s="16">
        <v>1318</v>
      </c>
      <c r="L493" s="16">
        <v>3294</v>
      </c>
      <c r="M493" s="16"/>
      <c r="N493" s="16"/>
      <c r="O493" s="16">
        <v>1330</v>
      </c>
      <c r="P493" s="16">
        <v>3325</v>
      </c>
      <c r="Q493" s="16">
        <v>32</v>
      </c>
      <c r="R493" s="16">
        <v>80</v>
      </c>
      <c r="S493" s="16">
        <v>44</v>
      </c>
      <c r="T493" s="16">
        <v>110</v>
      </c>
      <c r="U493" s="16">
        <v>276</v>
      </c>
      <c r="V493" s="16">
        <v>690</v>
      </c>
      <c r="W493" s="16">
        <v>160</v>
      </c>
      <c r="X493" s="16">
        <v>400</v>
      </c>
      <c r="Y493" s="16"/>
      <c r="Z493" s="16"/>
      <c r="AA493" s="16"/>
      <c r="AB493" s="16"/>
      <c r="AC493" s="16">
        <v>159</v>
      </c>
      <c r="AD493" s="16">
        <v>396</v>
      </c>
      <c r="AE493" s="16">
        <v>576</v>
      </c>
      <c r="AF493" s="16">
        <v>1440</v>
      </c>
      <c r="AG493" s="16"/>
      <c r="AH493" s="16"/>
      <c r="AI493" s="16">
        <v>800</v>
      </c>
      <c r="AJ493" s="16">
        <v>2000</v>
      </c>
      <c r="AK493" s="16">
        <v>40</v>
      </c>
      <c r="AL493" s="16">
        <v>100</v>
      </c>
      <c r="AM493" s="16">
        <v>96</v>
      </c>
      <c r="AN493" s="16">
        <v>240</v>
      </c>
      <c r="AO493" s="15">
        <v>176</v>
      </c>
      <c r="AP493" s="15">
        <v>440</v>
      </c>
      <c r="AQ493" s="15">
        <v>220</v>
      </c>
      <c r="AR493" s="15">
        <v>550</v>
      </c>
      <c r="AS493" s="15"/>
      <c r="AT493" s="15"/>
      <c r="AU493" s="15">
        <v>128</v>
      </c>
      <c r="AV493" s="15">
        <v>320</v>
      </c>
      <c r="AW493" s="15"/>
      <c r="AX493" s="15"/>
      <c r="AY493" s="27">
        <f t="shared" si="27"/>
        <v>5811</v>
      </c>
      <c r="AZ493" s="27">
        <f t="shared" si="28"/>
        <v>14525</v>
      </c>
    </row>
    <row r="494" spans="1:52" x14ac:dyDescent="0.25">
      <c r="A494" s="13">
        <v>741</v>
      </c>
      <c r="B494" s="19" t="s">
        <v>1044</v>
      </c>
      <c r="C494" s="26" t="s">
        <v>1045</v>
      </c>
      <c r="D494" s="19" t="s">
        <v>43</v>
      </c>
      <c r="E494" s="16">
        <v>16</v>
      </c>
      <c r="F494" s="16">
        <v>40</v>
      </c>
      <c r="G494" s="16"/>
      <c r="H494" s="16"/>
      <c r="I494" s="16"/>
      <c r="J494" s="16"/>
      <c r="K494" s="16">
        <v>60</v>
      </c>
      <c r="L494" s="16">
        <v>150</v>
      </c>
      <c r="M494" s="16">
        <v>208</v>
      </c>
      <c r="N494" s="16">
        <v>516</v>
      </c>
      <c r="O494" s="16">
        <v>20</v>
      </c>
      <c r="P494" s="16">
        <v>50</v>
      </c>
      <c r="Q494" s="16"/>
      <c r="R494" s="16"/>
      <c r="S494" s="16"/>
      <c r="T494" s="16"/>
      <c r="U494" s="16">
        <v>9</v>
      </c>
      <c r="V494" s="16">
        <v>22</v>
      </c>
      <c r="W494" s="16"/>
      <c r="X494" s="16"/>
      <c r="Y494" s="16">
        <v>40</v>
      </c>
      <c r="Z494" s="16">
        <v>96</v>
      </c>
      <c r="AA494" s="16"/>
      <c r="AB494" s="16"/>
      <c r="AC494" s="16">
        <v>180</v>
      </c>
      <c r="AD494" s="16">
        <v>450</v>
      </c>
      <c r="AE494" s="16"/>
      <c r="AF494" s="16"/>
      <c r="AG494" s="16"/>
      <c r="AH494" s="16"/>
      <c r="AI494" s="16">
        <v>48</v>
      </c>
      <c r="AJ494" s="16">
        <v>120</v>
      </c>
      <c r="AK494" s="16">
        <v>40</v>
      </c>
      <c r="AL494" s="16">
        <v>100</v>
      </c>
      <c r="AM494" s="16">
        <v>10</v>
      </c>
      <c r="AN494" s="16">
        <v>24</v>
      </c>
      <c r="AO494" s="15">
        <v>152</v>
      </c>
      <c r="AP494" s="15">
        <v>380</v>
      </c>
      <c r="AQ494" s="15"/>
      <c r="AR494" s="15"/>
      <c r="AS494" s="15"/>
      <c r="AT494" s="15"/>
      <c r="AU494" s="15"/>
      <c r="AV494" s="15"/>
      <c r="AW494" s="15"/>
      <c r="AX494" s="15"/>
      <c r="AY494" s="27">
        <f t="shared" si="27"/>
        <v>783</v>
      </c>
      <c r="AZ494" s="27">
        <f t="shared" si="28"/>
        <v>1948</v>
      </c>
    </row>
    <row r="495" spans="1:52" x14ac:dyDescent="0.25">
      <c r="A495" s="13">
        <v>751</v>
      </c>
      <c r="B495" s="19" t="s">
        <v>1046</v>
      </c>
      <c r="C495" s="26" t="s">
        <v>1047</v>
      </c>
      <c r="D495" s="19" t="s">
        <v>43</v>
      </c>
      <c r="E495" s="16"/>
      <c r="F495" s="16"/>
      <c r="G495" s="16"/>
      <c r="H495" s="16"/>
      <c r="I495" s="16"/>
      <c r="J495" s="16"/>
      <c r="K495" s="16"/>
      <c r="L495" s="16"/>
      <c r="M495" s="16"/>
      <c r="N495" s="16"/>
      <c r="O495" s="16">
        <v>113</v>
      </c>
      <c r="P495" s="16">
        <v>280</v>
      </c>
      <c r="Q495" s="16"/>
      <c r="R495" s="16"/>
      <c r="S495" s="16"/>
      <c r="T495" s="16"/>
      <c r="U495" s="16">
        <v>44</v>
      </c>
      <c r="V495" s="16">
        <v>110</v>
      </c>
      <c r="W495" s="16"/>
      <c r="X495" s="16"/>
      <c r="Y495" s="16"/>
      <c r="Z495" s="16"/>
      <c r="AA495" s="16"/>
      <c r="AB495" s="16"/>
      <c r="AC495" s="16"/>
      <c r="AD495" s="16"/>
      <c r="AE495" s="16"/>
      <c r="AF495" s="16"/>
      <c r="AG495" s="16">
        <v>12</v>
      </c>
      <c r="AH495" s="16">
        <v>30</v>
      </c>
      <c r="AI495" s="16">
        <v>96</v>
      </c>
      <c r="AJ495" s="16">
        <v>240</v>
      </c>
      <c r="AK495" s="16"/>
      <c r="AL495" s="16"/>
      <c r="AM495" s="16">
        <v>20</v>
      </c>
      <c r="AN495" s="16">
        <v>48</v>
      </c>
      <c r="AO495" s="15"/>
      <c r="AP495" s="15"/>
      <c r="AQ495" s="15"/>
      <c r="AR495" s="15"/>
      <c r="AS495" s="15"/>
      <c r="AT495" s="15"/>
      <c r="AU495" s="15"/>
      <c r="AV495" s="15"/>
      <c r="AW495" s="15"/>
      <c r="AX495" s="15"/>
      <c r="AY495" s="27">
        <f t="shared" si="27"/>
        <v>285</v>
      </c>
      <c r="AZ495" s="27">
        <f t="shared" si="28"/>
        <v>708</v>
      </c>
    </row>
    <row r="496" spans="1:52" x14ac:dyDescent="0.25">
      <c r="A496" s="13">
        <v>757</v>
      </c>
      <c r="B496" s="19" t="s">
        <v>1050</v>
      </c>
      <c r="C496" s="26" t="s">
        <v>1051</v>
      </c>
      <c r="D496" s="19" t="s">
        <v>43</v>
      </c>
      <c r="E496" s="16">
        <v>40</v>
      </c>
      <c r="F496" s="16">
        <v>100</v>
      </c>
      <c r="G496" s="16">
        <v>8</v>
      </c>
      <c r="H496" s="16">
        <v>20</v>
      </c>
      <c r="I496" s="16"/>
      <c r="J496" s="16"/>
      <c r="K496" s="16">
        <v>1200</v>
      </c>
      <c r="L496" s="16">
        <v>3000</v>
      </c>
      <c r="M496" s="16">
        <v>332</v>
      </c>
      <c r="N496" s="16">
        <v>830</v>
      </c>
      <c r="O496" s="16">
        <v>875</v>
      </c>
      <c r="P496" s="16">
        <v>2187</v>
      </c>
      <c r="Q496" s="16"/>
      <c r="R496" s="16"/>
      <c r="S496" s="16">
        <v>404</v>
      </c>
      <c r="T496" s="16">
        <v>1008</v>
      </c>
      <c r="U496" s="16">
        <v>50</v>
      </c>
      <c r="V496" s="16">
        <v>125</v>
      </c>
      <c r="W496" s="16">
        <v>1872</v>
      </c>
      <c r="X496" s="16">
        <v>4680</v>
      </c>
      <c r="Y496" s="16">
        <v>554</v>
      </c>
      <c r="Z496" s="16">
        <v>1382</v>
      </c>
      <c r="AA496" s="16"/>
      <c r="AB496" s="16"/>
      <c r="AC496" s="16">
        <v>1192</v>
      </c>
      <c r="AD496" s="16">
        <v>2979</v>
      </c>
      <c r="AE496" s="16">
        <v>1344</v>
      </c>
      <c r="AF496" s="16">
        <v>3360</v>
      </c>
      <c r="AG496" s="16"/>
      <c r="AH496" s="16"/>
      <c r="AI496" s="16">
        <v>400</v>
      </c>
      <c r="AJ496" s="16">
        <v>1000</v>
      </c>
      <c r="AK496" s="16">
        <v>4680</v>
      </c>
      <c r="AL496" s="16">
        <v>11700</v>
      </c>
      <c r="AM496" s="16">
        <v>192</v>
      </c>
      <c r="AN496" s="16">
        <v>480</v>
      </c>
      <c r="AO496" s="15">
        <v>906</v>
      </c>
      <c r="AP496" s="15">
        <v>2264</v>
      </c>
      <c r="AQ496" s="15">
        <v>36</v>
      </c>
      <c r="AR496" s="15">
        <v>86</v>
      </c>
      <c r="AS496" s="15"/>
      <c r="AT496" s="15"/>
      <c r="AU496" s="15">
        <v>112</v>
      </c>
      <c r="AV496" s="15">
        <v>280</v>
      </c>
      <c r="AW496" s="15"/>
      <c r="AX496" s="15"/>
      <c r="AY496" s="27">
        <f t="shared" si="27"/>
        <v>14197</v>
      </c>
      <c r="AZ496" s="27">
        <f t="shared" si="28"/>
        <v>35481</v>
      </c>
    </row>
    <row r="497" spans="1:52" x14ac:dyDescent="0.25">
      <c r="A497" s="13">
        <v>758</v>
      </c>
      <c r="B497" s="19" t="s">
        <v>1052</v>
      </c>
      <c r="C497" s="26" t="s">
        <v>1053</v>
      </c>
      <c r="D497" s="19" t="s">
        <v>43</v>
      </c>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v>2</v>
      </c>
      <c r="AJ497" s="16">
        <v>4</v>
      </c>
      <c r="AK497" s="16"/>
      <c r="AL497" s="16"/>
      <c r="AM497" s="16"/>
      <c r="AN497" s="16"/>
      <c r="AO497" s="15">
        <v>62</v>
      </c>
      <c r="AP497" s="15">
        <v>154</v>
      </c>
      <c r="AQ497" s="15"/>
      <c r="AR497" s="15"/>
      <c r="AS497" s="15"/>
      <c r="AT497" s="15"/>
      <c r="AU497" s="15"/>
      <c r="AV497" s="15"/>
      <c r="AW497" s="15"/>
      <c r="AX497" s="15"/>
      <c r="AY497" s="27">
        <f t="shared" si="27"/>
        <v>64</v>
      </c>
      <c r="AZ497" s="27">
        <f t="shared" si="28"/>
        <v>158</v>
      </c>
    </row>
    <row r="498" spans="1:52" x14ac:dyDescent="0.25">
      <c r="A498" s="13">
        <v>759</v>
      </c>
      <c r="B498" s="19" t="s">
        <v>1054</v>
      </c>
      <c r="C498" s="26" t="s">
        <v>1055</v>
      </c>
      <c r="D498" s="19" t="s">
        <v>43</v>
      </c>
      <c r="E498" s="16"/>
      <c r="F498" s="16"/>
      <c r="G498" s="16"/>
      <c r="H498" s="16"/>
      <c r="I498" s="16"/>
      <c r="J498" s="16"/>
      <c r="K498" s="16"/>
      <c r="L498" s="16"/>
      <c r="M498" s="16">
        <v>263</v>
      </c>
      <c r="N498" s="16">
        <v>652</v>
      </c>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5">
        <v>194</v>
      </c>
      <c r="AP498" s="15">
        <v>484</v>
      </c>
      <c r="AQ498" s="15"/>
      <c r="AR498" s="15"/>
      <c r="AS498" s="15"/>
      <c r="AT498" s="15"/>
      <c r="AU498" s="15"/>
      <c r="AV498" s="15"/>
      <c r="AW498" s="15"/>
      <c r="AX498" s="15"/>
      <c r="AY498" s="27">
        <f t="shared" si="27"/>
        <v>457</v>
      </c>
      <c r="AZ498" s="27">
        <f t="shared" si="28"/>
        <v>1136</v>
      </c>
    </row>
    <row r="499" spans="1:52" x14ac:dyDescent="0.25">
      <c r="A499" s="13">
        <v>770</v>
      </c>
      <c r="B499" s="19" t="s">
        <v>1056</v>
      </c>
      <c r="C499" s="26" t="s">
        <v>1057</v>
      </c>
      <c r="D499" s="19" t="s">
        <v>42</v>
      </c>
      <c r="E499" s="16"/>
      <c r="F499" s="16"/>
      <c r="G499" s="16">
        <v>20</v>
      </c>
      <c r="H499" s="16">
        <v>50</v>
      </c>
      <c r="I499" s="16">
        <v>640</v>
      </c>
      <c r="J499" s="16">
        <v>1600</v>
      </c>
      <c r="K499" s="16">
        <v>37</v>
      </c>
      <c r="L499" s="16">
        <v>92</v>
      </c>
      <c r="M499" s="16">
        <v>2232</v>
      </c>
      <c r="N499" s="16">
        <v>5578</v>
      </c>
      <c r="O499" s="16">
        <v>4</v>
      </c>
      <c r="P499" s="16">
        <v>7</v>
      </c>
      <c r="Q499" s="16"/>
      <c r="R499" s="16"/>
      <c r="S499" s="16"/>
      <c r="T499" s="16"/>
      <c r="U499" s="16"/>
      <c r="V499" s="16"/>
      <c r="W499" s="16">
        <v>180</v>
      </c>
      <c r="X499" s="16">
        <v>450</v>
      </c>
      <c r="Y499" s="16"/>
      <c r="Z499" s="16"/>
      <c r="AA499" s="16">
        <v>20</v>
      </c>
      <c r="AB499" s="16">
        <v>48</v>
      </c>
      <c r="AC499" s="16">
        <v>161</v>
      </c>
      <c r="AD499" s="16">
        <v>399</v>
      </c>
      <c r="AE499" s="16"/>
      <c r="AF499" s="16"/>
      <c r="AG499" s="16"/>
      <c r="AH499" s="16"/>
      <c r="AI499" s="16">
        <v>10</v>
      </c>
      <c r="AJ499" s="16">
        <v>24</v>
      </c>
      <c r="AK499" s="16">
        <v>80</v>
      </c>
      <c r="AL499" s="16">
        <v>200</v>
      </c>
      <c r="AM499" s="16"/>
      <c r="AN499" s="16"/>
      <c r="AO499" s="15"/>
      <c r="AP499" s="15"/>
      <c r="AQ499" s="15">
        <v>78</v>
      </c>
      <c r="AR499" s="15">
        <v>192</v>
      </c>
      <c r="AS499" s="15"/>
      <c r="AT499" s="15"/>
      <c r="AU499" s="15"/>
      <c r="AV499" s="15"/>
      <c r="AW499" s="15"/>
      <c r="AX499" s="15"/>
      <c r="AY499" s="27">
        <f t="shared" si="27"/>
        <v>3462</v>
      </c>
      <c r="AZ499" s="27">
        <f t="shared" si="28"/>
        <v>8640</v>
      </c>
    </row>
    <row r="500" spans="1:52" x14ac:dyDescent="0.25">
      <c r="A500" s="13">
        <v>780</v>
      </c>
      <c r="B500" s="19" t="s">
        <v>1058</v>
      </c>
      <c r="C500" s="26" t="s">
        <v>1059</v>
      </c>
      <c r="D500" s="19" t="s">
        <v>42</v>
      </c>
      <c r="E500" s="16">
        <v>32</v>
      </c>
      <c r="F500" s="16">
        <v>80</v>
      </c>
      <c r="G500" s="16">
        <v>4</v>
      </c>
      <c r="H500" s="16">
        <v>6</v>
      </c>
      <c r="I500" s="16">
        <v>40</v>
      </c>
      <c r="J500" s="16">
        <v>100</v>
      </c>
      <c r="K500" s="16">
        <v>189</v>
      </c>
      <c r="L500" s="16">
        <v>472</v>
      </c>
      <c r="M500" s="16">
        <v>100</v>
      </c>
      <c r="N500" s="16">
        <v>248</v>
      </c>
      <c r="O500" s="16">
        <v>20</v>
      </c>
      <c r="P500" s="16">
        <v>50</v>
      </c>
      <c r="Q500" s="16">
        <v>40</v>
      </c>
      <c r="R500" s="16">
        <v>100</v>
      </c>
      <c r="S500" s="16">
        <v>14</v>
      </c>
      <c r="T500" s="16">
        <v>35</v>
      </c>
      <c r="U500" s="16">
        <v>160</v>
      </c>
      <c r="V500" s="16">
        <v>400</v>
      </c>
      <c r="W500" s="16">
        <v>97</v>
      </c>
      <c r="X500" s="16">
        <v>241</v>
      </c>
      <c r="Y500" s="16">
        <v>54</v>
      </c>
      <c r="Z500" s="16">
        <v>132</v>
      </c>
      <c r="AA500" s="16">
        <v>6</v>
      </c>
      <c r="AB500" s="16">
        <v>12</v>
      </c>
      <c r="AC500" s="16">
        <v>33</v>
      </c>
      <c r="AD500" s="16">
        <v>80</v>
      </c>
      <c r="AE500" s="16">
        <v>288</v>
      </c>
      <c r="AF500" s="16">
        <v>720</v>
      </c>
      <c r="AG500" s="16"/>
      <c r="AH500" s="16"/>
      <c r="AI500" s="16">
        <v>120</v>
      </c>
      <c r="AJ500" s="16">
        <v>300</v>
      </c>
      <c r="AK500" s="16">
        <v>36</v>
      </c>
      <c r="AL500" s="16">
        <v>86</v>
      </c>
      <c r="AM500" s="16">
        <v>10</v>
      </c>
      <c r="AN500" s="16">
        <v>24</v>
      </c>
      <c r="AO500" s="15">
        <v>24</v>
      </c>
      <c r="AP500" s="15">
        <v>60</v>
      </c>
      <c r="AQ500" s="15">
        <v>14</v>
      </c>
      <c r="AR500" s="15">
        <v>32</v>
      </c>
      <c r="AS500" s="15"/>
      <c r="AT500" s="15"/>
      <c r="AU500" s="15">
        <v>24</v>
      </c>
      <c r="AV500" s="15">
        <v>60</v>
      </c>
      <c r="AW500" s="15"/>
      <c r="AX500" s="15"/>
      <c r="AY500" s="27">
        <f t="shared" si="27"/>
        <v>1305</v>
      </c>
      <c r="AZ500" s="27">
        <f t="shared" si="28"/>
        <v>3238</v>
      </c>
    </row>
    <row r="501" spans="1:52" x14ac:dyDescent="0.25">
      <c r="A501" s="13">
        <v>781</v>
      </c>
      <c r="B501" s="19" t="s">
        <v>1060</v>
      </c>
      <c r="C501" s="26" t="s">
        <v>1061</v>
      </c>
      <c r="D501" s="19" t="s">
        <v>42</v>
      </c>
      <c r="E501" s="16">
        <v>6</v>
      </c>
      <c r="F501" s="16">
        <v>12</v>
      </c>
      <c r="G501" s="16">
        <v>14</v>
      </c>
      <c r="H501" s="16">
        <v>32</v>
      </c>
      <c r="I501" s="16">
        <v>2600</v>
      </c>
      <c r="J501" s="16">
        <v>6500</v>
      </c>
      <c r="K501" s="16">
        <v>776</v>
      </c>
      <c r="L501" s="16">
        <v>1936</v>
      </c>
      <c r="M501" s="16">
        <v>2954</v>
      </c>
      <c r="N501" s="16">
        <v>7382</v>
      </c>
      <c r="O501" s="16"/>
      <c r="P501" s="16"/>
      <c r="Q501" s="16">
        <v>16</v>
      </c>
      <c r="R501" s="16">
        <v>38</v>
      </c>
      <c r="S501" s="16">
        <v>2</v>
      </c>
      <c r="T501" s="16">
        <v>3</v>
      </c>
      <c r="U501" s="16">
        <v>53</v>
      </c>
      <c r="V501" s="16">
        <v>132</v>
      </c>
      <c r="W501" s="16">
        <v>144</v>
      </c>
      <c r="X501" s="16">
        <v>360</v>
      </c>
      <c r="Y501" s="16">
        <v>42</v>
      </c>
      <c r="Z501" s="16">
        <v>102</v>
      </c>
      <c r="AA501" s="16"/>
      <c r="AB501" s="16"/>
      <c r="AC501" s="16">
        <v>11</v>
      </c>
      <c r="AD501" s="16">
        <v>26</v>
      </c>
      <c r="AE501" s="16"/>
      <c r="AF501" s="16"/>
      <c r="AG501" s="16">
        <v>120</v>
      </c>
      <c r="AH501" s="16">
        <v>300</v>
      </c>
      <c r="AI501" s="16">
        <v>388</v>
      </c>
      <c r="AJ501" s="16">
        <v>968</v>
      </c>
      <c r="AK501" s="16"/>
      <c r="AL501" s="16"/>
      <c r="AM501" s="16">
        <v>40</v>
      </c>
      <c r="AN501" s="16">
        <v>96</v>
      </c>
      <c r="AO501" s="15">
        <v>358</v>
      </c>
      <c r="AP501" s="15">
        <v>892</v>
      </c>
      <c r="AQ501" s="15">
        <v>40</v>
      </c>
      <c r="AR501" s="15">
        <v>100</v>
      </c>
      <c r="AS501" s="15"/>
      <c r="AT501" s="15"/>
      <c r="AU501" s="15"/>
      <c r="AV501" s="15"/>
      <c r="AW501" s="15"/>
      <c r="AX501" s="15"/>
      <c r="AY501" s="27">
        <f t="shared" si="27"/>
        <v>7564</v>
      </c>
      <c r="AZ501" s="27">
        <f t="shared" si="28"/>
        <v>18879</v>
      </c>
    </row>
    <row r="502" spans="1:52" x14ac:dyDescent="0.25">
      <c r="A502" s="13">
        <v>782</v>
      </c>
      <c r="B502" s="19" t="s">
        <v>1062</v>
      </c>
      <c r="C502" s="26" t="s">
        <v>1063</v>
      </c>
      <c r="D502" s="19" t="s">
        <v>42</v>
      </c>
      <c r="E502" s="16">
        <v>6</v>
      </c>
      <c r="F502" s="16">
        <v>12</v>
      </c>
      <c r="G502" s="16">
        <v>2</v>
      </c>
      <c r="H502" s="16">
        <v>2</v>
      </c>
      <c r="I502" s="16">
        <v>1600</v>
      </c>
      <c r="J502" s="16">
        <v>4000</v>
      </c>
      <c r="K502" s="16">
        <v>1504</v>
      </c>
      <c r="L502" s="16">
        <v>3758</v>
      </c>
      <c r="M502" s="16">
        <v>304</v>
      </c>
      <c r="N502" s="16">
        <v>756</v>
      </c>
      <c r="O502" s="16"/>
      <c r="P502" s="16"/>
      <c r="Q502" s="16">
        <v>16</v>
      </c>
      <c r="R502" s="16">
        <v>38</v>
      </c>
      <c r="S502" s="16"/>
      <c r="T502" s="16"/>
      <c r="U502" s="16">
        <v>53</v>
      </c>
      <c r="V502" s="16">
        <v>132</v>
      </c>
      <c r="W502" s="16">
        <v>144</v>
      </c>
      <c r="X502" s="16">
        <v>360</v>
      </c>
      <c r="Y502" s="16">
        <v>80</v>
      </c>
      <c r="Z502" s="16">
        <v>200</v>
      </c>
      <c r="AA502" s="16"/>
      <c r="AB502" s="16"/>
      <c r="AC502" s="16">
        <v>7</v>
      </c>
      <c r="AD502" s="16">
        <v>16</v>
      </c>
      <c r="AE502" s="16"/>
      <c r="AF502" s="16"/>
      <c r="AG502" s="16"/>
      <c r="AH502" s="16"/>
      <c r="AI502" s="16">
        <v>888</v>
      </c>
      <c r="AJ502" s="16">
        <v>2216</v>
      </c>
      <c r="AK502" s="16">
        <v>4</v>
      </c>
      <c r="AL502" s="16">
        <v>10</v>
      </c>
      <c r="AM502" s="16">
        <v>1336</v>
      </c>
      <c r="AN502" s="16">
        <v>3336</v>
      </c>
      <c r="AO502" s="15">
        <v>272</v>
      </c>
      <c r="AP502" s="15">
        <v>676</v>
      </c>
      <c r="AQ502" s="15">
        <v>40</v>
      </c>
      <c r="AR502" s="15">
        <v>100</v>
      </c>
      <c r="AS502" s="15"/>
      <c r="AT502" s="15"/>
      <c r="AU502" s="15"/>
      <c r="AV502" s="15"/>
      <c r="AW502" s="15"/>
      <c r="AX502" s="15"/>
      <c r="AY502" s="27">
        <f t="shared" si="27"/>
        <v>6256</v>
      </c>
      <c r="AZ502" s="27">
        <f t="shared" si="28"/>
        <v>15612</v>
      </c>
    </row>
    <row r="503" spans="1:52" x14ac:dyDescent="0.25">
      <c r="A503" s="13">
        <v>798</v>
      </c>
      <c r="B503" s="19" t="s">
        <v>1064</v>
      </c>
      <c r="C503" s="26" t="s">
        <v>1065</v>
      </c>
      <c r="D503" s="19" t="s">
        <v>42</v>
      </c>
      <c r="E503" s="16"/>
      <c r="F503" s="16"/>
      <c r="G503" s="16"/>
      <c r="H503" s="16"/>
      <c r="I503" s="16"/>
      <c r="J503" s="16"/>
      <c r="K503" s="16">
        <v>10</v>
      </c>
      <c r="L503" s="16">
        <v>24</v>
      </c>
      <c r="M503" s="16"/>
      <c r="N503" s="16"/>
      <c r="O503" s="16"/>
      <c r="P503" s="16"/>
      <c r="Q503" s="16"/>
      <c r="R503" s="16"/>
      <c r="S503" s="16"/>
      <c r="T503" s="16"/>
      <c r="U503" s="16">
        <v>4</v>
      </c>
      <c r="V503" s="16">
        <v>8</v>
      </c>
      <c r="W503" s="16"/>
      <c r="X503" s="16"/>
      <c r="Y503" s="16">
        <v>32</v>
      </c>
      <c r="Z503" s="16">
        <v>80</v>
      </c>
      <c r="AA503" s="16"/>
      <c r="AB503" s="16"/>
      <c r="AC503" s="16">
        <v>8</v>
      </c>
      <c r="AD503" s="16">
        <v>17</v>
      </c>
      <c r="AE503" s="16"/>
      <c r="AF503" s="16"/>
      <c r="AG503" s="16"/>
      <c r="AH503" s="16"/>
      <c r="AI503" s="16"/>
      <c r="AJ503" s="16"/>
      <c r="AK503" s="16"/>
      <c r="AL503" s="16"/>
      <c r="AM503" s="16">
        <v>31</v>
      </c>
      <c r="AN503" s="16">
        <v>73</v>
      </c>
      <c r="AO503" s="15"/>
      <c r="AP503" s="15"/>
      <c r="AQ503" s="15"/>
      <c r="AR503" s="15"/>
      <c r="AS503" s="15"/>
      <c r="AT503" s="15"/>
      <c r="AU503" s="15"/>
      <c r="AV503" s="15"/>
      <c r="AW503" s="15"/>
      <c r="AX503" s="15"/>
      <c r="AY503" s="27">
        <f t="shared" si="27"/>
        <v>85</v>
      </c>
      <c r="AZ503" s="27">
        <f t="shared" si="28"/>
        <v>202</v>
      </c>
    </row>
    <row r="504" spans="1:52" x14ac:dyDescent="0.25">
      <c r="A504" s="13">
        <v>803</v>
      </c>
      <c r="B504" s="19" t="s">
        <v>1066</v>
      </c>
      <c r="C504" s="26" t="s">
        <v>1067</v>
      </c>
      <c r="D504" s="19" t="s">
        <v>43</v>
      </c>
      <c r="E504" s="16">
        <v>272</v>
      </c>
      <c r="F504" s="16">
        <v>680</v>
      </c>
      <c r="G504" s="16">
        <v>260</v>
      </c>
      <c r="H504" s="16">
        <v>650</v>
      </c>
      <c r="I504" s="16"/>
      <c r="J504" s="16"/>
      <c r="K504" s="16">
        <v>6</v>
      </c>
      <c r="L504" s="16">
        <v>12</v>
      </c>
      <c r="M504" s="16">
        <v>672</v>
      </c>
      <c r="N504" s="16">
        <v>1680</v>
      </c>
      <c r="O504" s="16">
        <v>294</v>
      </c>
      <c r="P504" s="16">
        <v>731</v>
      </c>
      <c r="Q504" s="16"/>
      <c r="R504" s="16"/>
      <c r="S504" s="16"/>
      <c r="T504" s="16"/>
      <c r="U504" s="16">
        <v>536</v>
      </c>
      <c r="V504" s="16">
        <v>1337</v>
      </c>
      <c r="W504" s="16">
        <v>640</v>
      </c>
      <c r="X504" s="16">
        <v>1600</v>
      </c>
      <c r="Y504" s="16">
        <v>124</v>
      </c>
      <c r="Z504" s="16">
        <v>310</v>
      </c>
      <c r="AA504" s="16">
        <v>80</v>
      </c>
      <c r="AB504" s="16">
        <v>200</v>
      </c>
      <c r="AC504" s="16"/>
      <c r="AD504" s="16"/>
      <c r="AE504" s="16">
        <v>3373</v>
      </c>
      <c r="AF504" s="16">
        <v>8427</v>
      </c>
      <c r="AG504" s="16">
        <v>100</v>
      </c>
      <c r="AH504" s="16">
        <v>250</v>
      </c>
      <c r="AI504" s="16">
        <v>272</v>
      </c>
      <c r="AJ504" s="16">
        <v>673</v>
      </c>
      <c r="AK504" s="16">
        <v>728</v>
      </c>
      <c r="AL504" s="16">
        <v>1820</v>
      </c>
      <c r="AM504" s="16">
        <v>116</v>
      </c>
      <c r="AN504" s="16">
        <v>288</v>
      </c>
      <c r="AO504" s="15">
        <v>960</v>
      </c>
      <c r="AP504" s="15">
        <v>2400</v>
      </c>
      <c r="AQ504" s="15">
        <v>24</v>
      </c>
      <c r="AR504" s="15">
        <v>60</v>
      </c>
      <c r="AS504" s="15"/>
      <c r="AT504" s="15"/>
      <c r="AU504" s="15"/>
      <c r="AV504" s="15"/>
      <c r="AW504" s="15"/>
      <c r="AX504" s="15"/>
      <c r="AY504" s="27">
        <f t="shared" si="27"/>
        <v>8457</v>
      </c>
      <c r="AZ504" s="27">
        <f t="shared" si="28"/>
        <v>21118</v>
      </c>
    </row>
    <row r="505" spans="1:52" x14ac:dyDescent="0.25">
      <c r="A505" s="13">
        <v>807</v>
      </c>
      <c r="B505" s="19" t="s">
        <v>1068</v>
      </c>
      <c r="C505" s="26" t="s">
        <v>1069</v>
      </c>
      <c r="D505" s="19" t="s">
        <v>43</v>
      </c>
      <c r="E505" s="16">
        <v>4</v>
      </c>
      <c r="F505" s="16">
        <v>10</v>
      </c>
      <c r="G505" s="16"/>
      <c r="H505" s="16"/>
      <c r="I505" s="16">
        <v>4700</v>
      </c>
      <c r="J505" s="16">
        <v>11750</v>
      </c>
      <c r="K505" s="16"/>
      <c r="L505" s="16"/>
      <c r="M505" s="16">
        <v>176</v>
      </c>
      <c r="N505" s="16">
        <v>440</v>
      </c>
      <c r="O505" s="16">
        <v>9600</v>
      </c>
      <c r="P505" s="16">
        <v>24000</v>
      </c>
      <c r="Q505" s="16"/>
      <c r="R505" s="16"/>
      <c r="S505" s="16"/>
      <c r="T505" s="16"/>
      <c r="U505" s="16">
        <v>274</v>
      </c>
      <c r="V505" s="16">
        <v>684</v>
      </c>
      <c r="W505" s="16"/>
      <c r="X505" s="16"/>
      <c r="Y505" s="16">
        <v>544</v>
      </c>
      <c r="Z505" s="16">
        <v>1360</v>
      </c>
      <c r="AA505" s="16">
        <v>64</v>
      </c>
      <c r="AB505" s="16">
        <v>160</v>
      </c>
      <c r="AC505" s="16">
        <v>35</v>
      </c>
      <c r="AD505" s="16">
        <v>85</v>
      </c>
      <c r="AE505" s="16"/>
      <c r="AF505" s="16"/>
      <c r="AG505" s="16"/>
      <c r="AH505" s="16"/>
      <c r="AI505" s="16"/>
      <c r="AJ505" s="16"/>
      <c r="AK505" s="16"/>
      <c r="AL505" s="16"/>
      <c r="AM505" s="16"/>
      <c r="AN505" s="16"/>
      <c r="AO505" s="15">
        <v>16</v>
      </c>
      <c r="AP505" s="15">
        <v>37</v>
      </c>
      <c r="AQ505" s="15"/>
      <c r="AR505" s="15"/>
      <c r="AS505" s="15"/>
      <c r="AT505" s="15"/>
      <c r="AU505" s="15"/>
      <c r="AV505" s="15"/>
      <c r="AW505" s="15"/>
      <c r="AX505" s="15"/>
      <c r="AY505" s="27">
        <f t="shared" si="27"/>
        <v>15413</v>
      </c>
      <c r="AZ505" s="27">
        <f t="shared" si="28"/>
        <v>38526</v>
      </c>
    </row>
    <row r="506" spans="1:52" x14ac:dyDescent="0.25">
      <c r="A506" s="13">
        <v>808</v>
      </c>
      <c r="B506" s="19" t="s">
        <v>1070</v>
      </c>
      <c r="C506" s="26" t="s">
        <v>1071</v>
      </c>
      <c r="D506" s="19" t="s">
        <v>43</v>
      </c>
      <c r="E506" s="16"/>
      <c r="F506" s="16"/>
      <c r="G506" s="16">
        <v>4</v>
      </c>
      <c r="H506" s="16">
        <v>10</v>
      </c>
      <c r="I506" s="16">
        <v>44</v>
      </c>
      <c r="J506" s="16">
        <v>108</v>
      </c>
      <c r="K506" s="16">
        <v>80</v>
      </c>
      <c r="L506" s="16">
        <v>200</v>
      </c>
      <c r="M506" s="16">
        <v>128</v>
      </c>
      <c r="N506" s="16">
        <v>320</v>
      </c>
      <c r="O506" s="16">
        <v>188</v>
      </c>
      <c r="P506" s="16">
        <v>470</v>
      </c>
      <c r="Q506" s="16"/>
      <c r="R506" s="16"/>
      <c r="S506" s="16">
        <v>20</v>
      </c>
      <c r="T506" s="16">
        <v>50</v>
      </c>
      <c r="U506" s="16">
        <v>792</v>
      </c>
      <c r="V506" s="16">
        <v>1980</v>
      </c>
      <c r="W506" s="16"/>
      <c r="X506" s="16"/>
      <c r="Y506" s="16"/>
      <c r="Z506" s="16"/>
      <c r="AA506" s="16"/>
      <c r="AB506" s="16"/>
      <c r="AC506" s="16">
        <v>228</v>
      </c>
      <c r="AD506" s="16">
        <v>569</v>
      </c>
      <c r="AE506" s="16">
        <v>269</v>
      </c>
      <c r="AF506" s="16">
        <v>671</v>
      </c>
      <c r="AG506" s="16"/>
      <c r="AH506" s="16"/>
      <c r="AI506" s="16">
        <v>424</v>
      </c>
      <c r="AJ506" s="16">
        <v>1056</v>
      </c>
      <c r="AK506" s="16"/>
      <c r="AL506" s="16"/>
      <c r="AM506" s="16"/>
      <c r="AN506" s="16"/>
      <c r="AO506" s="15"/>
      <c r="AP506" s="15"/>
      <c r="AQ506" s="15"/>
      <c r="AR506" s="15"/>
      <c r="AS506" s="15"/>
      <c r="AT506" s="15"/>
      <c r="AU506" s="15"/>
      <c r="AV506" s="15"/>
      <c r="AW506" s="15"/>
      <c r="AX506" s="15"/>
      <c r="AY506" s="27">
        <f t="shared" si="27"/>
        <v>2177</v>
      </c>
      <c r="AZ506" s="27">
        <f t="shared" si="28"/>
        <v>5434</v>
      </c>
    </row>
    <row r="507" spans="1:52" x14ac:dyDescent="0.25">
      <c r="A507" s="13">
        <v>809</v>
      </c>
      <c r="B507" s="19" t="s">
        <v>1072</v>
      </c>
      <c r="C507" s="26" t="s">
        <v>1073</v>
      </c>
      <c r="D507" s="19" t="s">
        <v>43</v>
      </c>
      <c r="E507" s="16"/>
      <c r="F507" s="16"/>
      <c r="G507" s="16"/>
      <c r="H507" s="16"/>
      <c r="I507" s="16"/>
      <c r="J507" s="16"/>
      <c r="K507" s="16"/>
      <c r="L507" s="16"/>
      <c r="M507" s="16"/>
      <c r="N507" s="16"/>
      <c r="O507" s="16"/>
      <c r="P507" s="16"/>
      <c r="Q507" s="16"/>
      <c r="R507" s="16"/>
      <c r="S507" s="16"/>
      <c r="T507" s="16"/>
      <c r="U507" s="16">
        <v>282</v>
      </c>
      <c r="V507" s="16">
        <v>704</v>
      </c>
      <c r="W507" s="16"/>
      <c r="X507" s="16"/>
      <c r="Y507" s="16"/>
      <c r="Z507" s="16"/>
      <c r="AA507" s="16"/>
      <c r="AB507" s="16"/>
      <c r="AC507" s="16">
        <v>12</v>
      </c>
      <c r="AD507" s="16">
        <v>27</v>
      </c>
      <c r="AE507" s="16">
        <v>966</v>
      </c>
      <c r="AF507" s="16">
        <v>2415</v>
      </c>
      <c r="AG507" s="16"/>
      <c r="AH507" s="16"/>
      <c r="AI507" s="16"/>
      <c r="AJ507" s="16"/>
      <c r="AK507" s="16"/>
      <c r="AL507" s="16"/>
      <c r="AM507" s="16"/>
      <c r="AN507" s="16"/>
      <c r="AO507" s="15"/>
      <c r="AP507" s="15"/>
      <c r="AQ507" s="15"/>
      <c r="AR507" s="15"/>
      <c r="AS507" s="15"/>
      <c r="AT507" s="15"/>
      <c r="AU507" s="15"/>
      <c r="AV507" s="15"/>
      <c r="AW507" s="15"/>
      <c r="AX507" s="15"/>
      <c r="AY507" s="27">
        <f t="shared" si="27"/>
        <v>1260</v>
      </c>
      <c r="AZ507" s="27">
        <f t="shared" si="28"/>
        <v>3146</v>
      </c>
    </row>
    <row r="508" spans="1:52" x14ac:dyDescent="0.25">
      <c r="A508" s="13">
        <v>811</v>
      </c>
      <c r="B508" s="19" t="s">
        <v>1074</v>
      </c>
      <c r="C508" s="26" t="s">
        <v>1075</v>
      </c>
      <c r="D508" s="19" t="s">
        <v>43</v>
      </c>
      <c r="E508" s="16"/>
      <c r="F508" s="16"/>
      <c r="G508" s="16"/>
      <c r="H508" s="16"/>
      <c r="I508" s="16"/>
      <c r="J508" s="16"/>
      <c r="K508" s="16">
        <v>4</v>
      </c>
      <c r="L508" s="16">
        <v>10</v>
      </c>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v>2</v>
      </c>
      <c r="AJ508" s="16">
        <v>4</v>
      </c>
      <c r="AK508" s="16"/>
      <c r="AL508" s="16"/>
      <c r="AM508" s="16"/>
      <c r="AN508" s="16"/>
      <c r="AO508" s="15"/>
      <c r="AP508" s="15"/>
      <c r="AQ508" s="15"/>
      <c r="AR508" s="15"/>
      <c r="AS508" s="15"/>
      <c r="AT508" s="15"/>
      <c r="AU508" s="15"/>
      <c r="AV508" s="15"/>
      <c r="AW508" s="15"/>
      <c r="AX508" s="15"/>
      <c r="AY508" s="27">
        <f t="shared" si="27"/>
        <v>6</v>
      </c>
      <c r="AZ508" s="27">
        <f t="shared" si="28"/>
        <v>14</v>
      </c>
    </row>
    <row r="509" spans="1:52" x14ac:dyDescent="0.25">
      <c r="A509" s="13">
        <v>812</v>
      </c>
      <c r="B509" s="19" t="s">
        <v>1076</v>
      </c>
      <c r="C509" s="26" t="s">
        <v>1077</v>
      </c>
      <c r="D509" s="19" t="s">
        <v>43</v>
      </c>
      <c r="E509" s="16"/>
      <c r="F509" s="16"/>
      <c r="G509" s="16">
        <v>424</v>
      </c>
      <c r="H509" s="16">
        <v>1056</v>
      </c>
      <c r="I509" s="16">
        <v>4800</v>
      </c>
      <c r="J509" s="16">
        <v>12000</v>
      </c>
      <c r="K509" s="16">
        <v>2285</v>
      </c>
      <c r="L509" s="16">
        <v>5710</v>
      </c>
      <c r="M509" s="16">
        <v>1196</v>
      </c>
      <c r="N509" s="16">
        <v>2986</v>
      </c>
      <c r="O509" s="16">
        <v>29</v>
      </c>
      <c r="P509" s="16">
        <v>70</v>
      </c>
      <c r="Q509" s="16">
        <v>128</v>
      </c>
      <c r="R509" s="16">
        <v>318</v>
      </c>
      <c r="S509" s="16">
        <v>108</v>
      </c>
      <c r="T509" s="16">
        <v>270</v>
      </c>
      <c r="U509" s="16">
        <v>880</v>
      </c>
      <c r="V509" s="16">
        <v>2200</v>
      </c>
      <c r="W509" s="16">
        <v>196</v>
      </c>
      <c r="X509" s="16">
        <v>490</v>
      </c>
      <c r="Y509" s="16"/>
      <c r="Z509" s="16"/>
      <c r="AA509" s="16">
        <v>1200</v>
      </c>
      <c r="AB509" s="16">
        <v>3000</v>
      </c>
      <c r="AC509" s="16"/>
      <c r="AD509" s="16"/>
      <c r="AE509" s="16"/>
      <c r="AF509" s="16"/>
      <c r="AG509" s="16">
        <v>11246</v>
      </c>
      <c r="AH509" s="16">
        <v>28113</v>
      </c>
      <c r="AI509" s="16">
        <v>4944</v>
      </c>
      <c r="AJ509" s="16">
        <v>12360</v>
      </c>
      <c r="AK509" s="16">
        <v>668</v>
      </c>
      <c r="AL509" s="16">
        <v>1670</v>
      </c>
      <c r="AM509" s="16">
        <v>10656</v>
      </c>
      <c r="AN509" s="16">
        <v>26640</v>
      </c>
      <c r="AO509" s="15">
        <v>796</v>
      </c>
      <c r="AP509" s="15">
        <v>1990</v>
      </c>
      <c r="AQ509" s="15">
        <v>840</v>
      </c>
      <c r="AR509" s="15">
        <v>2096</v>
      </c>
      <c r="AS509" s="15"/>
      <c r="AT509" s="15"/>
      <c r="AU509" s="15">
        <v>216</v>
      </c>
      <c r="AV509" s="15">
        <v>540</v>
      </c>
      <c r="AW509" s="15"/>
      <c r="AX509" s="15"/>
      <c r="AY509" s="27">
        <f t="shared" si="27"/>
        <v>40612</v>
      </c>
      <c r="AZ509" s="27">
        <f t="shared" si="28"/>
        <v>101509</v>
      </c>
    </row>
    <row r="510" spans="1:52" x14ac:dyDescent="0.25">
      <c r="A510" s="13">
        <v>816</v>
      </c>
      <c r="B510" s="19" t="s">
        <v>1078</v>
      </c>
      <c r="C510" s="26" t="s">
        <v>1079</v>
      </c>
      <c r="D510" s="19" t="s">
        <v>43</v>
      </c>
      <c r="E510" s="16"/>
      <c r="F510" s="16"/>
      <c r="G510" s="16"/>
      <c r="H510" s="16"/>
      <c r="I510" s="16">
        <v>2400</v>
      </c>
      <c r="J510" s="16">
        <v>6000</v>
      </c>
      <c r="K510" s="16">
        <v>324</v>
      </c>
      <c r="L510" s="16">
        <v>810</v>
      </c>
      <c r="M510" s="16"/>
      <c r="N510" s="16"/>
      <c r="O510" s="16"/>
      <c r="P510" s="16"/>
      <c r="Q510" s="16"/>
      <c r="R510" s="16"/>
      <c r="S510" s="16"/>
      <c r="T510" s="16"/>
      <c r="U510" s="16">
        <v>152</v>
      </c>
      <c r="V510" s="16">
        <v>380</v>
      </c>
      <c r="W510" s="16">
        <v>72</v>
      </c>
      <c r="X510" s="16">
        <v>180</v>
      </c>
      <c r="Y510" s="16"/>
      <c r="Z510" s="16"/>
      <c r="AA510" s="16"/>
      <c r="AB510" s="16"/>
      <c r="AC510" s="16"/>
      <c r="AD510" s="16"/>
      <c r="AE510" s="16"/>
      <c r="AF510" s="16"/>
      <c r="AG510" s="16">
        <v>980</v>
      </c>
      <c r="AH510" s="16">
        <v>2450</v>
      </c>
      <c r="AI510" s="16">
        <v>960</v>
      </c>
      <c r="AJ510" s="16">
        <v>2400</v>
      </c>
      <c r="AK510" s="16"/>
      <c r="AL510" s="16"/>
      <c r="AM510" s="16"/>
      <c r="AN510" s="16"/>
      <c r="AO510" s="15"/>
      <c r="AP510" s="15"/>
      <c r="AQ510" s="15"/>
      <c r="AR510" s="15"/>
      <c r="AS510" s="15"/>
      <c r="AT510" s="15"/>
      <c r="AU510" s="15"/>
      <c r="AV510" s="15"/>
      <c r="AW510" s="15"/>
      <c r="AX510" s="15"/>
      <c r="AY510" s="27">
        <f t="shared" si="27"/>
        <v>4888</v>
      </c>
      <c r="AZ510" s="27">
        <f t="shared" si="28"/>
        <v>12220</v>
      </c>
    </row>
    <row r="511" spans="1:52" x14ac:dyDescent="0.25">
      <c r="A511" s="13">
        <v>827</v>
      </c>
      <c r="B511" s="19" t="s">
        <v>1080</v>
      </c>
      <c r="C511" s="26" t="s">
        <v>1081</v>
      </c>
      <c r="D511" s="19" t="s">
        <v>43</v>
      </c>
      <c r="E511" s="16"/>
      <c r="F511" s="16"/>
      <c r="G511" s="16">
        <v>8</v>
      </c>
      <c r="H511" s="16">
        <v>20</v>
      </c>
      <c r="I511" s="16">
        <v>1600</v>
      </c>
      <c r="J511" s="16">
        <v>4000</v>
      </c>
      <c r="K511" s="16">
        <v>184</v>
      </c>
      <c r="L511" s="16">
        <v>460</v>
      </c>
      <c r="M511" s="16"/>
      <c r="N511" s="16"/>
      <c r="O511" s="16"/>
      <c r="P511" s="16"/>
      <c r="Q511" s="16"/>
      <c r="R511" s="16"/>
      <c r="S511" s="16"/>
      <c r="T511" s="16"/>
      <c r="U511" s="16">
        <v>152</v>
      </c>
      <c r="V511" s="16">
        <v>380</v>
      </c>
      <c r="W511" s="16">
        <v>80</v>
      </c>
      <c r="X511" s="16">
        <v>200</v>
      </c>
      <c r="Y511" s="16"/>
      <c r="Z511" s="16"/>
      <c r="AA511" s="16"/>
      <c r="AB511" s="16"/>
      <c r="AC511" s="16"/>
      <c r="AD511" s="16"/>
      <c r="AE511" s="16"/>
      <c r="AF511" s="16"/>
      <c r="AG511" s="16">
        <v>2495</v>
      </c>
      <c r="AH511" s="16">
        <v>6237</v>
      </c>
      <c r="AI511" s="16">
        <v>384</v>
      </c>
      <c r="AJ511" s="16">
        <v>960</v>
      </c>
      <c r="AK511" s="16">
        <v>8</v>
      </c>
      <c r="AL511" s="16">
        <v>20</v>
      </c>
      <c r="AM511" s="16"/>
      <c r="AN511" s="16"/>
      <c r="AO511" s="15"/>
      <c r="AP511" s="15"/>
      <c r="AQ511" s="15"/>
      <c r="AR511" s="15"/>
      <c r="AS511" s="15"/>
      <c r="AT511" s="15"/>
      <c r="AU511" s="15"/>
      <c r="AV511" s="15"/>
      <c r="AW511" s="15"/>
      <c r="AX511" s="15"/>
      <c r="AY511" s="27">
        <f t="shared" si="27"/>
        <v>4911</v>
      </c>
      <c r="AZ511" s="27">
        <f t="shared" si="28"/>
        <v>12277</v>
      </c>
    </row>
    <row r="512" spans="1:52" x14ac:dyDescent="0.25">
      <c r="A512" s="13">
        <v>828</v>
      </c>
      <c r="B512" s="19" t="s">
        <v>1082</v>
      </c>
      <c r="C512" s="26" t="s">
        <v>1083</v>
      </c>
      <c r="D512" s="19" t="s">
        <v>43</v>
      </c>
      <c r="E512" s="16"/>
      <c r="F512" s="16"/>
      <c r="G512" s="16">
        <v>16</v>
      </c>
      <c r="H512" s="16">
        <v>40</v>
      </c>
      <c r="I512" s="16"/>
      <c r="J512" s="16"/>
      <c r="K512" s="16">
        <v>17</v>
      </c>
      <c r="L512" s="16">
        <v>42</v>
      </c>
      <c r="M512" s="16"/>
      <c r="N512" s="16"/>
      <c r="O512" s="16"/>
      <c r="P512" s="16"/>
      <c r="Q512" s="16"/>
      <c r="R512" s="16"/>
      <c r="S512" s="16">
        <v>3</v>
      </c>
      <c r="T512" s="16">
        <v>6</v>
      </c>
      <c r="U512" s="16">
        <v>88</v>
      </c>
      <c r="V512" s="16">
        <v>220</v>
      </c>
      <c r="W512" s="16">
        <v>80</v>
      </c>
      <c r="X512" s="16">
        <v>200</v>
      </c>
      <c r="Y512" s="16"/>
      <c r="Z512" s="16"/>
      <c r="AA512" s="16">
        <v>32</v>
      </c>
      <c r="AB512" s="16">
        <v>80</v>
      </c>
      <c r="AC512" s="16">
        <v>16</v>
      </c>
      <c r="AD512" s="16">
        <v>36</v>
      </c>
      <c r="AE512" s="16"/>
      <c r="AF512" s="16"/>
      <c r="AG512" s="16">
        <v>495</v>
      </c>
      <c r="AH512" s="16">
        <v>1237</v>
      </c>
      <c r="AI512" s="16">
        <v>192</v>
      </c>
      <c r="AJ512" s="16">
        <v>480</v>
      </c>
      <c r="AK512" s="16">
        <v>48</v>
      </c>
      <c r="AL512" s="16">
        <v>120</v>
      </c>
      <c r="AM512" s="16"/>
      <c r="AN512" s="16"/>
      <c r="AO512" s="15"/>
      <c r="AP512" s="15"/>
      <c r="AQ512" s="15"/>
      <c r="AR512" s="15"/>
      <c r="AS512" s="15"/>
      <c r="AT512" s="15"/>
      <c r="AU512" s="15">
        <v>20</v>
      </c>
      <c r="AV512" s="15">
        <v>50</v>
      </c>
      <c r="AW512" s="15">
        <v>4</v>
      </c>
      <c r="AX512" s="15">
        <v>6</v>
      </c>
      <c r="AY512" s="27">
        <f t="shared" si="27"/>
        <v>1011</v>
      </c>
      <c r="AZ512" s="27">
        <f t="shared" si="28"/>
        <v>2517</v>
      </c>
    </row>
    <row r="513" spans="1:52" x14ac:dyDescent="0.25">
      <c r="A513" s="13">
        <v>829</v>
      </c>
      <c r="B513" s="19" t="s">
        <v>1084</v>
      </c>
      <c r="C513" s="26" t="s">
        <v>1085</v>
      </c>
      <c r="D513" s="19" t="s">
        <v>43</v>
      </c>
      <c r="E513" s="16"/>
      <c r="F513" s="16"/>
      <c r="G513" s="16">
        <v>120</v>
      </c>
      <c r="H513" s="16">
        <v>300</v>
      </c>
      <c r="I513" s="16"/>
      <c r="J513" s="16"/>
      <c r="K513" s="16"/>
      <c r="L513" s="16"/>
      <c r="M513" s="16"/>
      <c r="N513" s="16"/>
      <c r="O513" s="16"/>
      <c r="P513" s="16"/>
      <c r="Q513" s="16"/>
      <c r="R513" s="16"/>
      <c r="S513" s="16"/>
      <c r="T513" s="16"/>
      <c r="U513" s="16"/>
      <c r="V513" s="16"/>
      <c r="W513" s="16">
        <v>80</v>
      </c>
      <c r="X513" s="16">
        <v>200</v>
      </c>
      <c r="Y513" s="16"/>
      <c r="Z513" s="16"/>
      <c r="AA513" s="16"/>
      <c r="AB513" s="16"/>
      <c r="AC513" s="16"/>
      <c r="AD513" s="16"/>
      <c r="AE513" s="16"/>
      <c r="AF513" s="16"/>
      <c r="AG513" s="16">
        <v>15</v>
      </c>
      <c r="AH513" s="16">
        <v>37</v>
      </c>
      <c r="AI513" s="16">
        <v>576</v>
      </c>
      <c r="AJ513" s="16">
        <v>1440</v>
      </c>
      <c r="AK513" s="16">
        <v>8</v>
      </c>
      <c r="AL513" s="16">
        <v>20</v>
      </c>
      <c r="AM513" s="16"/>
      <c r="AN513" s="16"/>
      <c r="AO513" s="15"/>
      <c r="AP513" s="15"/>
      <c r="AQ513" s="15">
        <v>20</v>
      </c>
      <c r="AR513" s="15">
        <v>48</v>
      </c>
      <c r="AS513" s="15"/>
      <c r="AT513" s="15"/>
      <c r="AU513" s="15"/>
      <c r="AV513" s="15"/>
      <c r="AW513" s="15"/>
      <c r="AX513" s="15"/>
      <c r="AY513" s="27">
        <f t="shared" si="27"/>
        <v>819</v>
      </c>
      <c r="AZ513" s="27">
        <f t="shared" si="28"/>
        <v>2045</v>
      </c>
    </row>
    <row r="514" spans="1:52" x14ac:dyDescent="0.25">
      <c r="A514" s="13">
        <v>830</v>
      </c>
      <c r="B514" s="19" t="s">
        <v>1086</v>
      </c>
      <c r="C514" s="26" t="s">
        <v>1087</v>
      </c>
      <c r="D514" s="19" t="s">
        <v>43</v>
      </c>
      <c r="E514" s="16"/>
      <c r="F514" s="16"/>
      <c r="G514" s="16"/>
      <c r="H514" s="16"/>
      <c r="I514" s="16"/>
      <c r="J514" s="16"/>
      <c r="K514" s="16"/>
      <c r="L514" s="16"/>
      <c r="M514" s="16"/>
      <c r="N514" s="16"/>
      <c r="O514" s="16"/>
      <c r="P514" s="16"/>
      <c r="Q514" s="16"/>
      <c r="R514" s="16"/>
      <c r="S514" s="16"/>
      <c r="T514" s="16"/>
      <c r="U514" s="16">
        <v>44</v>
      </c>
      <c r="V514" s="16">
        <v>110</v>
      </c>
      <c r="W514" s="16">
        <v>80</v>
      </c>
      <c r="X514" s="16">
        <v>200</v>
      </c>
      <c r="Y514" s="16"/>
      <c r="Z514" s="16"/>
      <c r="AA514" s="16"/>
      <c r="AB514" s="16"/>
      <c r="AC514" s="16"/>
      <c r="AD514" s="16"/>
      <c r="AE514" s="16"/>
      <c r="AF514" s="16"/>
      <c r="AG514" s="16">
        <v>15</v>
      </c>
      <c r="AH514" s="16">
        <v>37</v>
      </c>
      <c r="AI514" s="16"/>
      <c r="AJ514" s="16"/>
      <c r="AK514" s="16"/>
      <c r="AL514" s="16"/>
      <c r="AM514" s="16"/>
      <c r="AN514" s="16"/>
      <c r="AO514" s="15"/>
      <c r="AP514" s="15"/>
      <c r="AQ514" s="15"/>
      <c r="AR514" s="15"/>
      <c r="AS514" s="15"/>
      <c r="AT514" s="15"/>
      <c r="AU514" s="15"/>
      <c r="AV514" s="15"/>
      <c r="AW514" s="15"/>
      <c r="AX514" s="15"/>
      <c r="AY514" s="27">
        <f t="shared" si="27"/>
        <v>139</v>
      </c>
      <c r="AZ514" s="27">
        <f t="shared" si="28"/>
        <v>347</v>
      </c>
    </row>
    <row r="515" spans="1:52" x14ac:dyDescent="0.25">
      <c r="A515" s="13">
        <v>831</v>
      </c>
      <c r="B515" s="19" t="s">
        <v>1088</v>
      </c>
      <c r="C515" s="26" t="s">
        <v>1089</v>
      </c>
      <c r="D515" s="19" t="s">
        <v>43</v>
      </c>
      <c r="E515" s="16"/>
      <c r="F515" s="16"/>
      <c r="G515" s="16"/>
      <c r="H515" s="16"/>
      <c r="I515" s="16"/>
      <c r="J515" s="16"/>
      <c r="K515" s="16"/>
      <c r="L515" s="16"/>
      <c r="M515" s="16"/>
      <c r="N515" s="16"/>
      <c r="O515" s="16"/>
      <c r="P515" s="16"/>
      <c r="Q515" s="16"/>
      <c r="R515" s="16"/>
      <c r="S515" s="16"/>
      <c r="T515" s="16"/>
      <c r="U515" s="16"/>
      <c r="V515" s="16"/>
      <c r="W515" s="16">
        <v>80</v>
      </c>
      <c r="X515" s="16">
        <v>200</v>
      </c>
      <c r="Y515" s="16"/>
      <c r="Z515" s="16"/>
      <c r="AA515" s="16"/>
      <c r="AB515" s="16"/>
      <c r="AC515" s="16"/>
      <c r="AD515" s="16"/>
      <c r="AE515" s="16"/>
      <c r="AF515" s="16"/>
      <c r="AG515" s="16">
        <v>15</v>
      </c>
      <c r="AH515" s="16">
        <v>37</v>
      </c>
      <c r="AI515" s="16"/>
      <c r="AJ515" s="16"/>
      <c r="AK515" s="16"/>
      <c r="AL515" s="16"/>
      <c r="AM515" s="16"/>
      <c r="AN515" s="16"/>
      <c r="AO515" s="15"/>
      <c r="AP515" s="15"/>
      <c r="AQ515" s="15"/>
      <c r="AR515" s="15"/>
      <c r="AS515" s="15"/>
      <c r="AT515" s="15"/>
      <c r="AU515" s="15"/>
      <c r="AV515" s="15"/>
      <c r="AW515" s="15"/>
      <c r="AX515" s="15"/>
      <c r="AY515" s="27">
        <f t="shared" si="27"/>
        <v>95</v>
      </c>
      <c r="AZ515" s="27">
        <f t="shared" si="28"/>
        <v>237</v>
      </c>
    </row>
    <row r="516" spans="1:52" x14ac:dyDescent="0.25">
      <c r="A516" s="13">
        <v>832</v>
      </c>
      <c r="B516" s="19" t="s">
        <v>1090</v>
      </c>
      <c r="C516" s="26" t="s">
        <v>1091</v>
      </c>
      <c r="D516" s="19" t="s">
        <v>43</v>
      </c>
      <c r="E516" s="16"/>
      <c r="F516" s="16"/>
      <c r="G516" s="16">
        <v>96</v>
      </c>
      <c r="H516" s="16">
        <v>240</v>
      </c>
      <c r="I516" s="16">
        <v>1200</v>
      </c>
      <c r="J516" s="16">
        <v>3000</v>
      </c>
      <c r="K516" s="16"/>
      <c r="L516" s="16"/>
      <c r="M516" s="16"/>
      <c r="N516" s="16"/>
      <c r="O516" s="16"/>
      <c r="P516" s="16"/>
      <c r="Q516" s="16"/>
      <c r="R516" s="16"/>
      <c r="S516" s="16"/>
      <c r="T516" s="16"/>
      <c r="U516" s="16">
        <v>132</v>
      </c>
      <c r="V516" s="16">
        <v>330</v>
      </c>
      <c r="W516" s="16">
        <v>80</v>
      </c>
      <c r="X516" s="16">
        <v>200</v>
      </c>
      <c r="Y516" s="16"/>
      <c r="Z516" s="16"/>
      <c r="AA516" s="16"/>
      <c r="AB516" s="16"/>
      <c r="AC516" s="16"/>
      <c r="AD516" s="16"/>
      <c r="AE516" s="16"/>
      <c r="AF516" s="16"/>
      <c r="AG516" s="16">
        <v>15</v>
      </c>
      <c r="AH516" s="16">
        <v>37</v>
      </c>
      <c r="AI516" s="16">
        <v>480</v>
      </c>
      <c r="AJ516" s="16">
        <v>1200</v>
      </c>
      <c r="AK516" s="16"/>
      <c r="AL516" s="16"/>
      <c r="AM516" s="16"/>
      <c r="AN516" s="16"/>
      <c r="AO516" s="15"/>
      <c r="AP516" s="15"/>
      <c r="AQ516" s="15"/>
      <c r="AR516" s="15"/>
      <c r="AS516" s="15"/>
      <c r="AT516" s="15"/>
      <c r="AU516" s="15"/>
      <c r="AV516" s="15"/>
      <c r="AW516" s="15"/>
      <c r="AX516" s="15"/>
      <c r="AY516" s="27">
        <f t="shared" si="27"/>
        <v>2003</v>
      </c>
      <c r="AZ516" s="27">
        <f t="shared" si="28"/>
        <v>5007</v>
      </c>
    </row>
    <row r="517" spans="1:52" x14ac:dyDescent="0.25">
      <c r="A517" s="13">
        <v>833</v>
      </c>
      <c r="B517" s="19" t="s">
        <v>1092</v>
      </c>
      <c r="C517" s="26" t="s">
        <v>1093</v>
      </c>
      <c r="D517" s="19" t="s">
        <v>43</v>
      </c>
      <c r="E517" s="16"/>
      <c r="F517" s="16"/>
      <c r="G517" s="16"/>
      <c r="H517" s="16"/>
      <c r="I517" s="16">
        <v>1200</v>
      </c>
      <c r="J517" s="16">
        <v>3000</v>
      </c>
      <c r="K517" s="16"/>
      <c r="L517" s="16"/>
      <c r="M517" s="16"/>
      <c r="N517" s="16"/>
      <c r="O517" s="16"/>
      <c r="P517" s="16"/>
      <c r="Q517" s="16"/>
      <c r="R517" s="16"/>
      <c r="S517" s="16">
        <v>17</v>
      </c>
      <c r="T517" s="16">
        <v>40</v>
      </c>
      <c r="U517" s="16"/>
      <c r="V517" s="16"/>
      <c r="W517" s="16">
        <v>80</v>
      </c>
      <c r="X517" s="16">
        <v>200</v>
      </c>
      <c r="Y517" s="16"/>
      <c r="Z517" s="16"/>
      <c r="AA517" s="16"/>
      <c r="AB517" s="16"/>
      <c r="AC517" s="16">
        <v>69</v>
      </c>
      <c r="AD517" s="16">
        <v>169</v>
      </c>
      <c r="AE517" s="16"/>
      <c r="AF517" s="16"/>
      <c r="AG517" s="16">
        <v>6</v>
      </c>
      <c r="AH517" s="16">
        <v>15</v>
      </c>
      <c r="AI517" s="16"/>
      <c r="AJ517" s="16"/>
      <c r="AK517" s="16">
        <v>16</v>
      </c>
      <c r="AL517" s="16">
        <v>36</v>
      </c>
      <c r="AM517" s="16"/>
      <c r="AN517" s="16"/>
      <c r="AO517" s="15"/>
      <c r="AP517" s="15"/>
      <c r="AQ517" s="15"/>
      <c r="AR517" s="15"/>
      <c r="AS517" s="15"/>
      <c r="AT517" s="15"/>
      <c r="AU517" s="15"/>
      <c r="AV517" s="15"/>
      <c r="AW517" s="15"/>
      <c r="AX517" s="15"/>
      <c r="AY517" s="27">
        <f t="shared" si="27"/>
        <v>1388</v>
      </c>
      <c r="AZ517" s="27">
        <f t="shared" si="28"/>
        <v>3460</v>
      </c>
    </row>
    <row r="518" spans="1:52" x14ac:dyDescent="0.25">
      <c r="A518" s="13">
        <v>834</v>
      </c>
      <c r="B518" s="19" t="s">
        <v>1094</v>
      </c>
      <c r="C518" s="26" t="s">
        <v>1095</v>
      </c>
      <c r="D518" s="19" t="s">
        <v>43</v>
      </c>
      <c r="E518" s="16"/>
      <c r="F518" s="16"/>
      <c r="G518" s="16"/>
      <c r="H518" s="16"/>
      <c r="I518" s="16"/>
      <c r="J518" s="16"/>
      <c r="K518" s="16"/>
      <c r="L518" s="16"/>
      <c r="M518" s="16"/>
      <c r="N518" s="16"/>
      <c r="O518" s="16"/>
      <c r="P518" s="16"/>
      <c r="Q518" s="16"/>
      <c r="R518" s="16"/>
      <c r="S518" s="16"/>
      <c r="T518" s="16"/>
      <c r="U518" s="16">
        <v>44</v>
      </c>
      <c r="V518" s="16">
        <v>110</v>
      </c>
      <c r="W518" s="16">
        <v>80</v>
      </c>
      <c r="X518" s="16">
        <v>200</v>
      </c>
      <c r="Y518" s="16"/>
      <c r="Z518" s="16"/>
      <c r="AA518" s="16"/>
      <c r="AB518" s="16"/>
      <c r="AC518" s="16"/>
      <c r="AD518" s="16"/>
      <c r="AE518" s="16"/>
      <c r="AF518" s="16"/>
      <c r="AG518" s="16">
        <v>15</v>
      </c>
      <c r="AH518" s="16">
        <v>37</v>
      </c>
      <c r="AI518" s="16"/>
      <c r="AJ518" s="16"/>
      <c r="AK518" s="16">
        <v>24</v>
      </c>
      <c r="AL518" s="16">
        <v>56</v>
      </c>
      <c r="AM518" s="16"/>
      <c r="AN518" s="16"/>
      <c r="AO518" s="15"/>
      <c r="AP518" s="15"/>
      <c r="AQ518" s="15"/>
      <c r="AR518" s="15"/>
      <c r="AS518" s="15"/>
      <c r="AT518" s="15"/>
      <c r="AU518" s="15"/>
      <c r="AV518" s="15"/>
      <c r="AW518" s="15"/>
      <c r="AX518" s="15"/>
      <c r="AY518" s="27">
        <f t="shared" si="27"/>
        <v>163</v>
      </c>
      <c r="AZ518" s="27">
        <f t="shared" si="28"/>
        <v>403</v>
      </c>
    </row>
    <row r="519" spans="1:52" x14ac:dyDescent="0.25">
      <c r="A519" s="13">
        <v>837</v>
      </c>
      <c r="B519" s="19" t="s">
        <v>1096</v>
      </c>
      <c r="C519" s="26" t="s">
        <v>1097</v>
      </c>
      <c r="D519" s="19" t="s">
        <v>45</v>
      </c>
      <c r="E519" s="16"/>
      <c r="F519" s="16"/>
      <c r="G519" s="16">
        <v>20</v>
      </c>
      <c r="H519" s="16">
        <v>50</v>
      </c>
      <c r="I519" s="16"/>
      <c r="J519" s="16"/>
      <c r="K519" s="16">
        <v>92</v>
      </c>
      <c r="L519" s="16">
        <v>228</v>
      </c>
      <c r="M519" s="16"/>
      <c r="N519" s="16"/>
      <c r="O519" s="16">
        <v>34</v>
      </c>
      <c r="P519" s="16">
        <v>84</v>
      </c>
      <c r="Q519" s="16"/>
      <c r="R519" s="16"/>
      <c r="S519" s="16">
        <v>2</v>
      </c>
      <c r="T519" s="16">
        <v>3</v>
      </c>
      <c r="U519" s="16"/>
      <c r="V519" s="16"/>
      <c r="W519" s="16"/>
      <c r="X519" s="16"/>
      <c r="Y519" s="16"/>
      <c r="Z519" s="16"/>
      <c r="AA519" s="16"/>
      <c r="AB519" s="16"/>
      <c r="AC519" s="16"/>
      <c r="AD519" s="16"/>
      <c r="AE519" s="16"/>
      <c r="AF519" s="16"/>
      <c r="AG519" s="16">
        <v>3628</v>
      </c>
      <c r="AH519" s="16">
        <v>9070</v>
      </c>
      <c r="AI519" s="16">
        <v>96</v>
      </c>
      <c r="AJ519" s="16">
        <v>240</v>
      </c>
      <c r="AK519" s="16"/>
      <c r="AL519" s="16"/>
      <c r="AM519" s="16"/>
      <c r="AN519" s="16"/>
      <c r="AO519" s="15"/>
      <c r="AP519" s="15"/>
      <c r="AQ519" s="15"/>
      <c r="AR519" s="15"/>
      <c r="AS519" s="15"/>
      <c r="AT519" s="15"/>
      <c r="AU519" s="15"/>
      <c r="AV519" s="15"/>
      <c r="AW519" s="15"/>
      <c r="AX519" s="15"/>
      <c r="AY519" s="27">
        <f t="shared" si="27"/>
        <v>3872</v>
      </c>
      <c r="AZ519" s="27">
        <f t="shared" si="28"/>
        <v>9675</v>
      </c>
    </row>
    <row r="520" spans="1:52" x14ac:dyDescent="0.25">
      <c r="A520" s="13">
        <v>838</v>
      </c>
      <c r="B520" s="19" t="s">
        <v>1098</v>
      </c>
      <c r="C520" s="26" t="s">
        <v>1099</v>
      </c>
      <c r="D520" s="19" t="s">
        <v>45</v>
      </c>
      <c r="E520" s="16"/>
      <c r="F520" s="16"/>
      <c r="G520" s="16">
        <v>20</v>
      </c>
      <c r="H520" s="16">
        <v>50</v>
      </c>
      <c r="I520" s="16">
        <v>3200</v>
      </c>
      <c r="J520" s="16">
        <v>8000</v>
      </c>
      <c r="K520" s="16">
        <v>161</v>
      </c>
      <c r="L520" s="16">
        <v>400</v>
      </c>
      <c r="M520" s="16"/>
      <c r="N520" s="16"/>
      <c r="O520" s="16">
        <v>34</v>
      </c>
      <c r="P520" s="16">
        <v>84</v>
      </c>
      <c r="Q520" s="16"/>
      <c r="R520" s="16"/>
      <c r="S520" s="16">
        <v>20</v>
      </c>
      <c r="T520" s="16">
        <v>48</v>
      </c>
      <c r="U520" s="16">
        <v>88</v>
      </c>
      <c r="V520" s="16">
        <v>220</v>
      </c>
      <c r="W520" s="16"/>
      <c r="X520" s="16"/>
      <c r="Y520" s="16">
        <v>58</v>
      </c>
      <c r="Z520" s="16">
        <v>144</v>
      </c>
      <c r="AA520" s="16">
        <v>32</v>
      </c>
      <c r="AB520" s="16">
        <v>80</v>
      </c>
      <c r="AC520" s="16"/>
      <c r="AD520" s="16"/>
      <c r="AE520" s="16"/>
      <c r="AF520" s="16"/>
      <c r="AG520" s="16">
        <v>4667</v>
      </c>
      <c r="AH520" s="16">
        <v>11666</v>
      </c>
      <c r="AI520" s="16">
        <v>408</v>
      </c>
      <c r="AJ520" s="16">
        <v>1020</v>
      </c>
      <c r="AK520" s="16"/>
      <c r="AL520" s="16"/>
      <c r="AM520" s="16">
        <v>20</v>
      </c>
      <c r="AN520" s="16">
        <v>48</v>
      </c>
      <c r="AO520" s="15"/>
      <c r="AP520" s="15"/>
      <c r="AQ520" s="15">
        <v>52</v>
      </c>
      <c r="AR520" s="15">
        <v>128</v>
      </c>
      <c r="AS520" s="15"/>
      <c r="AT520" s="15"/>
      <c r="AU520" s="15"/>
      <c r="AV520" s="15"/>
      <c r="AW520" s="15">
        <v>2</v>
      </c>
      <c r="AX520" s="15">
        <v>4</v>
      </c>
      <c r="AY520" s="27">
        <f t="shared" si="27"/>
        <v>8762</v>
      </c>
      <c r="AZ520" s="27">
        <f t="shared" si="28"/>
        <v>21892</v>
      </c>
    </row>
    <row r="521" spans="1:52" x14ac:dyDescent="0.25">
      <c r="A521" s="13">
        <v>839</v>
      </c>
      <c r="B521" s="19" t="s">
        <v>1100</v>
      </c>
      <c r="C521" s="26" t="s">
        <v>1101</v>
      </c>
      <c r="D521" s="19" t="s">
        <v>45</v>
      </c>
      <c r="E521" s="16"/>
      <c r="F521" s="16"/>
      <c r="G521" s="16"/>
      <c r="H521" s="16"/>
      <c r="I521" s="16"/>
      <c r="J521" s="16"/>
      <c r="K521" s="16">
        <v>160</v>
      </c>
      <c r="L521" s="16">
        <v>400</v>
      </c>
      <c r="M521" s="16"/>
      <c r="N521" s="16"/>
      <c r="O521" s="16"/>
      <c r="P521" s="16"/>
      <c r="Q521" s="16"/>
      <c r="R521" s="16"/>
      <c r="S521" s="16">
        <v>12</v>
      </c>
      <c r="T521" s="16">
        <v>26</v>
      </c>
      <c r="U521" s="16">
        <v>88</v>
      </c>
      <c r="V521" s="16">
        <v>220</v>
      </c>
      <c r="W521" s="16"/>
      <c r="X521" s="16"/>
      <c r="Y521" s="16">
        <v>42</v>
      </c>
      <c r="Z521" s="16">
        <v>102</v>
      </c>
      <c r="AA521" s="16">
        <v>30</v>
      </c>
      <c r="AB521" s="16">
        <v>72</v>
      </c>
      <c r="AC521" s="16">
        <v>31</v>
      </c>
      <c r="AD521" s="16">
        <v>77</v>
      </c>
      <c r="AE521" s="16"/>
      <c r="AF521" s="16"/>
      <c r="AG521" s="16">
        <v>4001</v>
      </c>
      <c r="AH521" s="16">
        <v>10001</v>
      </c>
      <c r="AI521" s="16">
        <v>1040</v>
      </c>
      <c r="AJ521" s="16">
        <v>2600</v>
      </c>
      <c r="AK521" s="16"/>
      <c r="AL521" s="16"/>
      <c r="AM521" s="16">
        <v>10</v>
      </c>
      <c r="AN521" s="16">
        <v>24</v>
      </c>
      <c r="AO521" s="15"/>
      <c r="AP521" s="15"/>
      <c r="AQ521" s="15">
        <v>2</v>
      </c>
      <c r="AR521" s="15">
        <v>2</v>
      </c>
      <c r="AS521" s="15"/>
      <c r="AT521" s="15"/>
      <c r="AU521" s="15"/>
      <c r="AV521" s="15"/>
      <c r="AW521" s="15">
        <v>4</v>
      </c>
      <c r="AX521" s="15">
        <v>10</v>
      </c>
      <c r="AY521" s="27">
        <f t="shared" si="27"/>
        <v>5420</v>
      </c>
      <c r="AZ521" s="27">
        <f t="shared" si="28"/>
        <v>13534</v>
      </c>
    </row>
    <row r="522" spans="1:52" x14ac:dyDescent="0.25">
      <c r="A522" s="13">
        <v>840</v>
      </c>
      <c r="B522" s="19" t="s">
        <v>1102</v>
      </c>
      <c r="C522" s="26" t="s">
        <v>1103</v>
      </c>
      <c r="D522" s="19" t="s">
        <v>45</v>
      </c>
      <c r="E522" s="16"/>
      <c r="F522" s="16"/>
      <c r="G522" s="16"/>
      <c r="H522" s="16"/>
      <c r="I522" s="16"/>
      <c r="J522" s="16"/>
      <c r="K522" s="16"/>
      <c r="L522" s="16"/>
      <c r="M522" s="16"/>
      <c r="N522" s="16"/>
      <c r="O522" s="16"/>
      <c r="P522" s="16"/>
      <c r="Q522" s="16"/>
      <c r="R522" s="16"/>
      <c r="S522" s="16">
        <v>3</v>
      </c>
      <c r="T522" s="16">
        <v>6</v>
      </c>
      <c r="U522" s="16"/>
      <c r="V522" s="16"/>
      <c r="W522" s="16"/>
      <c r="X522" s="16"/>
      <c r="Y522" s="16">
        <v>56</v>
      </c>
      <c r="Z522" s="16">
        <v>136</v>
      </c>
      <c r="AA522" s="16"/>
      <c r="AB522" s="16"/>
      <c r="AC522" s="16">
        <v>31</v>
      </c>
      <c r="AD522" s="16">
        <v>77</v>
      </c>
      <c r="AE522" s="16"/>
      <c r="AF522" s="16"/>
      <c r="AG522" s="16">
        <v>2800</v>
      </c>
      <c r="AH522" s="16">
        <v>7000</v>
      </c>
      <c r="AI522" s="16"/>
      <c r="AJ522" s="16"/>
      <c r="AK522" s="16">
        <v>30</v>
      </c>
      <c r="AL522" s="16">
        <v>72</v>
      </c>
      <c r="AM522" s="16"/>
      <c r="AN522" s="16"/>
      <c r="AO522" s="15"/>
      <c r="AP522" s="15"/>
      <c r="AQ522" s="15"/>
      <c r="AR522" s="15"/>
      <c r="AS522" s="15"/>
      <c r="AT522" s="15"/>
      <c r="AU522" s="15"/>
      <c r="AV522" s="15"/>
      <c r="AW522" s="15"/>
      <c r="AX522" s="15"/>
      <c r="AY522" s="27">
        <f t="shared" si="27"/>
        <v>2920</v>
      </c>
      <c r="AZ522" s="27">
        <f t="shared" si="28"/>
        <v>7291</v>
      </c>
    </row>
    <row r="523" spans="1:52" x14ac:dyDescent="0.25">
      <c r="A523" s="13">
        <v>841</v>
      </c>
      <c r="B523" s="19" t="s">
        <v>1104</v>
      </c>
      <c r="C523" s="26" t="s">
        <v>1105</v>
      </c>
      <c r="D523" s="19" t="s">
        <v>45</v>
      </c>
      <c r="E523" s="16"/>
      <c r="F523" s="16"/>
      <c r="G523" s="16">
        <v>120</v>
      </c>
      <c r="H523" s="16">
        <v>300</v>
      </c>
      <c r="I523" s="16"/>
      <c r="J523" s="16"/>
      <c r="K523" s="16">
        <v>164</v>
      </c>
      <c r="L523" s="16">
        <v>406</v>
      </c>
      <c r="M523" s="16"/>
      <c r="N523" s="16"/>
      <c r="O523" s="16">
        <v>34</v>
      </c>
      <c r="P523" s="16">
        <v>84</v>
      </c>
      <c r="Q523" s="16">
        <v>16</v>
      </c>
      <c r="R523" s="16">
        <v>38</v>
      </c>
      <c r="S523" s="16"/>
      <c r="T523" s="16"/>
      <c r="U523" s="16">
        <v>44</v>
      </c>
      <c r="V523" s="16">
        <v>110</v>
      </c>
      <c r="W523" s="16">
        <v>15</v>
      </c>
      <c r="X523" s="16">
        <v>36</v>
      </c>
      <c r="Y523" s="16"/>
      <c r="Z523" s="16"/>
      <c r="AA523" s="16"/>
      <c r="AB523" s="16"/>
      <c r="AC523" s="16"/>
      <c r="AD523" s="16"/>
      <c r="AE523" s="16"/>
      <c r="AF523" s="16"/>
      <c r="AG523" s="16"/>
      <c r="AH523" s="16"/>
      <c r="AI523" s="16">
        <v>80</v>
      </c>
      <c r="AJ523" s="16">
        <v>200</v>
      </c>
      <c r="AK523" s="16">
        <v>64</v>
      </c>
      <c r="AL523" s="16">
        <v>160</v>
      </c>
      <c r="AM523" s="16"/>
      <c r="AN523" s="16"/>
      <c r="AO523" s="15"/>
      <c r="AP523" s="15"/>
      <c r="AQ523" s="15">
        <v>20</v>
      </c>
      <c r="AR523" s="15">
        <v>50</v>
      </c>
      <c r="AS523" s="15"/>
      <c r="AT523" s="15"/>
      <c r="AU523" s="15"/>
      <c r="AV523" s="15"/>
      <c r="AW523" s="15"/>
      <c r="AX523" s="15"/>
      <c r="AY523" s="27">
        <f t="shared" si="27"/>
        <v>557</v>
      </c>
      <c r="AZ523" s="27">
        <f t="shared" si="28"/>
        <v>1384</v>
      </c>
    </row>
    <row r="524" spans="1:52" x14ac:dyDescent="0.25">
      <c r="A524" s="13">
        <v>842</v>
      </c>
      <c r="B524" s="19" t="s">
        <v>1106</v>
      </c>
      <c r="C524" s="26" t="s">
        <v>1107</v>
      </c>
      <c r="D524" s="19" t="s">
        <v>43</v>
      </c>
      <c r="E524" s="16"/>
      <c r="F524" s="16"/>
      <c r="G524" s="16"/>
      <c r="H524" s="16"/>
      <c r="I524" s="16">
        <v>27</v>
      </c>
      <c r="J524" s="16">
        <v>65</v>
      </c>
      <c r="K524" s="16">
        <v>3484</v>
      </c>
      <c r="L524" s="16">
        <v>8708</v>
      </c>
      <c r="M524" s="16"/>
      <c r="N524" s="16"/>
      <c r="O524" s="16">
        <v>1380</v>
      </c>
      <c r="P524" s="16">
        <v>3444</v>
      </c>
      <c r="Q524" s="16">
        <v>16</v>
      </c>
      <c r="R524" s="16">
        <v>38</v>
      </c>
      <c r="S524" s="16">
        <v>9</v>
      </c>
      <c r="T524" s="16">
        <v>20</v>
      </c>
      <c r="U524" s="16">
        <v>576</v>
      </c>
      <c r="V524" s="16">
        <v>1440</v>
      </c>
      <c r="W524" s="16">
        <v>360</v>
      </c>
      <c r="X524" s="16">
        <v>900</v>
      </c>
      <c r="Y524" s="16">
        <v>8</v>
      </c>
      <c r="Z524" s="16">
        <v>16</v>
      </c>
      <c r="AA524" s="16">
        <v>32</v>
      </c>
      <c r="AB524" s="16">
        <v>80</v>
      </c>
      <c r="AC524" s="16">
        <v>79</v>
      </c>
      <c r="AD524" s="16">
        <v>195</v>
      </c>
      <c r="AE524" s="16"/>
      <c r="AF524" s="16"/>
      <c r="AG524" s="16">
        <v>7522</v>
      </c>
      <c r="AH524" s="16">
        <v>18803</v>
      </c>
      <c r="AI524" s="16">
        <v>2016</v>
      </c>
      <c r="AJ524" s="16">
        <v>5040</v>
      </c>
      <c r="AK524" s="16">
        <v>168</v>
      </c>
      <c r="AL524" s="16">
        <v>420</v>
      </c>
      <c r="AM524" s="16"/>
      <c r="AN524" s="16"/>
      <c r="AO524" s="15">
        <v>130</v>
      </c>
      <c r="AP524" s="15">
        <v>322</v>
      </c>
      <c r="AQ524" s="15">
        <v>20</v>
      </c>
      <c r="AR524" s="15">
        <v>50</v>
      </c>
      <c r="AS524" s="15"/>
      <c r="AT524" s="15"/>
      <c r="AU524" s="15"/>
      <c r="AV524" s="15"/>
      <c r="AW524" s="15"/>
      <c r="AX524" s="15"/>
      <c r="AY524" s="27">
        <f t="shared" si="27"/>
        <v>15827</v>
      </c>
      <c r="AZ524" s="27">
        <f t="shared" si="28"/>
        <v>39541</v>
      </c>
    </row>
    <row r="525" spans="1:52" x14ac:dyDescent="0.25">
      <c r="A525" s="13">
        <v>843</v>
      </c>
      <c r="B525" s="19" t="s">
        <v>1108</v>
      </c>
      <c r="C525" s="26" t="s">
        <v>1109</v>
      </c>
      <c r="D525" s="19" t="s">
        <v>43</v>
      </c>
      <c r="E525" s="16"/>
      <c r="F525" s="16"/>
      <c r="G525" s="16"/>
      <c r="H525" s="16"/>
      <c r="I525" s="16"/>
      <c r="J525" s="16"/>
      <c r="K525" s="16">
        <v>30</v>
      </c>
      <c r="L525" s="16">
        <v>72</v>
      </c>
      <c r="M525" s="16"/>
      <c r="N525" s="16"/>
      <c r="O525" s="16">
        <v>10</v>
      </c>
      <c r="P525" s="16">
        <v>21</v>
      </c>
      <c r="Q525" s="16"/>
      <c r="R525" s="16"/>
      <c r="S525" s="16"/>
      <c r="T525" s="16"/>
      <c r="U525" s="16"/>
      <c r="V525" s="16"/>
      <c r="W525" s="16">
        <v>104</v>
      </c>
      <c r="X525" s="16">
        <v>260</v>
      </c>
      <c r="Y525" s="16"/>
      <c r="Z525" s="16"/>
      <c r="AA525" s="16"/>
      <c r="AB525" s="16"/>
      <c r="AC525" s="16"/>
      <c r="AD525" s="16"/>
      <c r="AE525" s="16"/>
      <c r="AF525" s="16"/>
      <c r="AG525" s="16">
        <v>602</v>
      </c>
      <c r="AH525" s="16">
        <v>1504</v>
      </c>
      <c r="AI525" s="16"/>
      <c r="AJ525" s="16"/>
      <c r="AK525" s="16">
        <v>30</v>
      </c>
      <c r="AL525" s="16">
        <v>72</v>
      </c>
      <c r="AM525" s="16"/>
      <c r="AN525" s="16"/>
      <c r="AO525" s="15"/>
      <c r="AP525" s="15"/>
      <c r="AQ525" s="15"/>
      <c r="AR525" s="15"/>
      <c r="AS525" s="15"/>
      <c r="AT525" s="15"/>
      <c r="AU525" s="15"/>
      <c r="AV525" s="15"/>
      <c r="AW525" s="15"/>
      <c r="AX525" s="15"/>
      <c r="AY525" s="27">
        <f t="shared" si="27"/>
        <v>776</v>
      </c>
      <c r="AZ525" s="27">
        <f t="shared" si="28"/>
        <v>1929</v>
      </c>
    </row>
    <row r="526" spans="1:52" x14ac:dyDescent="0.25">
      <c r="A526" s="13">
        <v>846</v>
      </c>
      <c r="B526" s="19" t="s">
        <v>1110</v>
      </c>
      <c r="C526" s="26" t="s">
        <v>1111</v>
      </c>
      <c r="D526" s="19" t="s">
        <v>43</v>
      </c>
      <c r="E526" s="16"/>
      <c r="F526" s="16"/>
      <c r="G526" s="16">
        <v>300</v>
      </c>
      <c r="H526" s="16">
        <v>750</v>
      </c>
      <c r="I526" s="16">
        <v>500</v>
      </c>
      <c r="J526" s="16">
        <v>1250</v>
      </c>
      <c r="K526" s="16">
        <v>258</v>
      </c>
      <c r="L526" s="16">
        <v>640</v>
      </c>
      <c r="M526" s="16">
        <v>2084</v>
      </c>
      <c r="N526" s="16">
        <v>5206</v>
      </c>
      <c r="O526" s="16"/>
      <c r="P526" s="16"/>
      <c r="Q526" s="16">
        <v>8</v>
      </c>
      <c r="R526" s="16">
        <v>18</v>
      </c>
      <c r="S526" s="16"/>
      <c r="T526" s="16"/>
      <c r="U526" s="16">
        <v>120</v>
      </c>
      <c r="V526" s="16">
        <v>300</v>
      </c>
      <c r="W526" s="16">
        <v>160</v>
      </c>
      <c r="X526" s="16">
        <v>400</v>
      </c>
      <c r="Y526" s="16"/>
      <c r="Z526" s="16"/>
      <c r="AA526" s="16"/>
      <c r="AB526" s="16"/>
      <c r="AC526" s="16"/>
      <c r="AD526" s="16"/>
      <c r="AE526" s="16"/>
      <c r="AF526" s="16"/>
      <c r="AG526" s="16">
        <v>88</v>
      </c>
      <c r="AH526" s="16">
        <v>220</v>
      </c>
      <c r="AI526" s="16">
        <v>288</v>
      </c>
      <c r="AJ526" s="16">
        <v>720</v>
      </c>
      <c r="AK526" s="16">
        <v>2408</v>
      </c>
      <c r="AL526" s="16">
        <v>6020</v>
      </c>
      <c r="AM526" s="16">
        <v>116</v>
      </c>
      <c r="AN526" s="16">
        <v>288</v>
      </c>
      <c r="AO526" s="15">
        <v>196</v>
      </c>
      <c r="AP526" s="15">
        <v>490</v>
      </c>
      <c r="AQ526" s="15"/>
      <c r="AR526" s="15"/>
      <c r="AS526" s="15"/>
      <c r="AT526" s="15"/>
      <c r="AU526" s="15"/>
      <c r="AV526" s="15"/>
      <c r="AW526" s="15"/>
      <c r="AX526" s="15"/>
      <c r="AY526" s="27">
        <f t="shared" si="27"/>
        <v>6526</v>
      </c>
      <c r="AZ526" s="27">
        <f t="shared" si="28"/>
        <v>16302</v>
      </c>
    </row>
    <row r="527" spans="1:52" x14ac:dyDescent="0.25">
      <c r="A527" s="13">
        <v>848</v>
      </c>
      <c r="B527" s="19" t="s">
        <v>1112</v>
      </c>
      <c r="C527" s="26" t="s">
        <v>1113</v>
      </c>
      <c r="D527" s="19" t="s">
        <v>43</v>
      </c>
      <c r="E527" s="16">
        <v>80</v>
      </c>
      <c r="F527" s="16">
        <v>200</v>
      </c>
      <c r="G527" s="16"/>
      <c r="H527" s="16"/>
      <c r="I527" s="16"/>
      <c r="J527" s="16"/>
      <c r="K527" s="16">
        <v>100</v>
      </c>
      <c r="L527" s="16">
        <v>250</v>
      </c>
      <c r="M527" s="16"/>
      <c r="N527" s="16"/>
      <c r="O527" s="16">
        <v>313</v>
      </c>
      <c r="P527" s="16">
        <v>778</v>
      </c>
      <c r="Q527" s="16">
        <v>26</v>
      </c>
      <c r="R527" s="16">
        <v>62</v>
      </c>
      <c r="S527" s="16"/>
      <c r="T527" s="16"/>
      <c r="U527" s="16">
        <v>160</v>
      </c>
      <c r="V527" s="16">
        <v>400</v>
      </c>
      <c r="W527" s="16"/>
      <c r="X527" s="16"/>
      <c r="Y527" s="16"/>
      <c r="Z527" s="16"/>
      <c r="AA527" s="16"/>
      <c r="AB527" s="16"/>
      <c r="AC527" s="16"/>
      <c r="AD527" s="16"/>
      <c r="AE527" s="16">
        <v>16</v>
      </c>
      <c r="AF527" s="16">
        <v>37</v>
      </c>
      <c r="AG527" s="16">
        <v>96</v>
      </c>
      <c r="AH527" s="16">
        <v>240</v>
      </c>
      <c r="AI527" s="16">
        <v>8</v>
      </c>
      <c r="AJ527" s="16">
        <v>16</v>
      </c>
      <c r="AK527" s="16">
        <v>24</v>
      </c>
      <c r="AL527" s="16">
        <v>60</v>
      </c>
      <c r="AM527" s="16">
        <v>48</v>
      </c>
      <c r="AN527" s="16">
        <v>120</v>
      </c>
      <c r="AO527" s="15"/>
      <c r="AP527" s="15"/>
      <c r="AQ527" s="15">
        <v>36</v>
      </c>
      <c r="AR527" s="15">
        <v>90</v>
      </c>
      <c r="AS527" s="15"/>
      <c r="AT527" s="15"/>
      <c r="AU527" s="15">
        <v>4</v>
      </c>
      <c r="AV527" s="15">
        <v>8</v>
      </c>
      <c r="AW527" s="15"/>
      <c r="AX527" s="15"/>
      <c r="AY527" s="27">
        <f t="shared" si="27"/>
        <v>911</v>
      </c>
      <c r="AZ527" s="27">
        <f t="shared" si="28"/>
        <v>2261</v>
      </c>
    </row>
    <row r="528" spans="1:52" x14ac:dyDescent="0.25">
      <c r="A528" s="13">
        <v>849</v>
      </c>
      <c r="B528" s="19" t="s">
        <v>1114</v>
      </c>
      <c r="C528" s="26" t="s">
        <v>1115</v>
      </c>
      <c r="D528" s="19" t="s">
        <v>43</v>
      </c>
      <c r="E528" s="16"/>
      <c r="F528" s="16"/>
      <c r="G528" s="16">
        <v>40</v>
      </c>
      <c r="H528" s="16">
        <v>100</v>
      </c>
      <c r="I528" s="16">
        <v>1860</v>
      </c>
      <c r="J528" s="16">
        <v>4650</v>
      </c>
      <c r="K528" s="16"/>
      <c r="L528" s="16"/>
      <c r="M528" s="16"/>
      <c r="N528" s="16"/>
      <c r="O528" s="16">
        <v>68</v>
      </c>
      <c r="P528" s="16">
        <v>168</v>
      </c>
      <c r="Q528" s="16"/>
      <c r="R528" s="16"/>
      <c r="S528" s="16"/>
      <c r="T528" s="16"/>
      <c r="U528" s="16">
        <v>396</v>
      </c>
      <c r="V528" s="16">
        <v>990</v>
      </c>
      <c r="W528" s="16">
        <v>32</v>
      </c>
      <c r="X528" s="16">
        <v>80</v>
      </c>
      <c r="Y528" s="16"/>
      <c r="Z528" s="16"/>
      <c r="AA528" s="16"/>
      <c r="AB528" s="16"/>
      <c r="AC528" s="16"/>
      <c r="AD528" s="16"/>
      <c r="AE528" s="16"/>
      <c r="AF528" s="16"/>
      <c r="AG528" s="16">
        <v>22</v>
      </c>
      <c r="AH528" s="16">
        <v>54</v>
      </c>
      <c r="AI528" s="16">
        <v>288</v>
      </c>
      <c r="AJ528" s="16">
        <v>720</v>
      </c>
      <c r="AK528" s="16">
        <v>8</v>
      </c>
      <c r="AL528" s="16">
        <v>20</v>
      </c>
      <c r="AM528" s="16"/>
      <c r="AN528" s="16"/>
      <c r="AO528" s="15"/>
      <c r="AP528" s="15"/>
      <c r="AQ528" s="15"/>
      <c r="AR528" s="15"/>
      <c r="AS528" s="15"/>
      <c r="AT528" s="15"/>
      <c r="AU528" s="15"/>
      <c r="AV528" s="15"/>
      <c r="AW528" s="15"/>
      <c r="AX528" s="15"/>
      <c r="AY528" s="27">
        <f t="shared" si="27"/>
        <v>2714</v>
      </c>
      <c r="AZ528" s="27">
        <f t="shared" si="28"/>
        <v>6782</v>
      </c>
    </row>
    <row r="529" spans="1:52" x14ac:dyDescent="0.25">
      <c r="A529" s="13">
        <v>850</v>
      </c>
      <c r="B529" s="19" t="s">
        <v>1116</v>
      </c>
      <c r="C529" s="26" t="s">
        <v>1117</v>
      </c>
      <c r="D529" s="19" t="s">
        <v>43</v>
      </c>
      <c r="E529" s="16"/>
      <c r="F529" s="16"/>
      <c r="G529" s="16"/>
      <c r="H529" s="16"/>
      <c r="I529" s="16">
        <v>560</v>
      </c>
      <c r="J529" s="16">
        <v>1400</v>
      </c>
      <c r="K529" s="16"/>
      <c r="L529" s="16"/>
      <c r="M529" s="16"/>
      <c r="N529" s="16"/>
      <c r="O529" s="16">
        <v>68</v>
      </c>
      <c r="P529" s="16">
        <v>168</v>
      </c>
      <c r="Q529" s="16"/>
      <c r="R529" s="16"/>
      <c r="S529" s="16"/>
      <c r="T529" s="16"/>
      <c r="U529" s="16">
        <v>396</v>
      </c>
      <c r="V529" s="16">
        <v>990</v>
      </c>
      <c r="W529" s="16">
        <v>32</v>
      </c>
      <c r="X529" s="16">
        <v>80</v>
      </c>
      <c r="Y529" s="16"/>
      <c r="Z529" s="16"/>
      <c r="AA529" s="16"/>
      <c r="AB529" s="16"/>
      <c r="AC529" s="16"/>
      <c r="AD529" s="16"/>
      <c r="AE529" s="16"/>
      <c r="AF529" s="16"/>
      <c r="AG529" s="16">
        <v>12</v>
      </c>
      <c r="AH529" s="16">
        <v>30</v>
      </c>
      <c r="AI529" s="16">
        <v>192</v>
      </c>
      <c r="AJ529" s="16">
        <v>480</v>
      </c>
      <c r="AK529" s="16">
        <v>2400</v>
      </c>
      <c r="AL529" s="16">
        <v>6000</v>
      </c>
      <c r="AM529" s="16">
        <v>96</v>
      </c>
      <c r="AN529" s="16">
        <v>240</v>
      </c>
      <c r="AO529" s="15"/>
      <c r="AP529" s="15"/>
      <c r="AQ529" s="15"/>
      <c r="AR529" s="15"/>
      <c r="AS529" s="15"/>
      <c r="AT529" s="15"/>
      <c r="AU529" s="15"/>
      <c r="AV529" s="15"/>
      <c r="AW529" s="15"/>
      <c r="AX529" s="15"/>
      <c r="AY529" s="27">
        <f t="shared" si="27"/>
        <v>3756</v>
      </c>
      <c r="AZ529" s="27">
        <f t="shared" si="28"/>
        <v>9388</v>
      </c>
    </row>
    <row r="530" spans="1:52" x14ac:dyDescent="0.25">
      <c r="A530" s="13">
        <v>851</v>
      </c>
      <c r="B530" s="19" t="s">
        <v>1118</v>
      </c>
      <c r="C530" s="26" t="s">
        <v>1119</v>
      </c>
      <c r="D530" s="19" t="s">
        <v>43</v>
      </c>
      <c r="E530" s="16"/>
      <c r="F530" s="16"/>
      <c r="G530" s="16"/>
      <c r="H530" s="16"/>
      <c r="I530" s="16">
        <v>980</v>
      </c>
      <c r="J530" s="16">
        <v>2450</v>
      </c>
      <c r="K530" s="16"/>
      <c r="L530" s="16"/>
      <c r="M530" s="16"/>
      <c r="N530" s="16"/>
      <c r="O530" s="16"/>
      <c r="P530" s="16"/>
      <c r="Q530" s="16"/>
      <c r="R530" s="16"/>
      <c r="S530" s="16"/>
      <c r="T530" s="16"/>
      <c r="U530" s="16">
        <v>396</v>
      </c>
      <c r="V530" s="16">
        <v>990</v>
      </c>
      <c r="W530" s="16"/>
      <c r="X530" s="16"/>
      <c r="Y530" s="16"/>
      <c r="Z530" s="16"/>
      <c r="AA530" s="16"/>
      <c r="AB530" s="16"/>
      <c r="AC530" s="16"/>
      <c r="AD530" s="16"/>
      <c r="AE530" s="16"/>
      <c r="AF530" s="16"/>
      <c r="AG530" s="16">
        <v>22</v>
      </c>
      <c r="AH530" s="16">
        <v>54</v>
      </c>
      <c r="AI530" s="16">
        <v>576</v>
      </c>
      <c r="AJ530" s="16">
        <v>1440</v>
      </c>
      <c r="AK530" s="16"/>
      <c r="AL530" s="16"/>
      <c r="AM530" s="16"/>
      <c r="AN530" s="16"/>
      <c r="AO530" s="15"/>
      <c r="AP530" s="15"/>
      <c r="AQ530" s="15"/>
      <c r="AR530" s="15"/>
      <c r="AS530" s="15"/>
      <c r="AT530" s="15"/>
      <c r="AU530" s="15"/>
      <c r="AV530" s="15"/>
      <c r="AW530" s="15"/>
      <c r="AX530" s="15"/>
      <c r="AY530" s="27">
        <f t="shared" si="27"/>
        <v>1974</v>
      </c>
      <c r="AZ530" s="27">
        <f t="shared" si="28"/>
        <v>4934</v>
      </c>
    </row>
    <row r="531" spans="1:52" x14ac:dyDescent="0.25">
      <c r="A531" s="13">
        <v>852</v>
      </c>
      <c r="B531" s="19" t="s">
        <v>1120</v>
      </c>
      <c r="C531" s="26" t="s">
        <v>1121</v>
      </c>
      <c r="D531" s="19" t="s">
        <v>43</v>
      </c>
      <c r="E531" s="16">
        <v>10</v>
      </c>
      <c r="F531" s="16">
        <v>24</v>
      </c>
      <c r="G531" s="16">
        <v>2</v>
      </c>
      <c r="H531" s="16">
        <v>2</v>
      </c>
      <c r="I531" s="16">
        <v>740</v>
      </c>
      <c r="J531" s="16">
        <v>1850</v>
      </c>
      <c r="K531" s="16">
        <v>114</v>
      </c>
      <c r="L531" s="16">
        <v>284</v>
      </c>
      <c r="M531" s="16"/>
      <c r="N531" s="16"/>
      <c r="O531" s="16">
        <v>34</v>
      </c>
      <c r="P531" s="16">
        <v>84</v>
      </c>
      <c r="Q531" s="16"/>
      <c r="R531" s="16"/>
      <c r="S531" s="16">
        <v>4</v>
      </c>
      <c r="T531" s="16">
        <v>8</v>
      </c>
      <c r="U531" s="16">
        <v>141</v>
      </c>
      <c r="V531" s="16">
        <v>352</v>
      </c>
      <c r="W531" s="16">
        <v>144</v>
      </c>
      <c r="X531" s="16">
        <v>360</v>
      </c>
      <c r="Y531" s="16"/>
      <c r="Z531" s="16"/>
      <c r="AA531" s="16"/>
      <c r="AB531" s="16"/>
      <c r="AC531" s="16">
        <v>132</v>
      </c>
      <c r="AD531" s="16">
        <v>330</v>
      </c>
      <c r="AE531" s="16"/>
      <c r="AF531" s="16"/>
      <c r="AG531" s="16">
        <v>885</v>
      </c>
      <c r="AH531" s="16">
        <v>2211</v>
      </c>
      <c r="AI531" s="16">
        <v>692</v>
      </c>
      <c r="AJ531" s="16">
        <v>1730</v>
      </c>
      <c r="AK531" s="16">
        <v>6</v>
      </c>
      <c r="AL531" s="16">
        <v>12</v>
      </c>
      <c r="AM531" s="16"/>
      <c r="AN531" s="16"/>
      <c r="AO531" s="15">
        <v>44</v>
      </c>
      <c r="AP531" s="15">
        <v>106</v>
      </c>
      <c r="AQ531" s="15"/>
      <c r="AR531" s="15"/>
      <c r="AS531" s="15"/>
      <c r="AT531" s="15"/>
      <c r="AU531" s="15">
        <v>160</v>
      </c>
      <c r="AV531" s="15">
        <v>400</v>
      </c>
      <c r="AW531" s="15"/>
      <c r="AX531" s="15"/>
      <c r="AY531" s="27">
        <f t="shared" si="27"/>
        <v>3108</v>
      </c>
      <c r="AZ531" s="27">
        <f t="shared" si="28"/>
        <v>7753</v>
      </c>
    </row>
    <row r="532" spans="1:52" x14ac:dyDescent="0.25">
      <c r="A532" s="13">
        <v>853</v>
      </c>
      <c r="B532" s="19" t="s">
        <v>1122</v>
      </c>
      <c r="C532" s="26" t="s">
        <v>1123</v>
      </c>
      <c r="D532" s="19" t="s">
        <v>43</v>
      </c>
      <c r="E532" s="16"/>
      <c r="F532" s="16"/>
      <c r="G532" s="16"/>
      <c r="H532" s="16"/>
      <c r="I532" s="16">
        <v>260</v>
      </c>
      <c r="J532" s="16">
        <v>650</v>
      </c>
      <c r="K532" s="16"/>
      <c r="L532" s="16"/>
      <c r="M532" s="16"/>
      <c r="N532" s="16"/>
      <c r="O532" s="16"/>
      <c r="P532" s="16"/>
      <c r="Q532" s="16"/>
      <c r="R532" s="16"/>
      <c r="S532" s="16"/>
      <c r="T532" s="16"/>
      <c r="U532" s="16">
        <v>792</v>
      </c>
      <c r="V532" s="16">
        <v>1980</v>
      </c>
      <c r="W532" s="16"/>
      <c r="X532" s="16"/>
      <c r="Y532" s="16"/>
      <c r="Z532" s="16"/>
      <c r="AA532" s="16">
        <v>80</v>
      </c>
      <c r="AB532" s="16">
        <v>200</v>
      </c>
      <c r="AC532" s="16"/>
      <c r="AD532" s="16"/>
      <c r="AE532" s="16"/>
      <c r="AF532" s="16"/>
      <c r="AG532" s="16"/>
      <c r="AH532" s="16"/>
      <c r="AI532" s="16">
        <v>960</v>
      </c>
      <c r="AJ532" s="16">
        <v>2400</v>
      </c>
      <c r="AK532" s="16"/>
      <c r="AL532" s="16"/>
      <c r="AM532" s="16"/>
      <c r="AN532" s="16"/>
      <c r="AO532" s="15">
        <v>1570</v>
      </c>
      <c r="AP532" s="15">
        <v>3925</v>
      </c>
      <c r="AQ532" s="15"/>
      <c r="AR532" s="15"/>
      <c r="AS532" s="15"/>
      <c r="AT532" s="15"/>
      <c r="AU532" s="15">
        <v>800</v>
      </c>
      <c r="AV532" s="15">
        <v>2000</v>
      </c>
      <c r="AW532" s="15"/>
      <c r="AX532" s="15"/>
      <c r="AY532" s="27">
        <f t="shared" si="27"/>
        <v>4462</v>
      </c>
      <c r="AZ532" s="27">
        <f t="shared" si="28"/>
        <v>11155</v>
      </c>
    </row>
    <row r="533" spans="1:52" x14ac:dyDescent="0.25">
      <c r="A533" s="13">
        <v>854</v>
      </c>
      <c r="B533" s="19" t="s">
        <v>1124</v>
      </c>
      <c r="C533" s="26" t="s">
        <v>1125</v>
      </c>
      <c r="D533" s="19" t="s">
        <v>43</v>
      </c>
      <c r="E533" s="16"/>
      <c r="F533" s="16"/>
      <c r="G533" s="16"/>
      <c r="H533" s="16"/>
      <c r="I533" s="16"/>
      <c r="J533" s="16"/>
      <c r="K533" s="16">
        <v>200</v>
      </c>
      <c r="L533" s="16">
        <v>500</v>
      </c>
      <c r="M533" s="16"/>
      <c r="N533" s="16"/>
      <c r="O533" s="16"/>
      <c r="P533" s="16"/>
      <c r="Q533" s="16"/>
      <c r="R533" s="16"/>
      <c r="S533" s="16">
        <v>103</v>
      </c>
      <c r="T533" s="16">
        <v>256</v>
      </c>
      <c r="U533" s="16">
        <v>792</v>
      </c>
      <c r="V533" s="16">
        <v>1980</v>
      </c>
      <c r="W533" s="16">
        <v>160</v>
      </c>
      <c r="X533" s="16">
        <v>400</v>
      </c>
      <c r="Y533" s="16">
        <v>2</v>
      </c>
      <c r="Z533" s="16">
        <v>2</v>
      </c>
      <c r="AA533" s="16">
        <v>30</v>
      </c>
      <c r="AB533" s="16">
        <v>72</v>
      </c>
      <c r="AC533" s="16"/>
      <c r="AD533" s="16"/>
      <c r="AE533" s="16"/>
      <c r="AF533" s="16"/>
      <c r="AG533" s="16">
        <v>6</v>
      </c>
      <c r="AH533" s="16">
        <v>13</v>
      </c>
      <c r="AI533" s="16">
        <v>480</v>
      </c>
      <c r="AJ533" s="16">
        <v>1200</v>
      </c>
      <c r="AK533" s="16"/>
      <c r="AL533" s="16"/>
      <c r="AM533" s="16"/>
      <c r="AN533" s="16"/>
      <c r="AO533" s="15">
        <v>220</v>
      </c>
      <c r="AP533" s="15">
        <v>550</v>
      </c>
      <c r="AQ533" s="15"/>
      <c r="AR533" s="15"/>
      <c r="AS533" s="15"/>
      <c r="AT533" s="15"/>
      <c r="AU533" s="15">
        <v>200</v>
      </c>
      <c r="AV533" s="15">
        <v>500</v>
      </c>
      <c r="AW533" s="15"/>
      <c r="AX533" s="15"/>
      <c r="AY533" s="27">
        <f t="shared" si="27"/>
        <v>2193</v>
      </c>
      <c r="AZ533" s="27">
        <f t="shared" si="28"/>
        <v>5473</v>
      </c>
    </row>
    <row r="534" spans="1:52" x14ac:dyDescent="0.25">
      <c r="A534" s="13">
        <v>855</v>
      </c>
      <c r="B534" s="19" t="s">
        <v>1126</v>
      </c>
      <c r="C534" s="26" t="s">
        <v>1127</v>
      </c>
      <c r="D534" s="19" t="s">
        <v>43</v>
      </c>
      <c r="E534" s="16"/>
      <c r="F534" s="16"/>
      <c r="G534" s="16">
        <v>272</v>
      </c>
      <c r="H534" s="16">
        <v>680</v>
      </c>
      <c r="I534" s="16">
        <v>10800</v>
      </c>
      <c r="J534" s="16">
        <v>27000</v>
      </c>
      <c r="K534" s="16">
        <v>2255</v>
      </c>
      <c r="L534" s="16">
        <v>5635</v>
      </c>
      <c r="M534" s="16">
        <v>312</v>
      </c>
      <c r="N534" s="16">
        <v>778</v>
      </c>
      <c r="O534" s="16"/>
      <c r="P534" s="16"/>
      <c r="Q534" s="16">
        <v>130</v>
      </c>
      <c r="R534" s="16">
        <v>320</v>
      </c>
      <c r="S534" s="16">
        <v>32</v>
      </c>
      <c r="T534" s="16">
        <v>76</v>
      </c>
      <c r="U534" s="16">
        <v>1012</v>
      </c>
      <c r="V534" s="16">
        <v>2530</v>
      </c>
      <c r="W534" s="16">
        <v>192</v>
      </c>
      <c r="X534" s="16">
        <v>480</v>
      </c>
      <c r="Y534" s="16">
        <v>158</v>
      </c>
      <c r="Z534" s="16">
        <v>392</v>
      </c>
      <c r="AA534" s="16">
        <v>384</v>
      </c>
      <c r="AB534" s="16">
        <v>960</v>
      </c>
      <c r="AC534" s="16"/>
      <c r="AD534" s="16"/>
      <c r="AE534" s="16"/>
      <c r="AF534" s="16"/>
      <c r="AG534" s="16">
        <v>914</v>
      </c>
      <c r="AH534" s="16">
        <v>2283</v>
      </c>
      <c r="AI534" s="16">
        <v>7280</v>
      </c>
      <c r="AJ534" s="16">
        <v>18200</v>
      </c>
      <c r="AK534" s="16">
        <v>40</v>
      </c>
      <c r="AL534" s="16">
        <v>100</v>
      </c>
      <c r="AM534" s="16">
        <v>164</v>
      </c>
      <c r="AN534" s="16">
        <v>408</v>
      </c>
      <c r="AO534" s="15">
        <v>248</v>
      </c>
      <c r="AP534" s="15">
        <v>620</v>
      </c>
      <c r="AQ534" s="15">
        <v>3368</v>
      </c>
      <c r="AR534" s="15">
        <v>8420</v>
      </c>
      <c r="AS534" s="15"/>
      <c r="AT534" s="15"/>
      <c r="AU534" s="15"/>
      <c r="AV534" s="15"/>
      <c r="AW534" s="15">
        <v>16</v>
      </c>
      <c r="AX534" s="15">
        <v>36</v>
      </c>
      <c r="AY534" s="27">
        <f t="shared" si="27"/>
        <v>27577</v>
      </c>
      <c r="AZ534" s="27">
        <f t="shared" si="28"/>
        <v>68918</v>
      </c>
    </row>
    <row r="535" spans="1:52" x14ac:dyDescent="0.25">
      <c r="A535" s="13">
        <v>856</v>
      </c>
      <c r="B535" s="19" t="s">
        <v>1128</v>
      </c>
      <c r="C535" s="26" t="s">
        <v>1129</v>
      </c>
      <c r="D535" s="19" t="s">
        <v>45</v>
      </c>
      <c r="E535" s="16"/>
      <c r="F535" s="16"/>
      <c r="G535" s="16"/>
      <c r="H535" s="16"/>
      <c r="I535" s="16">
        <v>2800</v>
      </c>
      <c r="J535" s="16">
        <v>7000</v>
      </c>
      <c r="K535" s="16">
        <v>3268</v>
      </c>
      <c r="L535" s="16">
        <v>8168</v>
      </c>
      <c r="M535" s="16"/>
      <c r="N535" s="16"/>
      <c r="O535" s="16">
        <v>282</v>
      </c>
      <c r="P535" s="16">
        <v>702</v>
      </c>
      <c r="Q535" s="16"/>
      <c r="R535" s="16"/>
      <c r="S535" s="16">
        <v>2</v>
      </c>
      <c r="T535" s="16">
        <v>3</v>
      </c>
      <c r="U535" s="16">
        <v>264</v>
      </c>
      <c r="V535" s="16">
        <v>660</v>
      </c>
      <c r="W535" s="16"/>
      <c r="X535" s="16"/>
      <c r="Y535" s="16">
        <v>296</v>
      </c>
      <c r="Z535" s="16">
        <v>740</v>
      </c>
      <c r="AA535" s="16"/>
      <c r="AB535" s="16"/>
      <c r="AC535" s="16">
        <v>27</v>
      </c>
      <c r="AD535" s="16">
        <v>66</v>
      </c>
      <c r="AE535" s="16"/>
      <c r="AF535" s="16"/>
      <c r="AG535" s="16">
        <v>62</v>
      </c>
      <c r="AH535" s="16">
        <v>152</v>
      </c>
      <c r="AI535" s="16"/>
      <c r="AJ535" s="16"/>
      <c r="AK535" s="16">
        <v>16</v>
      </c>
      <c r="AL535" s="16">
        <v>40</v>
      </c>
      <c r="AM535" s="16">
        <v>654</v>
      </c>
      <c r="AN535" s="16">
        <v>1632</v>
      </c>
      <c r="AO535" s="15"/>
      <c r="AP535" s="15"/>
      <c r="AQ535" s="15">
        <v>4</v>
      </c>
      <c r="AR535" s="15">
        <v>10</v>
      </c>
      <c r="AS535" s="15"/>
      <c r="AT535" s="15"/>
      <c r="AU535" s="15">
        <v>400</v>
      </c>
      <c r="AV535" s="15">
        <v>1000</v>
      </c>
      <c r="AW535" s="15"/>
      <c r="AX535" s="15"/>
      <c r="AY535" s="27">
        <f t="shared" si="27"/>
        <v>8075</v>
      </c>
      <c r="AZ535" s="27">
        <f t="shared" si="28"/>
        <v>20173</v>
      </c>
    </row>
    <row r="536" spans="1:52" x14ac:dyDescent="0.25">
      <c r="A536" s="13">
        <v>858</v>
      </c>
      <c r="B536" s="19" t="s">
        <v>1130</v>
      </c>
      <c r="C536" s="26" t="s">
        <v>1131</v>
      </c>
      <c r="D536" s="19" t="s">
        <v>43</v>
      </c>
      <c r="E536" s="16">
        <v>150</v>
      </c>
      <c r="F536" s="16">
        <v>374</v>
      </c>
      <c r="G536" s="16"/>
      <c r="H536" s="16"/>
      <c r="I536" s="16">
        <v>1100</v>
      </c>
      <c r="J536" s="16">
        <v>2750</v>
      </c>
      <c r="K536" s="16">
        <v>144</v>
      </c>
      <c r="L536" s="16">
        <v>356</v>
      </c>
      <c r="M536" s="16">
        <v>1046</v>
      </c>
      <c r="N536" s="16">
        <v>2614</v>
      </c>
      <c r="O536" s="16"/>
      <c r="P536" s="16"/>
      <c r="Q536" s="16"/>
      <c r="R536" s="16"/>
      <c r="S536" s="16"/>
      <c r="T536" s="16"/>
      <c r="U536" s="16">
        <v>176</v>
      </c>
      <c r="V536" s="16">
        <v>440</v>
      </c>
      <c r="W536" s="16"/>
      <c r="X536" s="16"/>
      <c r="Y536" s="16"/>
      <c r="Z536" s="16"/>
      <c r="AA536" s="16"/>
      <c r="AB536" s="16"/>
      <c r="AC536" s="16"/>
      <c r="AD536" s="16"/>
      <c r="AE536" s="16"/>
      <c r="AF536" s="16"/>
      <c r="AG536" s="16"/>
      <c r="AH536" s="16"/>
      <c r="AI536" s="16"/>
      <c r="AJ536" s="16"/>
      <c r="AK536" s="16">
        <v>216</v>
      </c>
      <c r="AL536" s="16">
        <v>540</v>
      </c>
      <c r="AM536" s="16"/>
      <c r="AN536" s="16"/>
      <c r="AO536" s="15">
        <v>160</v>
      </c>
      <c r="AP536" s="15">
        <v>400</v>
      </c>
      <c r="AQ536" s="15">
        <v>100</v>
      </c>
      <c r="AR536" s="15">
        <v>250</v>
      </c>
      <c r="AS536" s="15"/>
      <c r="AT536" s="15"/>
      <c r="AU536" s="15"/>
      <c r="AV536" s="15"/>
      <c r="AW536" s="15"/>
      <c r="AX536" s="15"/>
      <c r="AY536" s="27">
        <f t="shared" ref="AY536:AY599" si="29">SUM(E536+G536+I536+K536+M536+O536+Q536+S536+U536+W536+Y536+AA536+AC536+AE536+AG536+AI536+AK536+AM536+AO536+AQ536+AS536+AU536+AW536)</f>
        <v>3092</v>
      </c>
      <c r="AZ536" s="27">
        <f t="shared" ref="AZ536:AZ599" si="30">SUM(F536+H536+J536+L536+N536+P536+R536+T536+V536+X536+Z536+AB536+AD536+AF536+AH536+AJ536+AL536+AN536+AP536+AR536+AT536+AV536+AX536)</f>
        <v>7724</v>
      </c>
    </row>
    <row r="537" spans="1:52" x14ac:dyDescent="0.25">
      <c r="A537" s="13">
        <v>860</v>
      </c>
      <c r="B537" s="19" t="s">
        <v>1132</v>
      </c>
      <c r="C537" s="26" t="s">
        <v>1133</v>
      </c>
      <c r="D537" s="19" t="s">
        <v>43</v>
      </c>
      <c r="E537" s="16">
        <v>64</v>
      </c>
      <c r="F537" s="16">
        <v>160</v>
      </c>
      <c r="G537" s="16">
        <v>108</v>
      </c>
      <c r="H537" s="16">
        <v>270</v>
      </c>
      <c r="I537" s="16">
        <v>126</v>
      </c>
      <c r="J537" s="16">
        <v>312</v>
      </c>
      <c r="K537" s="16">
        <v>1094</v>
      </c>
      <c r="L537" s="16">
        <v>2734</v>
      </c>
      <c r="M537" s="16">
        <v>1720</v>
      </c>
      <c r="N537" s="16">
        <v>4300</v>
      </c>
      <c r="O537" s="16">
        <v>280</v>
      </c>
      <c r="P537" s="16">
        <v>700</v>
      </c>
      <c r="Q537" s="16">
        <v>136</v>
      </c>
      <c r="R537" s="16">
        <v>340</v>
      </c>
      <c r="S537" s="16">
        <v>4</v>
      </c>
      <c r="T537" s="16">
        <v>8</v>
      </c>
      <c r="U537" s="16">
        <v>1056</v>
      </c>
      <c r="V537" s="16">
        <v>2640</v>
      </c>
      <c r="W537" s="16">
        <v>128</v>
      </c>
      <c r="X537" s="16">
        <v>320</v>
      </c>
      <c r="Y537" s="16"/>
      <c r="Z537" s="16"/>
      <c r="AA537" s="16"/>
      <c r="AB537" s="16"/>
      <c r="AC537" s="16">
        <v>176</v>
      </c>
      <c r="AD537" s="16">
        <v>440</v>
      </c>
      <c r="AE537" s="16">
        <v>480</v>
      </c>
      <c r="AF537" s="16">
        <v>1200</v>
      </c>
      <c r="AG537" s="16"/>
      <c r="AH537" s="16"/>
      <c r="AI537" s="16">
        <v>288</v>
      </c>
      <c r="AJ537" s="16">
        <v>720</v>
      </c>
      <c r="AK537" s="16">
        <v>280</v>
      </c>
      <c r="AL537" s="16">
        <v>700</v>
      </c>
      <c r="AM537" s="16"/>
      <c r="AN537" s="16"/>
      <c r="AO537" s="15">
        <v>160</v>
      </c>
      <c r="AP537" s="15">
        <v>400</v>
      </c>
      <c r="AQ537" s="15">
        <v>500</v>
      </c>
      <c r="AR537" s="15">
        <v>1250</v>
      </c>
      <c r="AS537" s="15"/>
      <c r="AT537" s="15"/>
      <c r="AU537" s="15"/>
      <c r="AV537" s="15"/>
      <c r="AW537" s="15"/>
      <c r="AX537" s="15"/>
      <c r="AY537" s="27">
        <f t="shared" si="29"/>
        <v>6600</v>
      </c>
      <c r="AZ537" s="27">
        <f t="shared" si="30"/>
        <v>16494</v>
      </c>
    </row>
    <row r="538" spans="1:52" x14ac:dyDescent="0.25">
      <c r="A538" s="13">
        <v>861</v>
      </c>
      <c r="B538" s="19" t="s">
        <v>1134</v>
      </c>
      <c r="C538" s="26" t="s">
        <v>1135</v>
      </c>
      <c r="D538" s="19" t="s">
        <v>43</v>
      </c>
      <c r="E538" s="16">
        <v>240</v>
      </c>
      <c r="F538" s="16">
        <v>600</v>
      </c>
      <c r="G538" s="16">
        <v>1594</v>
      </c>
      <c r="H538" s="16">
        <v>3982</v>
      </c>
      <c r="I538" s="16"/>
      <c r="J538" s="16"/>
      <c r="K538" s="16">
        <v>8980</v>
      </c>
      <c r="L538" s="16">
        <v>22446</v>
      </c>
      <c r="M538" s="16">
        <v>3549</v>
      </c>
      <c r="N538" s="16">
        <v>8868</v>
      </c>
      <c r="O538" s="16">
        <v>140</v>
      </c>
      <c r="P538" s="16">
        <v>350</v>
      </c>
      <c r="Q538" s="16">
        <v>128</v>
      </c>
      <c r="R538" s="16">
        <v>318</v>
      </c>
      <c r="S538" s="16">
        <v>11</v>
      </c>
      <c r="T538" s="16">
        <v>23</v>
      </c>
      <c r="U538" s="16">
        <v>1148</v>
      </c>
      <c r="V538" s="16">
        <v>2870</v>
      </c>
      <c r="W538" s="16">
        <v>79</v>
      </c>
      <c r="X538" s="16">
        <v>196</v>
      </c>
      <c r="Y538" s="16">
        <v>50</v>
      </c>
      <c r="Z538" s="16">
        <v>124</v>
      </c>
      <c r="AA538" s="16">
        <v>20</v>
      </c>
      <c r="AB538" s="16">
        <v>48</v>
      </c>
      <c r="AC538" s="16"/>
      <c r="AD538" s="16"/>
      <c r="AE538" s="16">
        <v>480</v>
      </c>
      <c r="AF538" s="16">
        <v>1200</v>
      </c>
      <c r="AG538" s="16">
        <v>204</v>
      </c>
      <c r="AH538" s="16">
        <v>508</v>
      </c>
      <c r="AI538" s="16">
        <v>3200</v>
      </c>
      <c r="AJ538" s="16">
        <v>8000</v>
      </c>
      <c r="AK538" s="16">
        <v>2136</v>
      </c>
      <c r="AL538" s="16">
        <v>5340</v>
      </c>
      <c r="AM538" s="16">
        <v>48</v>
      </c>
      <c r="AN538" s="16">
        <v>120</v>
      </c>
      <c r="AO538" s="15">
        <v>234</v>
      </c>
      <c r="AP538" s="15">
        <v>585</v>
      </c>
      <c r="AQ538" s="15">
        <v>160</v>
      </c>
      <c r="AR538" s="15">
        <v>400</v>
      </c>
      <c r="AS538" s="15">
        <v>20</v>
      </c>
      <c r="AT538" s="15">
        <v>50</v>
      </c>
      <c r="AU538" s="15">
        <v>1000</v>
      </c>
      <c r="AV538" s="15">
        <v>2500</v>
      </c>
      <c r="AW538" s="15"/>
      <c r="AX538" s="15"/>
      <c r="AY538" s="27">
        <f t="shared" si="29"/>
        <v>23421</v>
      </c>
      <c r="AZ538" s="27">
        <f t="shared" si="30"/>
        <v>58528</v>
      </c>
    </row>
    <row r="539" spans="1:52" x14ac:dyDescent="0.25">
      <c r="A539" s="13">
        <v>868</v>
      </c>
      <c r="B539" s="19" t="s">
        <v>1136</v>
      </c>
      <c r="C539" s="26" t="s">
        <v>1137</v>
      </c>
      <c r="D539" s="19" t="s">
        <v>43</v>
      </c>
      <c r="E539" s="16">
        <v>184</v>
      </c>
      <c r="F539" s="16">
        <v>460</v>
      </c>
      <c r="G539" s="16">
        <v>21</v>
      </c>
      <c r="H539" s="16">
        <v>50</v>
      </c>
      <c r="I539" s="16">
        <v>2302</v>
      </c>
      <c r="J539" s="16">
        <v>5748</v>
      </c>
      <c r="K539" s="16"/>
      <c r="L539" s="16"/>
      <c r="M539" s="16">
        <v>56</v>
      </c>
      <c r="N539" s="16">
        <v>140</v>
      </c>
      <c r="O539" s="16">
        <v>2693</v>
      </c>
      <c r="P539" s="16">
        <v>6724</v>
      </c>
      <c r="Q539" s="16"/>
      <c r="R539" s="16"/>
      <c r="S539" s="16"/>
      <c r="T539" s="16"/>
      <c r="U539" s="16">
        <v>820</v>
      </c>
      <c r="V539" s="16">
        <v>2048</v>
      </c>
      <c r="W539" s="16"/>
      <c r="X539" s="16"/>
      <c r="Y539" s="16">
        <v>32</v>
      </c>
      <c r="Z539" s="16">
        <v>80</v>
      </c>
      <c r="AA539" s="16"/>
      <c r="AB539" s="16"/>
      <c r="AC539" s="16">
        <v>60</v>
      </c>
      <c r="AD539" s="16">
        <v>150</v>
      </c>
      <c r="AE539" s="16">
        <v>1429</v>
      </c>
      <c r="AF539" s="16">
        <v>3566</v>
      </c>
      <c r="AG539" s="16"/>
      <c r="AH539" s="16"/>
      <c r="AI539" s="16"/>
      <c r="AJ539" s="16"/>
      <c r="AK539" s="16">
        <v>216</v>
      </c>
      <c r="AL539" s="16">
        <v>540</v>
      </c>
      <c r="AM539" s="16"/>
      <c r="AN539" s="16"/>
      <c r="AO539" s="15"/>
      <c r="AP539" s="15"/>
      <c r="AQ539" s="15"/>
      <c r="AR539" s="15"/>
      <c r="AS539" s="15"/>
      <c r="AT539" s="15"/>
      <c r="AU539" s="15"/>
      <c r="AV539" s="15"/>
      <c r="AW539" s="15"/>
      <c r="AX539" s="15"/>
      <c r="AY539" s="27">
        <f t="shared" si="29"/>
        <v>7813</v>
      </c>
      <c r="AZ539" s="27">
        <f t="shared" si="30"/>
        <v>19506</v>
      </c>
    </row>
    <row r="540" spans="1:52" x14ac:dyDescent="0.25">
      <c r="A540" s="13">
        <v>869</v>
      </c>
      <c r="B540" s="19" t="s">
        <v>1138</v>
      </c>
      <c r="C540" s="26" t="s">
        <v>1139</v>
      </c>
      <c r="D540" s="19" t="s">
        <v>43</v>
      </c>
      <c r="E540" s="16">
        <v>280</v>
      </c>
      <c r="F540" s="16">
        <v>700</v>
      </c>
      <c r="G540" s="16">
        <v>41</v>
      </c>
      <c r="H540" s="16">
        <v>100</v>
      </c>
      <c r="I540" s="16">
        <v>1656</v>
      </c>
      <c r="J540" s="16">
        <v>4138</v>
      </c>
      <c r="K540" s="16">
        <v>128</v>
      </c>
      <c r="L540" s="16">
        <v>320</v>
      </c>
      <c r="M540" s="16">
        <v>302</v>
      </c>
      <c r="N540" s="16">
        <v>751</v>
      </c>
      <c r="O540" s="16">
        <v>5836</v>
      </c>
      <c r="P540" s="16">
        <v>14586</v>
      </c>
      <c r="Q540" s="16"/>
      <c r="R540" s="16"/>
      <c r="S540" s="16"/>
      <c r="T540" s="16"/>
      <c r="U540" s="16">
        <v>1517</v>
      </c>
      <c r="V540" s="16">
        <v>3792</v>
      </c>
      <c r="W540" s="16"/>
      <c r="X540" s="16"/>
      <c r="Y540" s="16"/>
      <c r="Z540" s="16"/>
      <c r="AA540" s="16"/>
      <c r="AB540" s="16"/>
      <c r="AC540" s="16">
        <v>3528</v>
      </c>
      <c r="AD540" s="16">
        <v>8820</v>
      </c>
      <c r="AE540" s="16">
        <v>5552</v>
      </c>
      <c r="AF540" s="16">
        <v>13878</v>
      </c>
      <c r="AG540" s="16"/>
      <c r="AH540" s="16"/>
      <c r="AI540" s="16">
        <v>240</v>
      </c>
      <c r="AJ540" s="16">
        <v>595</v>
      </c>
      <c r="AK540" s="16">
        <v>24</v>
      </c>
      <c r="AL540" s="16">
        <v>56</v>
      </c>
      <c r="AM540" s="16"/>
      <c r="AN540" s="16"/>
      <c r="AO540" s="15"/>
      <c r="AP540" s="15"/>
      <c r="AQ540" s="15"/>
      <c r="AR540" s="15"/>
      <c r="AS540" s="15"/>
      <c r="AT540" s="15"/>
      <c r="AU540" s="15"/>
      <c r="AV540" s="15"/>
      <c r="AW540" s="15"/>
      <c r="AX540" s="15"/>
      <c r="AY540" s="27">
        <f t="shared" si="29"/>
        <v>19104</v>
      </c>
      <c r="AZ540" s="27">
        <f t="shared" si="30"/>
        <v>47736</v>
      </c>
    </row>
    <row r="541" spans="1:52" x14ac:dyDescent="0.25">
      <c r="A541" s="13">
        <v>872</v>
      </c>
      <c r="B541" s="19" t="s">
        <v>1140</v>
      </c>
      <c r="C541" s="26" t="s">
        <v>1141</v>
      </c>
      <c r="D541" s="19" t="s">
        <v>43</v>
      </c>
      <c r="E541" s="16"/>
      <c r="F541" s="16"/>
      <c r="G541" s="16"/>
      <c r="H541" s="16"/>
      <c r="I541" s="16">
        <v>1249</v>
      </c>
      <c r="J541" s="16">
        <v>3121</v>
      </c>
      <c r="K541" s="16">
        <v>720</v>
      </c>
      <c r="L541" s="16">
        <v>1800</v>
      </c>
      <c r="M541" s="16"/>
      <c r="N541" s="16"/>
      <c r="O541" s="16">
        <v>72</v>
      </c>
      <c r="P541" s="16">
        <v>180</v>
      </c>
      <c r="Q541" s="16"/>
      <c r="R541" s="16"/>
      <c r="S541" s="16"/>
      <c r="T541" s="16"/>
      <c r="U541" s="16">
        <v>148</v>
      </c>
      <c r="V541" s="16">
        <v>368</v>
      </c>
      <c r="W541" s="16"/>
      <c r="X541" s="16"/>
      <c r="Y541" s="16"/>
      <c r="Z541" s="16"/>
      <c r="AA541" s="16"/>
      <c r="AB541" s="16"/>
      <c r="AC541" s="16"/>
      <c r="AD541" s="16"/>
      <c r="AE541" s="16"/>
      <c r="AF541" s="16"/>
      <c r="AG541" s="16"/>
      <c r="AH541" s="16"/>
      <c r="AI541" s="16">
        <v>1271</v>
      </c>
      <c r="AJ541" s="16">
        <v>3173</v>
      </c>
      <c r="AK541" s="16"/>
      <c r="AL541" s="16"/>
      <c r="AM541" s="16"/>
      <c r="AN541" s="16"/>
      <c r="AO541" s="15"/>
      <c r="AP541" s="15"/>
      <c r="AQ541" s="15"/>
      <c r="AR541" s="15"/>
      <c r="AS541" s="15"/>
      <c r="AT541" s="15"/>
      <c r="AU541" s="15"/>
      <c r="AV541" s="15"/>
      <c r="AW541" s="15"/>
      <c r="AX541" s="15"/>
      <c r="AY541" s="27">
        <f t="shared" si="29"/>
        <v>3460</v>
      </c>
      <c r="AZ541" s="27">
        <f t="shared" si="30"/>
        <v>8642</v>
      </c>
    </row>
    <row r="542" spans="1:52" x14ac:dyDescent="0.25">
      <c r="A542" s="13">
        <v>873</v>
      </c>
      <c r="B542" s="19" t="s">
        <v>1142</v>
      </c>
      <c r="C542" s="26" t="s">
        <v>1143</v>
      </c>
      <c r="D542" s="19" t="s">
        <v>43</v>
      </c>
      <c r="E542" s="16">
        <v>120</v>
      </c>
      <c r="F542" s="16">
        <v>300</v>
      </c>
      <c r="G542" s="16"/>
      <c r="H542" s="16"/>
      <c r="I542" s="16"/>
      <c r="J542" s="16"/>
      <c r="K542" s="16">
        <v>1290</v>
      </c>
      <c r="L542" s="16">
        <v>3218</v>
      </c>
      <c r="M542" s="16">
        <v>4639</v>
      </c>
      <c r="N542" s="16">
        <v>11596</v>
      </c>
      <c r="O542" s="16">
        <v>4</v>
      </c>
      <c r="P542" s="16">
        <v>7</v>
      </c>
      <c r="Q542" s="16"/>
      <c r="R542" s="16"/>
      <c r="S542" s="16"/>
      <c r="T542" s="16"/>
      <c r="U542" s="16">
        <v>264</v>
      </c>
      <c r="V542" s="16">
        <v>660</v>
      </c>
      <c r="W542" s="16"/>
      <c r="X542" s="16"/>
      <c r="Y542" s="16">
        <v>16</v>
      </c>
      <c r="Z542" s="16">
        <v>38</v>
      </c>
      <c r="AA542" s="16"/>
      <c r="AB542" s="16"/>
      <c r="AC542" s="16">
        <v>2</v>
      </c>
      <c r="AD542" s="16">
        <v>2</v>
      </c>
      <c r="AE542" s="16"/>
      <c r="AF542" s="16"/>
      <c r="AG542" s="16"/>
      <c r="AH542" s="16"/>
      <c r="AI542" s="16"/>
      <c r="AJ542" s="16"/>
      <c r="AK542" s="16">
        <v>520</v>
      </c>
      <c r="AL542" s="16">
        <v>1300</v>
      </c>
      <c r="AM542" s="16"/>
      <c r="AN542" s="16"/>
      <c r="AO542" s="15">
        <v>670</v>
      </c>
      <c r="AP542" s="15">
        <v>1675</v>
      </c>
      <c r="AQ542" s="15">
        <v>4</v>
      </c>
      <c r="AR542" s="15">
        <v>6</v>
      </c>
      <c r="AS542" s="15"/>
      <c r="AT542" s="15"/>
      <c r="AU542" s="15">
        <v>80</v>
      </c>
      <c r="AV542" s="15">
        <v>200</v>
      </c>
      <c r="AW542" s="15"/>
      <c r="AX542" s="15"/>
      <c r="AY542" s="27">
        <f t="shared" si="29"/>
        <v>7609</v>
      </c>
      <c r="AZ542" s="27">
        <f t="shared" si="30"/>
        <v>19002</v>
      </c>
    </row>
    <row r="543" spans="1:52" x14ac:dyDescent="0.25">
      <c r="A543" s="13">
        <v>876</v>
      </c>
      <c r="B543" s="19" t="s">
        <v>1144</v>
      </c>
      <c r="C543" s="26" t="s">
        <v>1145</v>
      </c>
      <c r="D543" s="19" t="s">
        <v>43</v>
      </c>
      <c r="E543" s="16"/>
      <c r="F543" s="16"/>
      <c r="G543" s="16"/>
      <c r="H543" s="16"/>
      <c r="I543" s="16"/>
      <c r="J543" s="16"/>
      <c r="K543" s="16"/>
      <c r="L543" s="16"/>
      <c r="M543" s="16">
        <v>64</v>
      </c>
      <c r="N543" s="16">
        <v>160</v>
      </c>
      <c r="O543" s="16">
        <v>22</v>
      </c>
      <c r="P543" s="16">
        <v>52</v>
      </c>
      <c r="Q543" s="16"/>
      <c r="R543" s="16"/>
      <c r="S543" s="16"/>
      <c r="T543" s="16"/>
      <c r="U543" s="16">
        <v>88</v>
      </c>
      <c r="V543" s="16">
        <v>220</v>
      </c>
      <c r="W543" s="16"/>
      <c r="X543" s="16"/>
      <c r="Y543" s="16"/>
      <c r="Z543" s="16"/>
      <c r="AA543" s="16"/>
      <c r="AB543" s="16"/>
      <c r="AC543" s="16">
        <v>200</v>
      </c>
      <c r="AD543" s="16">
        <v>500</v>
      </c>
      <c r="AE543" s="16">
        <v>191</v>
      </c>
      <c r="AF543" s="16">
        <v>477</v>
      </c>
      <c r="AG543" s="16"/>
      <c r="AH543" s="16"/>
      <c r="AI543" s="16">
        <v>30</v>
      </c>
      <c r="AJ543" s="16">
        <v>72</v>
      </c>
      <c r="AK543" s="16"/>
      <c r="AL543" s="16"/>
      <c r="AM543" s="16"/>
      <c r="AN543" s="16"/>
      <c r="AO543" s="15">
        <v>104</v>
      </c>
      <c r="AP543" s="15">
        <v>260</v>
      </c>
      <c r="AQ543" s="15"/>
      <c r="AR543" s="15"/>
      <c r="AS543" s="15"/>
      <c r="AT543" s="15"/>
      <c r="AU543" s="15"/>
      <c r="AV543" s="15"/>
      <c r="AW543" s="15"/>
      <c r="AX543" s="15"/>
      <c r="AY543" s="27">
        <f t="shared" si="29"/>
        <v>699</v>
      </c>
      <c r="AZ543" s="27">
        <f t="shared" si="30"/>
        <v>1741</v>
      </c>
    </row>
    <row r="544" spans="1:52" x14ac:dyDescent="0.25">
      <c r="A544" s="13">
        <v>879</v>
      </c>
      <c r="B544" s="19" t="s">
        <v>1146</v>
      </c>
      <c r="C544" s="26" t="s">
        <v>1147</v>
      </c>
      <c r="D544" s="19" t="s">
        <v>45</v>
      </c>
      <c r="E544" s="16">
        <v>136</v>
      </c>
      <c r="F544" s="16">
        <v>336</v>
      </c>
      <c r="G544" s="16"/>
      <c r="H544" s="16"/>
      <c r="I544" s="16"/>
      <c r="J544" s="16"/>
      <c r="K544" s="16">
        <v>1255</v>
      </c>
      <c r="L544" s="16">
        <v>3135</v>
      </c>
      <c r="M544" s="16">
        <v>1223</v>
      </c>
      <c r="N544" s="16">
        <v>3056</v>
      </c>
      <c r="O544" s="16">
        <v>2380</v>
      </c>
      <c r="P544" s="16">
        <v>5950</v>
      </c>
      <c r="Q544" s="16"/>
      <c r="R544" s="16"/>
      <c r="S544" s="16">
        <v>20</v>
      </c>
      <c r="T544" s="16">
        <v>50</v>
      </c>
      <c r="U544" s="16"/>
      <c r="V544" s="16"/>
      <c r="W544" s="16">
        <v>680</v>
      </c>
      <c r="X544" s="16">
        <v>1700</v>
      </c>
      <c r="Y544" s="16">
        <v>160</v>
      </c>
      <c r="Z544" s="16">
        <v>400</v>
      </c>
      <c r="AA544" s="16">
        <v>320</v>
      </c>
      <c r="AB544" s="16">
        <v>800</v>
      </c>
      <c r="AC544" s="16">
        <v>28</v>
      </c>
      <c r="AD544" s="16">
        <v>68</v>
      </c>
      <c r="AE544" s="16"/>
      <c r="AF544" s="16"/>
      <c r="AG544" s="16">
        <v>3200</v>
      </c>
      <c r="AH544" s="16">
        <v>8000</v>
      </c>
      <c r="AI544" s="16">
        <v>28000</v>
      </c>
      <c r="AJ544" s="16">
        <v>70000</v>
      </c>
      <c r="AK544" s="16">
        <v>304</v>
      </c>
      <c r="AL544" s="16">
        <v>760</v>
      </c>
      <c r="AM544" s="16">
        <v>394</v>
      </c>
      <c r="AN544" s="16">
        <v>984</v>
      </c>
      <c r="AO544" s="15">
        <v>6534</v>
      </c>
      <c r="AP544" s="15">
        <v>16334</v>
      </c>
      <c r="AQ544" s="15">
        <v>28</v>
      </c>
      <c r="AR544" s="15">
        <v>70</v>
      </c>
      <c r="AS544" s="15"/>
      <c r="AT544" s="15"/>
      <c r="AU544" s="15">
        <v>46</v>
      </c>
      <c r="AV544" s="15">
        <v>114</v>
      </c>
      <c r="AW544" s="15"/>
      <c r="AX544" s="15"/>
      <c r="AY544" s="27">
        <f t="shared" si="29"/>
        <v>44708</v>
      </c>
      <c r="AZ544" s="27">
        <f t="shared" si="30"/>
        <v>111757</v>
      </c>
    </row>
    <row r="545" spans="1:52" x14ac:dyDescent="0.25">
      <c r="A545" s="13">
        <v>893</v>
      </c>
      <c r="B545" s="19" t="s">
        <v>1148</v>
      </c>
      <c r="C545" s="26" t="s">
        <v>1149</v>
      </c>
      <c r="D545" s="19" t="s">
        <v>43</v>
      </c>
      <c r="E545" s="16"/>
      <c r="F545" s="16"/>
      <c r="G545" s="16"/>
      <c r="H545" s="16"/>
      <c r="I545" s="16"/>
      <c r="J545" s="16"/>
      <c r="K545" s="16">
        <v>80</v>
      </c>
      <c r="L545" s="16">
        <v>200</v>
      </c>
      <c r="M545" s="16">
        <v>120</v>
      </c>
      <c r="N545" s="16">
        <v>300</v>
      </c>
      <c r="O545" s="16"/>
      <c r="P545" s="16"/>
      <c r="Q545" s="16"/>
      <c r="R545" s="16"/>
      <c r="S545" s="16"/>
      <c r="T545" s="16"/>
      <c r="U545" s="16">
        <v>44</v>
      </c>
      <c r="V545" s="16">
        <v>110</v>
      </c>
      <c r="W545" s="16"/>
      <c r="X545" s="16"/>
      <c r="Y545" s="16"/>
      <c r="Z545" s="16"/>
      <c r="AA545" s="16"/>
      <c r="AB545" s="16"/>
      <c r="AC545" s="16">
        <v>52</v>
      </c>
      <c r="AD545" s="16">
        <v>130</v>
      </c>
      <c r="AE545" s="16"/>
      <c r="AF545" s="16"/>
      <c r="AG545" s="16">
        <v>200</v>
      </c>
      <c r="AH545" s="16">
        <v>500</v>
      </c>
      <c r="AI545" s="16">
        <v>960</v>
      </c>
      <c r="AJ545" s="16">
        <v>2400</v>
      </c>
      <c r="AK545" s="16">
        <v>103</v>
      </c>
      <c r="AL545" s="16">
        <v>255</v>
      </c>
      <c r="AM545" s="16">
        <v>10</v>
      </c>
      <c r="AN545" s="16">
        <v>24</v>
      </c>
      <c r="AO545" s="15"/>
      <c r="AP545" s="15"/>
      <c r="AQ545" s="15"/>
      <c r="AR545" s="15"/>
      <c r="AS545" s="15"/>
      <c r="AT545" s="15"/>
      <c r="AU545" s="15"/>
      <c r="AV545" s="15"/>
      <c r="AW545" s="15"/>
      <c r="AX545" s="15"/>
      <c r="AY545" s="27">
        <f t="shared" si="29"/>
        <v>1569</v>
      </c>
      <c r="AZ545" s="27">
        <f t="shared" si="30"/>
        <v>3919</v>
      </c>
    </row>
    <row r="546" spans="1:52" x14ac:dyDescent="0.25">
      <c r="A546" s="13">
        <v>896</v>
      </c>
      <c r="B546" s="19" t="s">
        <v>1150</v>
      </c>
      <c r="C546" s="26" t="s">
        <v>1151</v>
      </c>
      <c r="D546" s="19" t="s">
        <v>43</v>
      </c>
      <c r="E546" s="16"/>
      <c r="F546" s="16"/>
      <c r="G546" s="16"/>
      <c r="H546" s="16"/>
      <c r="I546" s="16"/>
      <c r="J546" s="16"/>
      <c r="K546" s="16">
        <v>80</v>
      </c>
      <c r="L546" s="16">
        <v>200</v>
      </c>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v>1440</v>
      </c>
      <c r="AJ546" s="16">
        <v>3600</v>
      </c>
      <c r="AK546" s="16"/>
      <c r="AL546" s="16"/>
      <c r="AM546" s="16"/>
      <c r="AN546" s="16"/>
      <c r="AO546" s="15"/>
      <c r="AP546" s="15"/>
      <c r="AQ546" s="15"/>
      <c r="AR546" s="15"/>
      <c r="AS546" s="15"/>
      <c r="AT546" s="15"/>
      <c r="AU546" s="15"/>
      <c r="AV546" s="15"/>
      <c r="AW546" s="15"/>
      <c r="AX546" s="15"/>
      <c r="AY546" s="27">
        <f t="shared" si="29"/>
        <v>1520</v>
      </c>
      <c r="AZ546" s="27">
        <f t="shared" si="30"/>
        <v>3800</v>
      </c>
    </row>
    <row r="547" spans="1:52" x14ac:dyDescent="0.25">
      <c r="A547" s="13">
        <v>897</v>
      </c>
      <c r="B547" s="19" t="s">
        <v>1152</v>
      </c>
      <c r="C547" s="26" t="s">
        <v>1153</v>
      </c>
      <c r="D547" s="19" t="s">
        <v>43</v>
      </c>
      <c r="E547" s="16"/>
      <c r="F547" s="16"/>
      <c r="G547" s="16"/>
      <c r="H547" s="16"/>
      <c r="I547" s="16">
        <v>3000</v>
      </c>
      <c r="J547" s="16">
        <v>7500</v>
      </c>
      <c r="K547" s="16">
        <v>160</v>
      </c>
      <c r="L547" s="16">
        <v>400</v>
      </c>
      <c r="M547" s="16"/>
      <c r="N547" s="16"/>
      <c r="O547" s="16"/>
      <c r="P547" s="16"/>
      <c r="Q547" s="16"/>
      <c r="R547" s="16"/>
      <c r="S547" s="16">
        <v>2</v>
      </c>
      <c r="T547" s="16">
        <v>3</v>
      </c>
      <c r="U547" s="16"/>
      <c r="V547" s="16"/>
      <c r="W547" s="16">
        <v>108</v>
      </c>
      <c r="X547" s="16">
        <v>270</v>
      </c>
      <c r="Y547" s="16"/>
      <c r="Z547" s="16"/>
      <c r="AA547" s="16"/>
      <c r="AB547" s="16"/>
      <c r="AC547" s="16"/>
      <c r="AD547" s="16"/>
      <c r="AE547" s="16"/>
      <c r="AF547" s="16"/>
      <c r="AG547" s="16"/>
      <c r="AH547" s="16"/>
      <c r="AI547" s="16">
        <v>1440</v>
      </c>
      <c r="AJ547" s="16">
        <v>3600</v>
      </c>
      <c r="AK547" s="16"/>
      <c r="AL547" s="16"/>
      <c r="AM547" s="16">
        <v>20</v>
      </c>
      <c r="AN547" s="16">
        <v>48</v>
      </c>
      <c r="AO547" s="15"/>
      <c r="AP547" s="15"/>
      <c r="AQ547" s="15"/>
      <c r="AR547" s="15"/>
      <c r="AS547" s="15"/>
      <c r="AT547" s="15"/>
      <c r="AU547" s="15"/>
      <c r="AV547" s="15"/>
      <c r="AW547" s="15"/>
      <c r="AX547" s="15"/>
      <c r="AY547" s="27">
        <f t="shared" si="29"/>
        <v>4730</v>
      </c>
      <c r="AZ547" s="27">
        <f t="shared" si="30"/>
        <v>11821</v>
      </c>
    </row>
    <row r="548" spans="1:52" x14ac:dyDescent="0.25">
      <c r="A548" s="13">
        <v>898</v>
      </c>
      <c r="B548" s="19" t="s">
        <v>1154</v>
      </c>
      <c r="C548" s="26" t="s">
        <v>1155</v>
      </c>
      <c r="D548" s="19" t="s">
        <v>1286</v>
      </c>
      <c r="E548" s="16"/>
      <c r="F548" s="16"/>
      <c r="G548" s="16">
        <v>8</v>
      </c>
      <c r="H548" s="16">
        <v>20</v>
      </c>
      <c r="I548" s="16"/>
      <c r="J548" s="16"/>
      <c r="K548" s="16">
        <v>272</v>
      </c>
      <c r="L548" s="16">
        <v>680</v>
      </c>
      <c r="M548" s="16">
        <v>1892</v>
      </c>
      <c r="N548" s="16">
        <v>4727</v>
      </c>
      <c r="O548" s="16"/>
      <c r="P548" s="16"/>
      <c r="Q548" s="16"/>
      <c r="R548" s="16"/>
      <c r="S548" s="16"/>
      <c r="T548" s="16"/>
      <c r="U548" s="16">
        <v>44</v>
      </c>
      <c r="V548" s="16">
        <v>110</v>
      </c>
      <c r="W548" s="16"/>
      <c r="X548" s="16"/>
      <c r="Y548" s="16"/>
      <c r="Z548" s="16"/>
      <c r="AA548" s="16"/>
      <c r="AB548" s="16"/>
      <c r="AC548" s="16"/>
      <c r="AD548" s="16"/>
      <c r="AE548" s="16"/>
      <c r="AF548" s="16"/>
      <c r="AG548" s="16"/>
      <c r="AH548" s="16"/>
      <c r="AI548" s="16">
        <v>960</v>
      </c>
      <c r="AJ548" s="16">
        <v>2400</v>
      </c>
      <c r="AK548" s="16"/>
      <c r="AL548" s="16"/>
      <c r="AM548" s="16"/>
      <c r="AN548" s="16"/>
      <c r="AO548" s="15">
        <v>240</v>
      </c>
      <c r="AP548" s="15">
        <v>600</v>
      </c>
      <c r="AQ548" s="15"/>
      <c r="AR548" s="15"/>
      <c r="AS548" s="15"/>
      <c r="AT548" s="15"/>
      <c r="AU548" s="15"/>
      <c r="AV548" s="15"/>
      <c r="AW548" s="15"/>
      <c r="AX548" s="15"/>
      <c r="AY548" s="27">
        <f t="shared" si="29"/>
        <v>3416</v>
      </c>
      <c r="AZ548" s="27">
        <f t="shared" si="30"/>
        <v>8537</v>
      </c>
    </row>
    <row r="549" spans="1:52" x14ac:dyDescent="0.25">
      <c r="A549" s="13">
        <v>911</v>
      </c>
      <c r="B549" s="19" t="s">
        <v>1156</v>
      </c>
      <c r="C549" s="26" t="s">
        <v>1157</v>
      </c>
      <c r="D549" s="19" t="s">
        <v>43</v>
      </c>
      <c r="E549" s="16"/>
      <c r="F549" s="16"/>
      <c r="G549" s="16">
        <v>20</v>
      </c>
      <c r="H549" s="16">
        <v>50</v>
      </c>
      <c r="I549" s="16">
        <v>44</v>
      </c>
      <c r="J549" s="16">
        <v>110</v>
      </c>
      <c r="K549" s="16">
        <v>452</v>
      </c>
      <c r="L549" s="16">
        <v>1130</v>
      </c>
      <c r="M549" s="16"/>
      <c r="N549" s="16"/>
      <c r="O549" s="16">
        <v>247</v>
      </c>
      <c r="P549" s="16">
        <v>616</v>
      </c>
      <c r="Q549" s="16"/>
      <c r="R549" s="16"/>
      <c r="S549" s="16"/>
      <c r="T549" s="16"/>
      <c r="U549" s="16">
        <v>110</v>
      </c>
      <c r="V549" s="16">
        <v>275</v>
      </c>
      <c r="W549" s="16"/>
      <c r="X549" s="16"/>
      <c r="Y549" s="16"/>
      <c r="Z549" s="16"/>
      <c r="AA549" s="16"/>
      <c r="AB549" s="16"/>
      <c r="AC549" s="16"/>
      <c r="AD549" s="16"/>
      <c r="AE549" s="16"/>
      <c r="AF549" s="16"/>
      <c r="AG549" s="16"/>
      <c r="AH549" s="16"/>
      <c r="AI549" s="16">
        <v>336</v>
      </c>
      <c r="AJ549" s="16">
        <v>840</v>
      </c>
      <c r="AK549" s="16">
        <v>120</v>
      </c>
      <c r="AL549" s="16">
        <v>300</v>
      </c>
      <c r="AM549" s="16">
        <v>116</v>
      </c>
      <c r="AN549" s="16">
        <v>288</v>
      </c>
      <c r="AO549" s="15"/>
      <c r="AP549" s="15"/>
      <c r="AQ549" s="15">
        <v>24</v>
      </c>
      <c r="AR549" s="15">
        <v>56</v>
      </c>
      <c r="AS549" s="15"/>
      <c r="AT549" s="15"/>
      <c r="AU549" s="15"/>
      <c r="AV549" s="15"/>
      <c r="AW549" s="15"/>
      <c r="AX549" s="15"/>
      <c r="AY549" s="27">
        <f t="shared" si="29"/>
        <v>1469</v>
      </c>
      <c r="AZ549" s="27">
        <f t="shared" si="30"/>
        <v>3665</v>
      </c>
    </row>
    <row r="550" spans="1:52" x14ac:dyDescent="0.25">
      <c r="A550" s="13">
        <v>912</v>
      </c>
      <c r="B550" s="19" t="s">
        <v>1158</v>
      </c>
      <c r="C550" s="26" t="s">
        <v>1159</v>
      </c>
      <c r="D550" s="19" t="s">
        <v>43</v>
      </c>
      <c r="E550" s="16"/>
      <c r="F550" s="16"/>
      <c r="G550" s="16">
        <v>8</v>
      </c>
      <c r="H550" s="16">
        <v>20</v>
      </c>
      <c r="I550" s="16">
        <v>44</v>
      </c>
      <c r="J550" s="16">
        <v>110</v>
      </c>
      <c r="K550" s="16">
        <v>292</v>
      </c>
      <c r="L550" s="16">
        <v>730</v>
      </c>
      <c r="M550" s="16"/>
      <c r="N550" s="16"/>
      <c r="O550" s="16">
        <v>169</v>
      </c>
      <c r="P550" s="16">
        <v>420</v>
      </c>
      <c r="Q550" s="16"/>
      <c r="R550" s="16"/>
      <c r="S550" s="16">
        <v>384</v>
      </c>
      <c r="T550" s="16">
        <v>960</v>
      </c>
      <c r="U550" s="16"/>
      <c r="V550" s="16"/>
      <c r="W550" s="16"/>
      <c r="X550" s="16"/>
      <c r="Y550" s="16"/>
      <c r="Z550" s="16"/>
      <c r="AA550" s="16"/>
      <c r="AB550" s="16"/>
      <c r="AC550" s="16"/>
      <c r="AD550" s="16"/>
      <c r="AE550" s="16">
        <v>48</v>
      </c>
      <c r="AF550" s="16">
        <v>120</v>
      </c>
      <c r="AG550" s="16"/>
      <c r="AH550" s="16"/>
      <c r="AI550" s="16">
        <v>336</v>
      </c>
      <c r="AJ550" s="16">
        <v>840</v>
      </c>
      <c r="AK550" s="16">
        <v>120</v>
      </c>
      <c r="AL550" s="16">
        <v>300</v>
      </c>
      <c r="AM550" s="16"/>
      <c r="AN550" s="16"/>
      <c r="AO550" s="15"/>
      <c r="AP550" s="15"/>
      <c r="AQ550" s="15"/>
      <c r="AR550" s="15"/>
      <c r="AS550" s="15"/>
      <c r="AT550" s="15"/>
      <c r="AU550" s="15"/>
      <c r="AV550" s="15"/>
      <c r="AW550" s="15"/>
      <c r="AX550" s="15"/>
      <c r="AY550" s="27">
        <f t="shared" si="29"/>
        <v>1401</v>
      </c>
      <c r="AZ550" s="27">
        <f t="shared" si="30"/>
        <v>3500</v>
      </c>
    </row>
    <row r="551" spans="1:52" x14ac:dyDescent="0.25">
      <c r="A551" s="13">
        <v>914</v>
      </c>
      <c r="B551" s="19" t="s">
        <v>1160</v>
      </c>
      <c r="C551" s="26" t="s">
        <v>1161</v>
      </c>
      <c r="D551" s="19" t="s">
        <v>43</v>
      </c>
      <c r="E551" s="16"/>
      <c r="F551" s="16"/>
      <c r="G551" s="16"/>
      <c r="H551" s="16"/>
      <c r="I551" s="16">
        <v>44</v>
      </c>
      <c r="J551" s="16">
        <v>110</v>
      </c>
      <c r="K551" s="16">
        <v>160</v>
      </c>
      <c r="L551" s="16">
        <v>400</v>
      </c>
      <c r="M551" s="16"/>
      <c r="N551" s="16"/>
      <c r="O551" s="16"/>
      <c r="P551" s="16"/>
      <c r="Q551" s="16">
        <v>8</v>
      </c>
      <c r="R551" s="16">
        <v>18</v>
      </c>
      <c r="S551" s="16"/>
      <c r="T551" s="16"/>
      <c r="U551" s="16"/>
      <c r="V551" s="16"/>
      <c r="W551" s="16"/>
      <c r="X551" s="16"/>
      <c r="Y551" s="16"/>
      <c r="Z551" s="16"/>
      <c r="AA551" s="16"/>
      <c r="AB551" s="16"/>
      <c r="AC551" s="16"/>
      <c r="AD551" s="16"/>
      <c r="AE551" s="16">
        <v>20</v>
      </c>
      <c r="AF551" s="16">
        <v>49</v>
      </c>
      <c r="AG551" s="16"/>
      <c r="AH551" s="16"/>
      <c r="AI551" s="16">
        <v>280</v>
      </c>
      <c r="AJ551" s="16">
        <v>700</v>
      </c>
      <c r="AK551" s="16"/>
      <c r="AL551" s="16"/>
      <c r="AM551" s="16"/>
      <c r="AN551" s="16"/>
      <c r="AO551" s="15"/>
      <c r="AP551" s="15"/>
      <c r="AQ551" s="15"/>
      <c r="AR551" s="15"/>
      <c r="AS551" s="15"/>
      <c r="AT551" s="15"/>
      <c r="AU551" s="15"/>
      <c r="AV551" s="15"/>
      <c r="AW551" s="15"/>
      <c r="AX551" s="15"/>
      <c r="AY551" s="27">
        <f t="shared" si="29"/>
        <v>512</v>
      </c>
      <c r="AZ551" s="27">
        <f t="shared" si="30"/>
        <v>1277</v>
      </c>
    </row>
    <row r="552" spans="1:52" x14ac:dyDescent="0.25">
      <c r="A552" s="13">
        <v>915</v>
      </c>
      <c r="B552" s="19" t="s">
        <v>1162</v>
      </c>
      <c r="C552" s="26" t="s">
        <v>1163</v>
      </c>
      <c r="D552" s="19" t="s">
        <v>43</v>
      </c>
      <c r="E552" s="16"/>
      <c r="F552" s="16"/>
      <c r="G552" s="16"/>
      <c r="H552" s="16"/>
      <c r="I552" s="16">
        <v>44</v>
      </c>
      <c r="J552" s="16">
        <v>110</v>
      </c>
      <c r="K552" s="16">
        <v>146</v>
      </c>
      <c r="L552" s="16">
        <v>364</v>
      </c>
      <c r="M552" s="16"/>
      <c r="N552" s="16"/>
      <c r="O552" s="16"/>
      <c r="P552" s="16"/>
      <c r="Q552" s="16">
        <v>8</v>
      </c>
      <c r="R552" s="16">
        <v>18</v>
      </c>
      <c r="S552" s="16"/>
      <c r="T552" s="16"/>
      <c r="U552" s="16"/>
      <c r="V552" s="16"/>
      <c r="W552" s="16"/>
      <c r="X552" s="16"/>
      <c r="Y552" s="16"/>
      <c r="Z552" s="16"/>
      <c r="AA552" s="16"/>
      <c r="AB552" s="16"/>
      <c r="AC552" s="16"/>
      <c r="AD552" s="16"/>
      <c r="AE552" s="16">
        <v>24</v>
      </c>
      <c r="AF552" s="16">
        <v>60</v>
      </c>
      <c r="AG552" s="16"/>
      <c r="AH552" s="16"/>
      <c r="AI552" s="16">
        <v>352</v>
      </c>
      <c r="AJ552" s="16">
        <v>880</v>
      </c>
      <c r="AK552" s="16"/>
      <c r="AL552" s="16"/>
      <c r="AM552" s="16"/>
      <c r="AN552" s="16"/>
      <c r="AO552" s="15"/>
      <c r="AP552" s="15"/>
      <c r="AQ552" s="15"/>
      <c r="AR552" s="15"/>
      <c r="AS552" s="15"/>
      <c r="AT552" s="15"/>
      <c r="AU552" s="15"/>
      <c r="AV552" s="15"/>
      <c r="AW552" s="15"/>
      <c r="AX552" s="15"/>
      <c r="AY552" s="27">
        <f t="shared" si="29"/>
        <v>574</v>
      </c>
      <c r="AZ552" s="27">
        <f t="shared" si="30"/>
        <v>1432</v>
      </c>
    </row>
    <row r="553" spans="1:52" x14ac:dyDescent="0.25">
      <c r="A553" s="13">
        <v>916</v>
      </c>
      <c r="B553" s="19" t="s">
        <v>1164</v>
      </c>
      <c r="C553" s="26" t="s">
        <v>1165</v>
      </c>
      <c r="D553" s="19" t="s">
        <v>43</v>
      </c>
      <c r="E553" s="16"/>
      <c r="F553" s="16"/>
      <c r="G553" s="16"/>
      <c r="H553" s="16"/>
      <c r="I553" s="16">
        <v>44</v>
      </c>
      <c r="J553" s="16">
        <v>110</v>
      </c>
      <c r="K553" s="16">
        <v>194</v>
      </c>
      <c r="L553" s="16">
        <v>484</v>
      </c>
      <c r="M553" s="16"/>
      <c r="N553" s="16"/>
      <c r="O553" s="16"/>
      <c r="P553" s="16"/>
      <c r="Q553" s="16">
        <v>8</v>
      </c>
      <c r="R553" s="16">
        <v>18</v>
      </c>
      <c r="S553" s="16"/>
      <c r="T553" s="16"/>
      <c r="U553" s="16"/>
      <c r="V553" s="16"/>
      <c r="W553" s="16"/>
      <c r="X553" s="16"/>
      <c r="Y553" s="16"/>
      <c r="Z553" s="16"/>
      <c r="AA553" s="16"/>
      <c r="AB553" s="16"/>
      <c r="AC553" s="16"/>
      <c r="AD553" s="16"/>
      <c r="AE553" s="16">
        <v>16</v>
      </c>
      <c r="AF553" s="16">
        <v>37</v>
      </c>
      <c r="AG553" s="16"/>
      <c r="AH553" s="16"/>
      <c r="AI553" s="16">
        <v>392</v>
      </c>
      <c r="AJ553" s="16">
        <v>980</v>
      </c>
      <c r="AK553" s="16"/>
      <c r="AL553" s="16"/>
      <c r="AM553" s="16"/>
      <c r="AN553" s="16"/>
      <c r="AO553" s="15"/>
      <c r="AP553" s="15"/>
      <c r="AQ553" s="15"/>
      <c r="AR553" s="15"/>
      <c r="AS553" s="15"/>
      <c r="AT553" s="15"/>
      <c r="AU553" s="15"/>
      <c r="AV553" s="15"/>
      <c r="AW553" s="15"/>
      <c r="AX553" s="15"/>
      <c r="AY553" s="27">
        <f t="shared" si="29"/>
        <v>654</v>
      </c>
      <c r="AZ553" s="27">
        <f t="shared" si="30"/>
        <v>1629</v>
      </c>
    </row>
    <row r="554" spans="1:52" x14ac:dyDescent="0.25">
      <c r="A554" s="13">
        <v>918</v>
      </c>
      <c r="B554" s="19" t="s">
        <v>1166</v>
      </c>
      <c r="C554" s="26" t="s">
        <v>1167</v>
      </c>
      <c r="D554" s="19" t="s">
        <v>45</v>
      </c>
      <c r="E554" s="16">
        <v>400</v>
      </c>
      <c r="F554" s="16">
        <v>1000</v>
      </c>
      <c r="G554" s="16"/>
      <c r="H554" s="16"/>
      <c r="I554" s="16">
        <v>62</v>
      </c>
      <c r="J554" s="16">
        <v>152</v>
      </c>
      <c r="K554" s="16">
        <v>104</v>
      </c>
      <c r="L554" s="16">
        <v>260</v>
      </c>
      <c r="M554" s="16">
        <v>168</v>
      </c>
      <c r="N554" s="16">
        <v>420</v>
      </c>
      <c r="O554" s="16">
        <v>44</v>
      </c>
      <c r="P554" s="16">
        <v>107</v>
      </c>
      <c r="Q554" s="16"/>
      <c r="R554" s="16"/>
      <c r="S554" s="16"/>
      <c r="T554" s="16"/>
      <c r="U554" s="16"/>
      <c r="V554" s="16"/>
      <c r="W554" s="16"/>
      <c r="X554" s="16"/>
      <c r="Y554" s="16"/>
      <c r="Z554" s="16"/>
      <c r="AA554" s="16"/>
      <c r="AB554" s="16"/>
      <c r="AC554" s="16"/>
      <c r="AD554" s="16"/>
      <c r="AE554" s="16"/>
      <c r="AF554" s="16"/>
      <c r="AG554" s="16"/>
      <c r="AH554" s="16"/>
      <c r="AI554" s="16">
        <v>48</v>
      </c>
      <c r="AJ554" s="16">
        <v>120</v>
      </c>
      <c r="AK554" s="16">
        <v>730</v>
      </c>
      <c r="AL554" s="16">
        <v>1824</v>
      </c>
      <c r="AM554" s="16"/>
      <c r="AN554" s="16"/>
      <c r="AO554" s="15">
        <v>424</v>
      </c>
      <c r="AP554" s="15">
        <v>1060</v>
      </c>
      <c r="AQ554" s="15"/>
      <c r="AR554" s="15"/>
      <c r="AS554" s="15"/>
      <c r="AT554" s="15"/>
      <c r="AU554" s="15"/>
      <c r="AV554" s="15"/>
      <c r="AW554" s="15"/>
      <c r="AX554" s="15"/>
      <c r="AY554" s="27">
        <f t="shared" si="29"/>
        <v>1980</v>
      </c>
      <c r="AZ554" s="27">
        <f t="shared" si="30"/>
        <v>4943</v>
      </c>
    </row>
    <row r="555" spans="1:52" x14ac:dyDescent="0.25">
      <c r="A555" s="13">
        <v>919</v>
      </c>
      <c r="B555" s="19" t="s">
        <v>1168</v>
      </c>
      <c r="C555" s="26" t="s">
        <v>1169</v>
      </c>
      <c r="D555" s="19" t="s">
        <v>45</v>
      </c>
      <c r="E555" s="16"/>
      <c r="F555" s="16"/>
      <c r="G555" s="16"/>
      <c r="H555" s="16"/>
      <c r="I555" s="16">
        <v>62</v>
      </c>
      <c r="J555" s="16">
        <v>152</v>
      </c>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v>20</v>
      </c>
      <c r="AL555" s="16">
        <v>48</v>
      </c>
      <c r="AM555" s="16"/>
      <c r="AN555" s="16"/>
      <c r="AO555" s="15"/>
      <c r="AP555" s="15"/>
      <c r="AQ555" s="15"/>
      <c r="AR555" s="15"/>
      <c r="AS555" s="15"/>
      <c r="AT555" s="15"/>
      <c r="AU555" s="15"/>
      <c r="AV555" s="15"/>
      <c r="AW555" s="15"/>
      <c r="AX555" s="15"/>
      <c r="AY555" s="27">
        <f t="shared" si="29"/>
        <v>82</v>
      </c>
      <c r="AZ555" s="27">
        <f t="shared" si="30"/>
        <v>200</v>
      </c>
    </row>
    <row r="556" spans="1:52" x14ac:dyDescent="0.25">
      <c r="A556" s="13">
        <v>923</v>
      </c>
      <c r="B556" s="19" t="s">
        <v>1170</v>
      </c>
      <c r="C556" s="26" t="s">
        <v>1171</v>
      </c>
      <c r="D556" s="19" t="s">
        <v>1286</v>
      </c>
      <c r="E556" s="16"/>
      <c r="F556" s="16"/>
      <c r="G556" s="16"/>
      <c r="H556" s="16"/>
      <c r="I556" s="16"/>
      <c r="J556" s="16"/>
      <c r="K556" s="16"/>
      <c r="L556" s="16"/>
      <c r="M556" s="16"/>
      <c r="N556" s="16"/>
      <c r="O556" s="16">
        <v>188</v>
      </c>
      <c r="P556" s="16">
        <v>468</v>
      </c>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5">
        <v>1040</v>
      </c>
      <c r="AP556" s="15">
        <v>2600</v>
      </c>
      <c r="AQ556" s="15"/>
      <c r="AR556" s="15"/>
      <c r="AS556" s="15"/>
      <c r="AT556" s="15"/>
      <c r="AU556" s="15"/>
      <c r="AV556" s="15"/>
      <c r="AW556" s="15"/>
      <c r="AX556" s="15"/>
      <c r="AY556" s="27">
        <f t="shared" si="29"/>
        <v>1228</v>
      </c>
      <c r="AZ556" s="27">
        <f t="shared" si="30"/>
        <v>3068</v>
      </c>
    </row>
    <row r="557" spans="1:52" x14ac:dyDescent="0.25">
      <c r="A557" s="13">
        <v>924</v>
      </c>
      <c r="B557" s="19" t="s">
        <v>1172</v>
      </c>
      <c r="C557" s="26" t="s">
        <v>1173</v>
      </c>
      <c r="D557" s="19" t="s">
        <v>1286</v>
      </c>
      <c r="E557" s="16"/>
      <c r="F557" s="16"/>
      <c r="G557" s="16"/>
      <c r="H557" s="16"/>
      <c r="I557" s="16"/>
      <c r="J557" s="16"/>
      <c r="K557" s="16"/>
      <c r="L557" s="16"/>
      <c r="M557" s="16"/>
      <c r="N557" s="16"/>
      <c r="O557" s="16">
        <v>376</v>
      </c>
      <c r="P557" s="16">
        <v>936</v>
      </c>
      <c r="Q557" s="16"/>
      <c r="R557" s="16"/>
      <c r="S557" s="16"/>
      <c r="T557" s="16"/>
      <c r="U557" s="16"/>
      <c r="V557" s="16"/>
      <c r="W557" s="16"/>
      <c r="X557" s="16"/>
      <c r="Y557" s="16"/>
      <c r="Z557" s="16"/>
      <c r="AA557" s="16"/>
      <c r="AB557" s="16"/>
      <c r="AC557" s="16">
        <v>200</v>
      </c>
      <c r="AD557" s="16">
        <v>500</v>
      </c>
      <c r="AE557" s="16"/>
      <c r="AF557" s="16"/>
      <c r="AG557" s="16"/>
      <c r="AH557" s="16"/>
      <c r="AI557" s="16">
        <v>120</v>
      </c>
      <c r="AJ557" s="16">
        <v>300</v>
      </c>
      <c r="AK557" s="16"/>
      <c r="AL557" s="16"/>
      <c r="AM557" s="16"/>
      <c r="AN557" s="16"/>
      <c r="AO557" s="15">
        <v>840</v>
      </c>
      <c r="AP557" s="15">
        <v>2100</v>
      </c>
      <c r="AQ557" s="15"/>
      <c r="AR557" s="15"/>
      <c r="AS557" s="15"/>
      <c r="AT557" s="15"/>
      <c r="AU557" s="15"/>
      <c r="AV557" s="15"/>
      <c r="AW557" s="15"/>
      <c r="AX557" s="15"/>
      <c r="AY557" s="27">
        <f t="shared" si="29"/>
        <v>1536</v>
      </c>
      <c r="AZ557" s="27">
        <f t="shared" si="30"/>
        <v>3836</v>
      </c>
    </row>
    <row r="558" spans="1:52" x14ac:dyDescent="0.25">
      <c r="A558" s="13">
        <v>930</v>
      </c>
      <c r="B558" s="19" t="s">
        <v>1174</v>
      </c>
      <c r="C558" s="26" t="s">
        <v>1175</v>
      </c>
      <c r="D558" s="19" t="s">
        <v>42</v>
      </c>
      <c r="E558" s="16">
        <v>384</v>
      </c>
      <c r="F558" s="16">
        <v>960</v>
      </c>
      <c r="G558" s="16">
        <v>800</v>
      </c>
      <c r="H558" s="16">
        <v>2000</v>
      </c>
      <c r="I558" s="16"/>
      <c r="J558" s="16"/>
      <c r="K558" s="16"/>
      <c r="L558" s="16"/>
      <c r="M558" s="16">
        <v>1690</v>
      </c>
      <c r="N558" s="16">
        <v>4219</v>
      </c>
      <c r="O558" s="16">
        <v>2800</v>
      </c>
      <c r="P558" s="16">
        <v>7000</v>
      </c>
      <c r="Q558" s="16">
        <v>24</v>
      </c>
      <c r="R558" s="16">
        <v>60</v>
      </c>
      <c r="S558" s="16"/>
      <c r="T558" s="16"/>
      <c r="U558" s="16"/>
      <c r="V558" s="16"/>
      <c r="W558" s="16"/>
      <c r="X558" s="16"/>
      <c r="Y558" s="16">
        <v>16</v>
      </c>
      <c r="Z558" s="16">
        <v>38</v>
      </c>
      <c r="AA558" s="16">
        <v>27</v>
      </c>
      <c r="AB558" s="16">
        <v>65</v>
      </c>
      <c r="AC558" s="16">
        <v>2</v>
      </c>
      <c r="AD558" s="16">
        <v>3</v>
      </c>
      <c r="AE558" s="16"/>
      <c r="AF558" s="16"/>
      <c r="AG558" s="16"/>
      <c r="AH558" s="16"/>
      <c r="AI558" s="16"/>
      <c r="AJ558" s="16"/>
      <c r="AK558" s="16"/>
      <c r="AL558" s="16"/>
      <c r="AM558" s="16"/>
      <c r="AN558" s="16"/>
      <c r="AO558" s="15"/>
      <c r="AP558" s="15"/>
      <c r="AQ558" s="15"/>
      <c r="AR558" s="15"/>
      <c r="AS558" s="15"/>
      <c r="AT558" s="15"/>
      <c r="AU558" s="15"/>
      <c r="AV558" s="15"/>
      <c r="AW558" s="15"/>
      <c r="AX558" s="15"/>
      <c r="AY558" s="27">
        <f t="shared" si="29"/>
        <v>5743</v>
      </c>
      <c r="AZ558" s="27">
        <f t="shared" si="30"/>
        <v>14345</v>
      </c>
    </row>
    <row r="559" spans="1:52" x14ac:dyDescent="0.25">
      <c r="A559" s="13">
        <v>931</v>
      </c>
      <c r="B559" s="19" t="s">
        <v>1176</v>
      </c>
      <c r="C559" s="26" t="s">
        <v>1177</v>
      </c>
      <c r="D559" s="19" t="s">
        <v>42</v>
      </c>
      <c r="E559" s="16">
        <v>300</v>
      </c>
      <c r="F559" s="16">
        <v>750</v>
      </c>
      <c r="G559" s="16">
        <v>1120</v>
      </c>
      <c r="H559" s="16">
        <v>2800</v>
      </c>
      <c r="I559" s="16"/>
      <c r="J559" s="16"/>
      <c r="K559" s="16">
        <v>112</v>
      </c>
      <c r="L559" s="16">
        <v>280</v>
      </c>
      <c r="M559" s="16">
        <v>7066</v>
      </c>
      <c r="N559" s="16">
        <v>17664</v>
      </c>
      <c r="O559" s="16"/>
      <c r="P559" s="16"/>
      <c r="Q559" s="16"/>
      <c r="R559" s="16"/>
      <c r="S559" s="16"/>
      <c r="T559" s="16"/>
      <c r="U559" s="16"/>
      <c r="V559" s="16"/>
      <c r="W559" s="16"/>
      <c r="X559" s="16"/>
      <c r="Y559" s="16">
        <v>16</v>
      </c>
      <c r="Z559" s="16">
        <v>38</v>
      </c>
      <c r="AA559" s="16"/>
      <c r="AB559" s="16"/>
      <c r="AC559" s="16">
        <v>2</v>
      </c>
      <c r="AD559" s="16">
        <v>3</v>
      </c>
      <c r="AE559" s="16"/>
      <c r="AF559" s="16"/>
      <c r="AG559" s="16"/>
      <c r="AH559" s="16"/>
      <c r="AI559" s="16"/>
      <c r="AJ559" s="16"/>
      <c r="AK559" s="16"/>
      <c r="AL559" s="16"/>
      <c r="AM559" s="16"/>
      <c r="AN559" s="16"/>
      <c r="AO559" s="15">
        <v>3700</v>
      </c>
      <c r="AP559" s="15">
        <v>9250</v>
      </c>
      <c r="AQ559" s="15">
        <v>1116</v>
      </c>
      <c r="AR559" s="15">
        <v>2790</v>
      </c>
      <c r="AS559" s="15"/>
      <c r="AT559" s="15"/>
      <c r="AU559" s="15"/>
      <c r="AV559" s="15"/>
      <c r="AW559" s="15"/>
      <c r="AX559" s="15"/>
      <c r="AY559" s="27">
        <f t="shared" si="29"/>
        <v>13432</v>
      </c>
      <c r="AZ559" s="27">
        <f t="shared" si="30"/>
        <v>33575</v>
      </c>
    </row>
    <row r="560" spans="1:52" x14ac:dyDescent="0.25">
      <c r="A560" s="13">
        <v>933</v>
      </c>
      <c r="B560" s="19" t="s">
        <v>1178</v>
      </c>
      <c r="C560" s="26" t="s">
        <v>1179</v>
      </c>
      <c r="D560" s="19" t="s">
        <v>43</v>
      </c>
      <c r="E560" s="16"/>
      <c r="F560" s="16"/>
      <c r="G560" s="16"/>
      <c r="H560" s="16"/>
      <c r="I560" s="16"/>
      <c r="J560" s="16"/>
      <c r="K560" s="16"/>
      <c r="L560" s="16"/>
      <c r="M560" s="16"/>
      <c r="N560" s="16"/>
      <c r="O560" s="16"/>
      <c r="P560" s="16"/>
      <c r="Q560" s="16">
        <v>6</v>
      </c>
      <c r="R560" s="16">
        <v>14</v>
      </c>
      <c r="S560" s="16"/>
      <c r="T560" s="16"/>
      <c r="U560" s="16"/>
      <c r="V560" s="16"/>
      <c r="W560" s="16">
        <v>216</v>
      </c>
      <c r="X560" s="16">
        <v>540</v>
      </c>
      <c r="Y560" s="16"/>
      <c r="Z560" s="16"/>
      <c r="AA560" s="16"/>
      <c r="AB560" s="16"/>
      <c r="AC560" s="16"/>
      <c r="AD560" s="16"/>
      <c r="AE560" s="16">
        <v>24</v>
      </c>
      <c r="AF560" s="16">
        <v>60</v>
      </c>
      <c r="AG560" s="16"/>
      <c r="AH560" s="16"/>
      <c r="AI560" s="16"/>
      <c r="AJ560" s="16"/>
      <c r="AK560" s="16"/>
      <c r="AL560" s="16"/>
      <c r="AM560" s="16"/>
      <c r="AN560" s="16"/>
      <c r="AO560" s="15"/>
      <c r="AP560" s="15"/>
      <c r="AQ560" s="15"/>
      <c r="AR560" s="15"/>
      <c r="AS560" s="15"/>
      <c r="AT560" s="15"/>
      <c r="AU560" s="15"/>
      <c r="AV560" s="15"/>
      <c r="AW560" s="15"/>
      <c r="AX560" s="15"/>
      <c r="AY560" s="27">
        <f t="shared" si="29"/>
        <v>246</v>
      </c>
      <c r="AZ560" s="27">
        <f t="shared" si="30"/>
        <v>614</v>
      </c>
    </row>
    <row r="561" spans="1:52" x14ac:dyDescent="0.25">
      <c r="A561" s="13">
        <v>934</v>
      </c>
      <c r="B561" s="19" t="s">
        <v>1180</v>
      </c>
      <c r="C561" s="26" t="s">
        <v>1181</v>
      </c>
      <c r="D561" s="19" t="s">
        <v>42</v>
      </c>
      <c r="E561" s="16">
        <v>10</v>
      </c>
      <c r="F561" s="16">
        <v>24</v>
      </c>
      <c r="G561" s="16">
        <v>32</v>
      </c>
      <c r="H561" s="16">
        <v>80</v>
      </c>
      <c r="I561" s="16">
        <v>116</v>
      </c>
      <c r="J561" s="16">
        <v>288</v>
      </c>
      <c r="K561" s="16">
        <v>364</v>
      </c>
      <c r="L561" s="16">
        <v>910</v>
      </c>
      <c r="M561" s="16">
        <v>1703</v>
      </c>
      <c r="N561" s="16">
        <v>4257</v>
      </c>
      <c r="O561" s="16">
        <v>6</v>
      </c>
      <c r="P561" s="16">
        <v>9</v>
      </c>
      <c r="Q561" s="16">
        <v>8</v>
      </c>
      <c r="R561" s="16">
        <v>18</v>
      </c>
      <c r="S561" s="16">
        <v>20</v>
      </c>
      <c r="T561" s="16">
        <v>48</v>
      </c>
      <c r="U561" s="16">
        <v>36</v>
      </c>
      <c r="V561" s="16">
        <v>90</v>
      </c>
      <c r="W561" s="16">
        <v>72</v>
      </c>
      <c r="X561" s="16">
        <v>180</v>
      </c>
      <c r="Y561" s="16"/>
      <c r="Z561" s="16"/>
      <c r="AA561" s="16">
        <v>17</v>
      </c>
      <c r="AB561" s="16">
        <v>36</v>
      </c>
      <c r="AC561" s="16">
        <v>54</v>
      </c>
      <c r="AD561" s="16">
        <v>132</v>
      </c>
      <c r="AE561" s="16">
        <v>6</v>
      </c>
      <c r="AF561" s="16">
        <v>13</v>
      </c>
      <c r="AG561" s="16">
        <v>32</v>
      </c>
      <c r="AH561" s="16">
        <v>80</v>
      </c>
      <c r="AI561" s="16">
        <v>2</v>
      </c>
      <c r="AJ561" s="16">
        <v>4</v>
      </c>
      <c r="AK561" s="16">
        <v>8</v>
      </c>
      <c r="AL561" s="16">
        <v>20</v>
      </c>
      <c r="AM561" s="16"/>
      <c r="AN561" s="16"/>
      <c r="AO561" s="15"/>
      <c r="AP561" s="15"/>
      <c r="AQ561" s="15">
        <v>53</v>
      </c>
      <c r="AR561" s="15">
        <v>131</v>
      </c>
      <c r="AS561" s="15"/>
      <c r="AT561" s="15"/>
      <c r="AU561" s="15"/>
      <c r="AV561" s="15"/>
      <c r="AW561" s="15">
        <v>18</v>
      </c>
      <c r="AX561" s="15">
        <v>42</v>
      </c>
      <c r="AY561" s="27">
        <f t="shared" si="29"/>
        <v>2557</v>
      </c>
      <c r="AZ561" s="27">
        <f t="shared" si="30"/>
        <v>6362</v>
      </c>
    </row>
    <row r="562" spans="1:52" x14ac:dyDescent="0.25">
      <c r="A562" s="13">
        <v>935</v>
      </c>
      <c r="B562" s="19" t="s">
        <v>1182</v>
      </c>
      <c r="C562" s="26" t="s">
        <v>1183</v>
      </c>
      <c r="D562" s="19" t="s">
        <v>42</v>
      </c>
      <c r="E562" s="16"/>
      <c r="F562" s="16"/>
      <c r="G562" s="16">
        <v>14</v>
      </c>
      <c r="H562" s="16">
        <v>30</v>
      </c>
      <c r="I562" s="16">
        <v>30</v>
      </c>
      <c r="J562" s="16">
        <v>72</v>
      </c>
      <c r="K562" s="16">
        <v>114</v>
      </c>
      <c r="L562" s="16">
        <v>284</v>
      </c>
      <c r="M562" s="16">
        <v>148</v>
      </c>
      <c r="N562" s="16">
        <v>368</v>
      </c>
      <c r="O562" s="16">
        <v>7</v>
      </c>
      <c r="P562" s="16">
        <v>11</v>
      </c>
      <c r="Q562" s="16">
        <v>8</v>
      </c>
      <c r="R562" s="16">
        <v>18</v>
      </c>
      <c r="S562" s="16">
        <v>2</v>
      </c>
      <c r="T562" s="16">
        <v>4</v>
      </c>
      <c r="U562" s="16">
        <v>26</v>
      </c>
      <c r="V562" s="16">
        <v>63</v>
      </c>
      <c r="W562" s="16">
        <v>22</v>
      </c>
      <c r="X562" s="16">
        <v>54</v>
      </c>
      <c r="Y562" s="16">
        <v>4</v>
      </c>
      <c r="Z562" s="16">
        <v>8</v>
      </c>
      <c r="AA562" s="16">
        <v>4</v>
      </c>
      <c r="AB562" s="16">
        <v>6</v>
      </c>
      <c r="AC562" s="16">
        <v>58</v>
      </c>
      <c r="AD562" s="16">
        <v>143</v>
      </c>
      <c r="AE562" s="16">
        <v>11</v>
      </c>
      <c r="AF562" s="16">
        <v>25</v>
      </c>
      <c r="AG562" s="16"/>
      <c r="AH562" s="16"/>
      <c r="AI562" s="16">
        <v>14</v>
      </c>
      <c r="AJ562" s="16">
        <v>34</v>
      </c>
      <c r="AK562" s="16">
        <v>8</v>
      </c>
      <c r="AL562" s="16">
        <v>18</v>
      </c>
      <c r="AM562" s="16">
        <v>48</v>
      </c>
      <c r="AN562" s="16">
        <v>120</v>
      </c>
      <c r="AO562" s="15">
        <v>12</v>
      </c>
      <c r="AP562" s="15">
        <v>29</v>
      </c>
      <c r="AQ562" s="15">
        <v>4</v>
      </c>
      <c r="AR562" s="15">
        <v>10</v>
      </c>
      <c r="AS562" s="15">
        <v>18</v>
      </c>
      <c r="AT562" s="15">
        <v>45</v>
      </c>
      <c r="AU562" s="15">
        <v>10</v>
      </c>
      <c r="AV562" s="15">
        <v>22</v>
      </c>
      <c r="AW562" s="15">
        <v>2</v>
      </c>
      <c r="AX562" s="15">
        <v>4</v>
      </c>
      <c r="AY562" s="27">
        <f t="shared" si="29"/>
        <v>564</v>
      </c>
      <c r="AZ562" s="27">
        <f t="shared" si="30"/>
        <v>1368</v>
      </c>
    </row>
    <row r="563" spans="1:52" x14ac:dyDescent="0.25">
      <c r="A563" s="13">
        <v>936</v>
      </c>
      <c r="B563" s="19" t="s">
        <v>1184</v>
      </c>
      <c r="C563" s="26" t="s">
        <v>1185</v>
      </c>
      <c r="D563" s="19" t="s">
        <v>42</v>
      </c>
      <c r="E563" s="16">
        <v>172</v>
      </c>
      <c r="F563" s="16">
        <v>430</v>
      </c>
      <c r="G563" s="16">
        <v>16</v>
      </c>
      <c r="H563" s="16">
        <v>36</v>
      </c>
      <c r="I563" s="16">
        <v>480</v>
      </c>
      <c r="J563" s="16">
        <v>1200</v>
      </c>
      <c r="K563" s="16">
        <v>88</v>
      </c>
      <c r="L563" s="16">
        <v>216</v>
      </c>
      <c r="M563" s="16">
        <v>893</v>
      </c>
      <c r="N563" s="16">
        <v>2232</v>
      </c>
      <c r="O563" s="16">
        <v>104</v>
      </c>
      <c r="P563" s="16">
        <v>257</v>
      </c>
      <c r="Q563" s="16"/>
      <c r="R563" s="16"/>
      <c r="S563" s="16">
        <v>20</v>
      </c>
      <c r="T563" s="16">
        <v>48</v>
      </c>
      <c r="U563" s="16">
        <v>143</v>
      </c>
      <c r="V563" s="16">
        <v>355</v>
      </c>
      <c r="W563" s="16"/>
      <c r="X563" s="16"/>
      <c r="Y563" s="16">
        <v>64</v>
      </c>
      <c r="Z563" s="16">
        <v>160</v>
      </c>
      <c r="AA563" s="16">
        <v>6</v>
      </c>
      <c r="AB563" s="16">
        <v>12</v>
      </c>
      <c r="AC563" s="16">
        <v>572</v>
      </c>
      <c r="AD563" s="16">
        <v>1430</v>
      </c>
      <c r="AE563" s="16">
        <v>48</v>
      </c>
      <c r="AF563" s="16">
        <v>120</v>
      </c>
      <c r="AG563" s="16">
        <v>272</v>
      </c>
      <c r="AH563" s="16">
        <v>680</v>
      </c>
      <c r="AI563" s="16">
        <v>1888</v>
      </c>
      <c r="AJ563" s="16">
        <v>4720</v>
      </c>
      <c r="AK563" s="16">
        <v>44</v>
      </c>
      <c r="AL563" s="16">
        <v>110</v>
      </c>
      <c r="AM563" s="16">
        <v>14400</v>
      </c>
      <c r="AN563" s="16">
        <v>36000</v>
      </c>
      <c r="AO563" s="15">
        <v>160</v>
      </c>
      <c r="AP563" s="15">
        <v>400</v>
      </c>
      <c r="AQ563" s="15"/>
      <c r="AR563" s="15"/>
      <c r="AS563" s="15"/>
      <c r="AT563" s="15"/>
      <c r="AU563" s="15"/>
      <c r="AV563" s="15"/>
      <c r="AW563" s="15"/>
      <c r="AX563" s="15"/>
      <c r="AY563" s="27">
        <f t="shared" si="29"/>
        <v>19370</v>
      </c>
      <c r="AZ563" s="27">
        <f t="shared" si="30"/>
        <v>48406</v>
      </c>
    </row>
    <row r="564" spans="1:52" x14ac:dyDescent="0.25">
      <c r="A564" s="13">
        <v>937</v>
      </c>
      <c r="B564" s="19" t="s">
        <v>1186</v>
      </c>
      <c r="C564" s="26" t="s">
        <v>1187</v>
      </c>
      <c r="D564" s="19" t="s">
        <v>42</v>
      </c>
      <c r="E564" s="16">
        <v>800</v>
      </c>
      <c r="F564" s="16">
        <v>2000</v>
      </c>
      <c r="G564" s="16">
        <v>160</v>
      </c>
      <c r="H564" s="16">
        <v>400</v>
      </c>
      <c r="I564" s="16">
        <v>1440</v>
      </c>
      <c r="J564" s="16">
        <v>3600</v>
      </c>
      <c r="K564" s="16">
        <v>3474</v>
      </c>
      <c r="L564" s="16">
        <v>8684</v>
      </c>
      <c r="M564" s="16">
        <v>4065</v>
      </c>
      <c r="N564" s="16">
        <v>10158</v>
      </c>
      <c r="O564" s="16">
        <v>215</v>
      </c>
      <c r="P564" s="16">
        <v>533</v>
      </c>
      <c r="Q564" s="16">
        <v>64</v>
      </c>
      <c r="R564" s="16">
        <v>160</v>
      </c>
      <c r="S564" s="16">
        <v>72</v>
      </c>
      <c r="T564" s="16">
        <v>180</v>
      </c>
      <c r="U564" s="16">
        <v>224</v>
      </c>
      <c r="V564" s="16">
        <v>558</v>
      </c>
      <c r="W564" s="16">
        <v>1112</v>
      </c>
      <c r="X564" s="16">
        <v>2780</v>
      </c>
      <c r="Y564" s="16">
        <v>276</v>
      </c>
      <c r="Z564" s="16">
        <v>688</v>
      </c>
      <c r="AA564" s="16">
        <v>20</v>
      </c>
      <c r="AB564" s="16">
        <v>50</v>
      </c>
      <c r="AC564" s="16">
        <v>572</v>
      </c>
      <c r="AD564" s="16">
        <v>1430</v>
      </c>
      <c r="AE564" s="16">
        <v>192</v>
      </c>
      <c r="AF564" s="16">
        <v>480</v>
      </c>
      <c r="AG564" s="16">
        <v>20</v>
      </c>
      <c r="AH564" s="16">
        <v>48</v>
      </c>
      <c r="AI564" s="16">
        <v>3392</v>
      </c>
      <c r="AJ564" s="16">
        <v>8480</v>
      </c>
      <c r="AK564" s="16">
        <v>860</v>
      </c>
      <c r="AL564" s="16">
        <v>2150</v>
      </c>
      <c r="AM564" s="16">
        <v>96</v>
      </c>
      <c r="AN564" s="16">
        <v>240</v>
      </c>
      <c r="AO564" s="15">
        <v>722</v>
      </c>
      <c r="AP564" s="15">
        <v>1802</v>
      </c>
      <c r="AQ564" s="15">
        <v>126</v>
      </c>
      <c r="AR564" s="15">
        <v>315</v>
      </c>
      <c r="AS564" s="15"/>
      <c r="AT564" s="15"/>
      <c r="AU564" s="15"/>
      <c r="AV564" s="15"/>
      <c r="AW564" s="15">
        <v>24</v>
      </c>
      <c r="AX564" s="15">
        <v>60</v>
      </c>
      <c r="AY564" s="27">
        <f t="shared" si="29"/>
        <v>17926</v>
      </c>
      <c r="AZ564" s="27">
        <f t="shared" si="30"/>
        <v>44796</v>
      </c>
    </row>
    <row r="565" spans="1:52" x14ac:dyDescent="0.25">
      <c r="A565" s="13">
        <v>938</v>
      </c>
      <c r="B565" s="19" t="s">
        <v>1188</v>
      </c>
      <c r="C565" s="26" t="s">
        <v>1189</v>
      </c>
      <c r="D565" s="19" t="s">
        <v>42</v>
      </c>
      <c r="E565" s="16">
        <v>884</v>
      </c>
      <c r="F565" s="16">
        <v>2210</v>
      </c>
      <c r="G565" s="16">
        <v>290</v>
      </c>
      <c r="H565" s="16">
        <v>724</v>
      </c>
      <c r="I565" s="16">
        <v>11200</v>
      </c>
      <c r="J565" s="16">
        <v>28000</v>
      </c>
      <c r="K565" s="16">
        <v>8939</v>
      </c>
      <c r="L565" s="16">
        <v>22347</v>
      </c>
      <c r="M565" s="16">
        <v>14949</v>
      </c>
      <c r="N565" s="16">
        <v>37370</v>
      </c>
      <c r="O565" s="16">
        <v>2002</v>
      </c>
      <c r="P565" s="16">
        <v>4997</v>
      </c>
      <c r="Q565" s="16">
        <v>408</v>
      </c>
      <c r="R565" s="16">
        <v>1016</v>
      </c>
      <c r="S565" s="16">
        <v>368</v>
      </c>
      <c r="T565" s="16">
        <v>920</v>
      </c>
      <c r="U565" s="16">
        <v>1569</v>
      </c>
      <c r="V565" s="16">
        <v>3920</v>
      </c>
      <c r="W565" s="16">
        <v>2640</v>
      </c>
      <c r="X565" s="16">
        <v>6600</v>
      </c>
      <c r="Y565" s="16">
        <v>864</v>
      </c>
      <c r="Z565" s="16">
        <v>2160</v>
      </c>
      <c r="AA565" s="16">
        <v>44</v>
      </c>
      <c r="AB565" s="16">
        <v>110</v>
      </c>
      <c r="AC565" s="16">
        <v>5720</v>
      </c>
      <c r="AD565" s="16">
        <v>14300</v>
      </c>
      <c r="AE565" s="16">
        <v>6720</v>
      </c>
      <c r="AF565" s="16">
        <v>16800</v>
      </c>
      <c r="AG565" s="16">
        <v>3200</v>
      </c>
      <c r="AH565" s="16">
        <v>8000</v>
      </c>
      <c r="AI565" s="16">
        <v>4000</v>
      </c>
      <c r="AJ565" s="16">
        <v>10000</v>
      </c>
      <c r="AK565" s="16">
        <v>44</v>
      </c>
      <c r="AL565" s="16">
        <v>108</v>
      </c>
      <c r="AM565" s="16">
        <v>3552</v>
      </c>
      <c r="AN565" s="16">
        <v>8880</v>
      </c>
      <c r="AO565" s="15">
        <v>1440</v>
      </c>
      <c r="AP565" s="15">
        <v>3600</v>
      </c>
      <c r="AQ565" s="15">
        <v>237</v>
      </c>
      <c r="AR565" s="15">
        <v>591</v>
      </c>
      <c r="AS565" s="15"/>
      <c r="AT565" s="15"/>
      <c r="AU565" s="15">
        <v>800</v>
      </c>
      <c r="AV565" s="15">
        <v>2000</v>
      </c>
      <c r="AW565" s="15">
        <v>160</v>
      </c>
      <c r="AX565" s="15">
        <v>400</v>
      </c>
      <c r="AY565" s="27">
        <f t="shared" si="29"/>
        <v>70030</v>
      </c>
      <c r="AZ565" s="27">
        <f t="shared" si="30"/>
        <v>175053</v>
      </c>
    </row>
    <row r="566" spans="1:52" x14ac:dyDescent="0.25">
      <c r="A566" s="13">
        <v>939</v>
      </c>
      <c r="B566" s="19" t="s">
        <v>1190</v>
      </c>
      <c r="C566" s="26" t="s">
        <v>1191</v>
      </c>
      <c r="D566" s="19" t="s">
        <v>42</v>
      </c>
      <c r="E566" s="16">
        <v>6</v>
      </c>
      <c r="F566" s="16">
        <v>12</v>
      </c>
      <c r="G566" s="16">
        <v>30</v>
      </c>
      <c r="H566" s="16">
        <v>72</v>
      </c>
      <c r="I566" s="16">
        <v>40</v>
      </c>
      <c r="J566" s="16">
        <v>96</v>
      </c>
      <c r="K566" s="16">
        <v>844</v>
      </c>
      <c r="L566" s="16">
        <v>2110</v>
      </c>
      <c r="M566" s="16">
        <v>92</v>
      </c>
      <c r="N566" s="16">
        <v>228</v>
      </c>
      <c r="O566" s="16">
        <v>94</v>
      </c>
      <c r="P566" s="16">
        <v>232</v>
      </c>
      <c r="Q566" s="16">
        <v>16</v>
      </c>
      <c r="R566" s="16">
        <v>38</v>
      </c>
      <c r="S566" s="16">
        <v>4</v>
      </c>
      <c r="T566" s="16">
        <v>6</v>
      </c>
      <c r="U566" s="16">
        <v>246</v>
      </c>
      <c r="V566" s="16">
        <v>612</v>
      </c>
      <c r="W566" s="16">
        <v>36</v>
      </c>
      <c r="X566" s="16">
        <v>90</v>
      </c>
      <c r="Y566" s="16">
        <v>26</v>
      </c>
      <c r="Z566" s="16">
        <v>64</v>
      </c>
      <c r="AA566" s="16">
        <v>4</v>
      </c>
      <c r="AB566" s="16">
        <v>6</v>
      </c>
      <c r="AC566" s="16">
        <v>30</v>
      </c>
      <c r="AD566" s="16">
        <v>72</v>
      </c>
      <c r="AE566" s="16">
        <v>11</v>
      </c>
      <c r="AF566" s="16">
        <v>25</v>
      </c>
      <c r="AG566" s="16">
        <v>72</v>
      </c>
      <c r="AH566" s="16">
        <v>180</v>
      </c>
      <c r="AI566" s="16">
        <v>56</v>
      </c>
      <c r="AJ566" s="16">
        <v>140</v>
      </c>
      <c r="AK566" s="16">
        <v>16</v>
      </c>
      <c r="AL566" s="16">
        <v>40</v>
      </c>
      <c r="AM566" s="16">
        <v>192</v>
      </c>
      <c r="AN566" s="16">
        <v>480</v>
      </c>
      <c r="AO566" s="15">
        <v>10</v>
      </c>
      <c r="AP566" s="15">
        <v>24</v>
      </c>
      <c r="AQ566" s="15">
        <v>4</v>
      </c>
      <c r="AR566" s="15">
        <v>10</v>
      </c>
      <c r="AS566" s="15"/>
      <c r="AT566" s="15"/>
      <c r="AU566" s="15">
        <v>2</v>
      </c>
      <c r="AV566" s="15">
        <v>4</v>
      </c>
      <c r="AW566" s="15">
        <v>12</v>
      </c>
      <c r="AX566" s="15">
        <v>26</v>
      </c>
      <c r="AY566" s="27">
        <f t="shared" si="29"/>
        <v>1843</v>
      </c>
      <c r="AZ566" s="27">
        <f t="shared" si="30"/>
        <v>4567</v>
      </c>
    </row>
    <row r="567" spans="1:52" x14ac:dyDescent="0.25">
      <c r="A567" s="13">
        <v>940</v>
      </c>
      <c r="B567" s="19" t="s">
        <v>1192</v>
      </c>
      <c r="C567" s="26" t="s">
        <v>1193</v>
      </c>
      <c r="D567" s="19" t="s">
        <v>42</v>
      </c>
      <c r="E567" s="16">
        <v>10</v>
      </c>
      <c r="F567" s="16">
        <v>24</v>
      </c>
      <c r="G567" s="16"/>
      <c r="H567" s="16"/>
      <c r="I567" s="16">
        <v>192</v>
      </c>
      <c r="J567" s="16">
        <v>480</v>
      </c>
      <c r="K567" s="16">
        <v>900</v>
      </c>
      <c r="L567" s="16">
        <v>2250</v>
      </c>
      <c r="M567" s="16">
        <v>358</v>
      </c>
      <c r="N567" s="16">
        <v>894</v>
      </c>
      <c r="O567" s="16">
        <v>57</v>
      </c>
      <c r="P567" s="16">
        <v>140</v>
      </c>
      <c r="Q567" s="16">
        <v>86</v>
      </c>
      <c r="R567" s="16">
        <v>212</v>
      </c>
      <c r="S567" s="16"/>
      <c r="T567" s="16"/>
      <c r="U567" s="16"/>
      <c r="V567" s="16"/>
      <c r="W567" s="16"/>
      <c r="X567" s="16"/>
      <c r="Y567" s="16"/>
      <c r="Z567" s="16"/>
      <c r="AA567" s="16"/>
      <c r="AB567" s="16"/>
      <c r="AC567" s="16">
        <v>187</v>
      </c>
      <c r="AD567" s="16">
        <v>464</v>
      </c>
      <c r="AE567" s="16">
        <v>20</v>
      </c>
      <c r="AF567" s="16">
        <v>49</v>
      </c>
      <c r="AG567" s="16"/>
      <c r="AH567" s="16"/>
      <c r="AI567" s="16">
        <v>24</v>
      </c>
      <c r="AJ567" s="16">
        <v>60</v>
      </c>
      <c r="AK567" s="16">
        <v>4</v>
      </c>
      <c r="AL567" s="16">
        <v>8</v>
      </c>
      <c r="AM567" s="16">
        <v>1920</v>
      </c>
      <c r="AN567" s="16">
        <v>4800</v>
      </c>
      <c r="AO567" s="15">
        <v>16</v>
      </c>
      <c r="AP567" s="15">
        <v>40</v>
      </c>
      <c r="AQ567" s="15"/>
      <c r="AR567" s="15"/>
      <c r="AS567" s="15"/>
      <c r="AT567" s="15"/>
      <c r="AU567" s="15"/>
      <c r="AV567" s="15"/>
      <c r="AW567" s="15"/>
      <c r="AX567" s="15"/>
      <c r="AY567" s="27">
        <f t="shared" si="29"/>
        <v>3774</v>
      </c>
      <c r="AZ567" s="27">
        <f t="shared" si="30"/>
        <v>9421</v>
      </c>
    </row>
    <row r="568" spans="1:52" x14ac:dyDescent="0.25">
      <c r="A568" s="13">
        <v>941</v>
      </c>
      <c r="B568" s="19" t="s">
        <v>1194</v>
      </c>
      <c r="C568" s="26" t="s">
        <v>1195</v>
      </c>
      <c r="D568" s="19" t="s">
        <v>42</v>
      </c>
      <c r="E568" s="16">
        <v>6</v>
      </c>
      <c r="F568" s="16">
        <v>12</v>
      </c>
      <c r="G568" s="16">
        <v>14</v>
      </c>
      <c r="H568" s="16">
        <v>32</v>
      </c>
      <c r="I568" s="16"/>
      <c r="J568" s="16"/>
      <c r="K568" s="16">
        <v>44</v>
      </c>
      <c r="L568" s="16">
        <v>106</v>
      </c>
      <c r="M568" s="16">
        <v>46</v>
      </c>
      <c r="N568" s="16">
        <v>114</v>
      </c>
      <c r="O568" s="16"/>
      <c r="P568" s="16"/>
      <c r="Q568" s="16">
        <v>8</v>
      </c>
      <c r="R568" s="16">
        <v>18</v>
      </c>
      <c r="S568" s="16">
        <v>8</v>
      </c>
      <c r="T568" s="16">
        <v>18</v>
      </c>
      <c r="U568" s="16">
        <v>60</v>
      </c>
      <c r="V568" s="16">
        <v>150</v>
      </c>
      <c r="W568" s="16">
        <v>28</v>
      </c>
      <c r="X568" s="16">
        <v>70</v>
      </c>
      <c r="Y568" s="16">
        <v>2</v>
      </c>
      <c r="Z568" s="16">
        <v>2</v>
      </c>
      <c r="AA568" s="16"/>
      <c r="AB568" s="16"/>
      <c r="AC568" s="16">
        <v>2</v>
      </c>
      <c r="AD568" s="16">
        <v>3</v>
      </c>
      <c r="AE568" s="16">
        <v>8</v>
      </c>
      <c r="AF568" s="16">
        <v>16</v>
      </c>
      <c r="AG568" s="16"/>
      <c r="AH568" s="16"/>
      <c r="AI568" s="16">
        <v>40</v>
      </c>
      <c r="AJ568" s="16">
        <v>100</v>
      </c>
      <c r="AK568" s="16">
        <v>4</v>
      </c>
      <c r="AL568" s="16">
        <v>8</v>
      </c>
      <c r="AM568" s="16">
        <v>20</v>
      </c>
      <c r="AN568" s="16">
        <v>48</v>
      </c>
      <c r="AO568" s="15">
        <v>24</v>
      </c>
      <c r="AP568" s="15">
        <v>60</v>
      </c>
      <c r="AQ568" s="15">
        <v>2</v>
      </c>
      <c r="AR568" s="15">
        <v>4</v>
      </c>
      <c r="AS568" s="15"/>
      <c r="AT568" s="15"/>
      <c r="AU568" s="15"/>
      <c r="AV568" s="15"/>
      <c r="AW568" s="15">
        <v>8</v>
      </c>
      <c r="AX568" s="15">
        <v>16</v>
      </c>
      <c r="AY568" s="27">
        <f t="shared" si="29"/>
        <v>324</v>
      </c>
      <c r="AZ568" s="27">
        <f t="shared" si="30"/>
        <v>777</v>
      </c>
    </row>
    <row r="569" spans="1:52" x14ac:dyDescent="0.25">
      <c r="A569" s="13">
        <v>942</v>
      </c>
      <c r="B569" s="19" t="s">
        <v>1196</v>
      </c>
      <c r="C569" s="26" t="s">
        <v>1197</v>
      </c>
      <c r="D569" s="19" t="s">
        <v>42</v>
      </c>
      <c r="E569" s="16">
        <v>22</v>
      </c>
      <c r="F569" s="16">
        <v>54</v>
      </c>
      <c r="G569" s="16"/>
      <c r="H569" s="16"/>
      <c r="I569" s="16">
        <v>200</v>
      </c>
      <c r="J569" s="16">
        <v>500</v>
      </c>
      <c r="K569" s="16">
        <v>136</v>
      </c>
      <c r="L569" s="16">
        <v>340</v>
      </c>
      <c r="M569" s="16">
        <v>598</v>
      </c>
      <c r="N569" s="16">
        <v>1491</v>
      </c>
      <c r="O569" s="16">
        <v>85</v>
      </c>
      <c r="P569" s="16">
        <v>210</v>
      </c>
      <c r="Q569" s="16"/>
      <c r="R569" s="16"/>
      <c r="S569" s="16">
        <v>33</v>
      </c>
      <c r="T569" s="16">
        <v>82</v>
      </c>
      <c r="U569" s="16"/>
      <c r="V569" s="16"/>
      <c r="W569" s="16">
        <v>32</v>
      </c>
      <c r="X569" s="16">
        <v>80</v>
      </c>
      <c r="Y569" s="16">
        <v>28</v>
      </c>
      <c r="Z569" s="16">
        <v>70</v>
      </c>
      <c r="AA569" s="16"/>
      <c r="AB569" s="16"/>
      <c r="AC569" s="16"/>
      <c r="AD569" s="16"/>
      <c r="AE569" s="16"/>
      <c r="AF569" s="16"/>
      <c r="AG569" s="16">
        <v>2</v>
      </c>
      <c r="AH569" s="16">
        <v>4</v>
      </c>
      <c r="AI569" s="16">
        <v>288</v>
      </c>
      <c r="AJ569" s="16">
        <v>720</v>
      </c>
      <c r="AK569" s="16">
        <v>112</v>
      </c>
      <c r="AL569" s="16">
        <v>280</v>
      </c>
      <c r="AM569" s="16"/>
      <c r="AN569" s="16"/>
      <c r="AO569" s="15">
        <v>54</v>
      </c>
      <c r="AP569" s="15">
        <v>135</v>
      </c>
      <c r="AQ569" s="15">
        <v>80</v>
      </c>
      <c r="AR569" s="15">
        <v>200</v>
      </c>
      <c r="AS569" s="15">
        <v>856</v>
      </c>
      <c r="AT569" s="15">
        <v>2140</v>
      </c>
      <c r="AU569" s="15"/>
      <c r="AV569" s="15"/>
      <c r="AW569" s="15"/>
      <c r="AX569" s="15"/>
      <c r="AY569" s="27">
        <f t="shared" si="29"/>
        <v>2526</v>
      </c>
      <c r="AZ569" s="27">
        <f t="shared" si="30"/>
        <v>6306</v>
      </c>
    </row>
    <row r="570" spans="1:52" x14ac:dyDescent="0.25">
      <c r="A570" s="13">
        <v>943</v>
      </c>
      <c r="B570" s="19" t="s">
        <v>1198</v>
      </c>
      <c r="C570" s="26" t="s">
        <v>1199</v>
      </c>
      <c r="D570" s="19" t="s">
        <v>42</v>
      </c>
      <c r="E570" s="16"/>
      <c r="F570" s="16"/>
      <c r="G570" s="16">
        <v>22</v>
      </c>
      <c r="H570" s="16">
        <v>54</v>
      </c>
      <c r="I570" s="16">
        <v>16</v>
      </c>
      <c r="J570" s="16">
        <v>38</v>
      </c>
      <c r="K570" s="16">
        <v>8</v>
      </c>
      <c r="L570" s="16">
        <v>20</v>
      </c>
      <c r="M570" s="16"/>
      <c r="N570" s="16"/>
      <c r="O570" s="16">
        <v>7</v>
      </c>
      <c r="P570" s="16">
        <v>16</v>
      </c>
      <c r="Q570" s="16">
        <v>24</v>
      </c>
      <c r="R570" s="16">
        <v>58</v>
      </c>
      <c r="S570" s="16"/>
      <c r="T570" s="16"/>
      <c r="U570" s="16"/>
      <c r="V570" s="16"/>
      <c r="W570" s="16"/>
      <c r="X570" s="16"/>
      <c r="Y570" s="16"/>
      <c r="Z570" s="16"/>
      <c r="AA570" s="16">
        <v>2</v>
      </c>
      <c r="AB570" s="16">
        <v>4</v>
      </c>
      <c r="AC570" s="16"/>
      <c r="AD570" s="16"/>
      <c r="AE570" s="16"/>
      <c r="AF570" s="16"/>
      <c r="AG570" s="16"/>
      <c r="AH570" s="16"/>
      <c r="AI570" s="16"/>
      <c r="AJ570" s="16"/>
      <c r="AK570" s="16"/>
      <c r="AL570" s="16"/>
      <c r="AM570" s="16"/>
      <c r="AN570" s="16"/>
      <c r="AO570" s="15"/>
      <c r="AP570" s="15"/>
      <c r="AQ570" s="15">
        <v>34</v>
      </c>
      <c r="AR570" s="15">
        <v>84</v>
      </c>
      <c r="AS570" s="15"/>
      <c r="AT570" s="15"/>
      <c r="AU570" s="15"/>
      <c r="AV570" s="15"/>
      <c r="AW570" s="15"/>
      <c r="AX570" s="15"/>
      <c r="AY570" s="27">
        <f t="shared" si="29"/>
        <v>113</v>
      </c>
      <c r="AZ570" s="27">
        <f t="shared" si="30"/>
        <v>274</v>
      </c>
    </row>
    <row r="571" spans="1:52" x14ac:dyDescent="0.25">
      <c r="A571" s="13">
        <v>944</v>
      </c>
      <c r="B571" s="19" t="s">
        <v>1200</v>
      </c>
      <c r="C571" s="26" t="s">
        <v>1201</v>
      </c>
      <c r="D571" s="19" t="s">
        <v>42</v>
      </c>
      <c r="E571" s="16"/>
      <c r="F571" s="16"/>
      <c r="G571" s="16">
        <v>1060</v>
      </c>
      <c r="H571" s="16">
        <v>2646</v>
      </c>
      <c r="I571" s="16"/>
      <c r="J571" s="16"/>
      <c r="K571" s="16">
        <v>64</v>
      </c>
      <c r="L571" s="16">
        <v>159</v>
      </c>
      <c r="M571" s="16">
        <v>1420</v>
      </c>
      <c r="N571" s="16">
        <v>3550</v>
      </c>
      <c r="O571" s="16">
        <v>1002</v>
      </c>
      <c r="P571" s="16">
        <v>2503</v>
      </c>
      <c r="Q571" s="16">
        <v>60</v>
      </c>
      <c r="R571" s="16">
        <v>146</v>
      </c>
      <c r="S571" s="16">
        <v>28</v>
      </c>
      <c r="T571" s="16">
        <v>68</v>
      </c>
      <c r="U571" s="16">
        <v>973</v>
      </c>
      <c r="V571" s="16">
        <v>2431</v>
      </c>
      <c r="W571" s="16">
        <v>360</v>
      </c>
      <c r="X571" s="16">
        <v>900</v>
      </c>
      <c r="Y571" s="16">
        <v>3118</v>
      </c>
      <c r="Z571" s="16">
        <v>7794</v>
      </c>
      <c r="AA571" s="16">
        <v>1606</v>
      </c>
      <c r="AB571" s="16">
        <v>4014</v>
      </c>
      <c r="AC571" s="16">
        <v>454</v>
      </c>
      <c r="AD571" s="16">
        <v>1133</v>
      </c>
      <c r="AE571" s="16">
        <v>1134</v>
      </c>
      <c r="AF571" s="16">
        <v>2833</v>
      </c>
      <c r="AG571" s="16">
        <v>2564</v>
      </c>
      <c r="AH571" s="16">
        <v>6406</v>
      </c>
      <c r="AI571" s="16">
        <v>4848</v>
      </c>
      <c r="AJ571" s="16">
        <v>12120</v>
      </c>
      <c r="AK571" s="16">
        <v>440</v>
      </c>
      <c r="AL571" s="16">
        <v>1100</v>
      </c>
      <c r="AM571" s="16">
        <v>1326</v>
      </c>
      <c r="AN571" s="16">
        <v>3312</v>
      </c>
      <c r="AO571" s="15">
        <v>503</v>
      </c>
      <c r="AP571" s="15">
        <v>1254</v>
      </c>
      <c r="AQ571" s="15">
        <v>48</v>
      </c>
      <c r="AR571" s="15">
        <v>118</v>
      </c>
      <c r="AS571" s="15">
        <v>72</v>
      </c>
      <c r="AT571" s="15">
        <v>180</v>
      </c>
      <c r="AU571" s="15">
        <v>3460</v>
      </c>
      <c r="AV571" s="15">
        <v>8650</v>
      </c>
      <c r="AW571" s="15">
        <v>436</v>
      </c>
      <c r="AX571" s="15">
        <v>1090</v>
      </c>
      <c r="AY571" s="27">
        <f t="shared" si="29"/>
        <v>24976</v>
      </c>
      <c r="AZ571" s="27">
        <f t="shared" si="30"/>
        <v>62407</v>
      </c>
    </row>
    <row r="572" spans="1:52" x14ac:dyDescent="0.25">
      <c r="A572" s="13">
        <v>945</v>
      </c>
      <c r="B572" s="19" t="s">
        <v>1202</v>
      </c>
      <c r="C572" s="26" t="s">
        <v>1203</v>
      </c>
      <c r="D572" s="19" t="s">
        <v>42</v>
      </c>
      <c r="E572" s="16">
        <v>6</v>
      </c>
      <c r="F572" s="16">
        <v>12</v>
      </c>
      <c r="G572" s="16">
        <v>80</v>
      </c>
      <c r="H572" s="16">
        <v>200</v>
      </c>
      <c r="I572" s="16">
        <v>131</v>
      </c>
      <c r="J572" s="16">
        <v>325</v>
      </c>
      <c r="K572" s="16">
        <v>2856</v>
      </c>
      <c r="L572" s="16">
        <v>7138</v>
      </c>
      <c r="M572" s="16">
        <v>1798</v>
      </c>
      <c r="N572" s="16">
        <v>4489</v>
      </c>
      <c r="O572" s="16">
        <v>90</v>
      </c>
      <c r="P572" s="16">
        <v>219</v>
      </c>
      <c r="Q572" s="16">
        <v>52</v>
      </c>
      <c r="R572" s="16">
        <v>130</v>
      </c>
      <c r="S572" s="16">
        <v>15</v>
      </c>
      <c r="T572" s="16">
        <v>36</v>
      </c>
      <c r="U572" s="16">
        <v>638</v>
      </c>
      <c r="V572" s="16">
        <v>1595</v>
      </c>
      <c r="W572" s="16">
        <v>89</v>
      </c>
      <c r="X572" s="16">
        <v>220</v>
      </c>
      <c r="Y572" s="16">
        <v>52</v>
      </c>
      <c r="Z572" s="16">
        <v>128</v>
      </c>
      <c r="AA572" s="16">
        <v>19</v>
      </c>
      <c r="AB572" s="16">
        <v>45</v>
      </c>
      <c r="AC572" s="16">
        <v>167</v>
      </c>
      <c r="AD572" s="16">
        <v>415</v>
      </c>
      <c r="AE572" s="16">
        <v>136</v>
      </c>
      <c r="AF572" s="16">
        <v>337</v>
      </c>
      <c r="AG572" s="16">
        <v>160</v>
      </c>
      <c r="AH572" s="16">
        <v>400</v>
      </c>
      <c r="AI572" s="16">
        <v>16</v>
      </c>
      <c r="AJ572" s="16">
        <v>40</v>
      </c>
      <c r="AK572" s="16">
        <v>400</v>
      </c>
      <c r="AL572" s="16">
        <v>1000</v>
      </c>
      <c r="AM572" s="16"/>
      <c r="AN572" s="16"/>
      <c r="AO572" s="15">
        <v>416</v>
      </c>
      <c r="AP572" s="15">
        <v>1040</v>
      </c>
      <c r="AQ572" s="15">
        <v>10</v>
      </c>
      <c r="AR572" s="15">
        <v>20</v>
      </c>
      <c r="AS572" s="15"/>
      <c r="AT572" s="15"/>
      <c r="AU572" s="15"/>
      <c r="AV572" s="15"/>
      <c r="AW572" s="15"/>
      <c r="AX572" s="15"/>
      <c r="AY572" s="27">
        <f t="shared" si="29"/>
        <v>7131</v>
      </c>
      <c r="AZ572" s="27">
        <f t="shared" si="30"/>
        <v>17789</v>
      </c>
    </row>
    <row r="573" spans="1:52" x14ac:dyDescent="0.25">
      <c r="A573" s="13">
        <v>947</v>
      </c>
      <c r="B573" s="19" t="s">
        <v>1204</v>
      </c>
      <c r="C573" s="26" t="s">
        <v>1205</v>
      </c>
      <c r="D573" s="19" t="s">
        <v>42</v>
      </c>
      <c r="E573" s="16">
        <v>10</v>
      </c>
      <c r="F573" s="16">
        <v>24</v>
      </c>
      <c r="G573" s="16"/>
      <c r="H573" s="16"/>
      <c r="I573" s="16"/>
      <c r="J573" s="16"/>
      <c r="K573" s="16">
        <v>4</v>
      </c>
      <c r="L573" s="16">
        <v>6</v>
      </c>
      <c r="M573" s="16">
        <v>3272</v>
      </c>
      <c r="N573" s="16">
        <v>8178</v>
      </c>
      <c r="O573" s="16">
        <v>85</v>
      </c>
      <c r="P573" s="16">
        <v>210</v>
      </c>
      <c r="Q573" s="16"/>
      <c r="R573" s="16"/>
      <c r="S573" s="16"/>
      <c r="T573" s="16"/>
      <c r="U573" s="16">
        <v>142</v>
      </c>
      <c r="V573" s="16">
        <v>353</v>
      </c>
      <c r="W573" s="16">
        <v>9</v>
      </c>
      <c r="X573" s="16">
        <v>22</v>
      </c>
      <c r="Y573" s="16">
        <v>26</v>
      </c>
      <c r="Z573" s="16">
        <v>64</v>
      </c>
      <c r="AA573" s="16"/>
      <c r="AB573" s="16"/>
      <c r="AC573" s="16"/>
      <c r="AD573" s="16"/>
      <c r="AE573" s="16">
        <v>48</v>
      </c>
      <c r="AF573" s="16">
        <v>120</v>
      </c>
      <c r="AG573" s="16"/>
      <c r="AH573" s="16"/>
      <c r="AI573" s="16">
        <v>800</v>
      </c>
      <c r="AJ573" s="16">
        <v>2000</v>
      </c>
      <c r="AK573" s="16">
        <v>2280</v>
      </c>
      <c r="AL573" s="16">
        <v>5700</v>
      </c>
      <c r="AM573" s="16"/>
      <c r="AN573" s="16"/>
      <c r="AO573" s="15"/>
      <c r="AP573" s="15"/>
      <c r="AQ573" s="15"/>
      <c r="AR573" s="15"/>
      <c r="AS573" s="15"/>
      <c r="AT573" s="15"/>
      <c r="AU573" s="15"/>
      <c r="AV573" s="15"/>
      <c r="AW573" s="15"/>
      <c r="AX573" s="15"/>
      <c r="AY573" s="27">
        <f t="shared" si="29"/>
        <v>6676</v>
      </c>
      <c r="AZ573" s="27">
        <f t="shared" si="30"/>
        <v>16677</v>
      </c>
    </row>
    <row r="574" spans="1:52" x14ac:dyDescent="0.25">
      <c r="A574" s="13">
        <v>948</v>
      </c>
      <c r="B574" s="19" t="s">
        <v>1206</v>
      </c>
      <c r="C574" s="26" t="s">
        <v>1207</v>
      </c>
      <c r="D574" s="19" t="s">
        <v>42</v>
      </c>
      <c r="E574" s="16">
        <v>10</v>
      </c>
      <c r="F574" s="16">
        <v>24</v>
      </c>
      <c r="G574" s="16">
        <v>138</v>
      </c>
      <c r="H574" s="16">
        <v>342</v>
      </c>
      <c r="I574" s="16">
        <v>192</v>
      </c>
      <c r="J574" s="16">
        <v>480</v>
      </c>
      <c r="K574" s="16">
        <v>2800</v>
      </c>
      <c r="L574" s="16">
        <v>7000</v>
      </c>
      <c r="M574" s="16">
        <v>942</v>
      </c>
      <c r="N574" s="16">
        <v>2352</v>
      </c>
      <c r="O574" s="16">
        <v>64</v>
      </c>
      <c r="P574" s="16">
        <v>156</v>
      </c>
      <c r="Q574" s="16"/>
      <c r="R574" s="16"/>
      <c r="S574" s="16">
        <v>15</v>
      </c>
      <c r="T574" s="16">
        <v>36</v>
      </c>
      <c r="U574" s="16">
        <v>749</v>
      </c>
      <c r="V574" s="16">
        <v>1871</v>
      </c>
      <c r="W574" s="16">
        <v>144</v>
      </c>
      <c r="X574" s="16">
        <v>360</v>
      </c>
      <c r="Y574" s="16">
        <v>334</v>
      </c>
      <c r="Z574" s="16">
        <v>832</v>
      </c>
      <c r="AA574" s="16"/>
      <c r="AB574" s="16"/>
      <c r="AC574" s="16">
        <v>160</v>
      </c>
      <c r="AD574" s="16">
        <v>398</v>
      </c>
      <c r="AE574" s="16">
        <v>1344</v>
      </c>
      <c r="AF574" s="16">
        <v>3360</v>
      </c>
      <c r="AG574" s="16">
        <v>180</v>
      </c>
      <c r="AH574" s="16">
        <v>450</v>
      </c>
      <c r="AI574" s="16">
        <v>4</v>
      </c>
      <c r="AJ574" s="16">
        <v>10</v>
      </c>
      <c r="AK574" s="16">
        <v>804</v>
      </c>
      <c r="AL574" s="16">
        <v>2008</v>
      </c>
      <c r="AM574" s="16">
        <v>48</v>
      </c>
      <c r="AN574" s="16">
        <v>120</v>
      </c>
      <c r="AO574" s="15">
        <v>1000</v>
      </c>
      <c r="AP574" s="15">
        <v>2500</v>
      </c>
      <c r="AQ574" s="15">
        <v>108</v>
      </c>
      <c r="AR574" s="15">
        <v>270</v>
      </c>
      <c r="AS574" s="15"/>
      <c r="AT574" s="15"/>
      <c r="AU574" s="15">
        <v>69</v>
      </c>
      <c r="AV574" s="15">
        <v>172</v>
      </c>
      <c r="AW574" s="15"/>
      <c r="AX574" s="15"/>
      <c r="AY574" s="27">
        <f t="shared" si="29"/>
        <v>9105</v>
      </c>
      <c r="AZ574" s="27">
        <f t="shared" si="30"/>
        <v>22741</v>
      </c>
    </row>
    <row r="575" spans="1:52" x14ac:dyDescent="0.25">
      <c r="A575" s="13">
        <v>949</v>
      </c>
      <c r="B575" s="19" t="s">
        <v>1208</v>
      </c>
      <c r="C575" s="26" t="s">
        <v>1209</v>
      </c>
      <c r="D575" s="19" t="s">
        <v>42</v>
      </c>
      <c r="E575" s="16">
        <v>1600</v>
      </c>
      <c r="F575" s="16">
        <v>4000</v>
      </c>
      <c r="G575" s="16">
        <v>808</v>
      </c>
      <c r="H575" s="16">
        <v>2020</v>
      </c>
      <c r="I575" s="16">
        <v>13440</v>
      </c>
      <c r="J575" s="16">
        <v>33600</v>
      </c>
      <c r="K575" s="16">
        <v>6374</v>
      </c>
      <c r="L575" s="16">
        <v>15933</v>
      </c>
      <c r="M575" s="16">
        <v>2380</v>
      </c>
      <c r="N575" s="16">
        <v>5948</v>
      </c>
      <c r="O575" s="16">
        <v>2342</v>
      </c>
      <c r="P575" s="16">
        <v>5854</v>
      </c>
      <c r="Q575" s="16">
        <v>2276</v>
      </c>
      <c r="R575" s="16">
        <v>5690</v>
      </c>
      <c r="S575" s="16">
        <v>1440</v>
      </c>
      <c r="T575" s="16">
        <v>3600</v>
      </c>
      <c r="U575" s="16">
        <v>614</v>
      </c>
      <c r="V575" s="16">
        <v>1532</v>
      </c>
      <c r="W575" s="16">
        <v>1440</v>
      </c>
      <c r="X575" s="16">
        <v>3600</v>
      </c>
      <c r="Y575" s="16">
        <v>1192</v>
      </c>
      <c r="Z575" s="16">
        <v>2980</v>
      </c>
      <c r="AA575" s="16">
        <v>48</v>
      </c>
      <c r="AB575" s="16">
        <v>120</v>
      </c>
      <c r="AC575" s="16">
        <v>5720</v>
      </c>
      <c r="AD575" s="16">
        <v>14300</v>
      </c>
      <c r="AE575" s="16">
        <v>768</v>
      </c>
      <c r="AF575" s="16">
        <v>1920</v>
      </c>
      <c r="AG575" s="16">
        <v>240</v>
      </c>
      <c r="AH575" s="16">
        <v>600</v>
      </c>
      <c r="AI575" s="16">
        <v>4800</v>
      </c>
      <c r="AJ575" s="16">
        <v>12000</v>
      </c>
      <c r="AK575" s="16">
        <v>1140</v>
      </c>
      <c r="AL575" s="16">
        <v>2848</v>
      </c>
      <c r="AM575" s="16">
        <v>1210</v>
      </c>
      <c r="AN575" s="16">
        <v>3024</v>
      </c>
      <c r="AO575" s="15">
        <v>1020</v>
      </c>
      <c r="AP575" s="15">
        <v>2550</v>
      </c>
      <c r="AQ575" s="15">
        <v>142</v>
      </c>
      <c r="AR575" s="15">
        <v>352</v>
      </c>
      <c r="AS575" s="15"/>
      <c r="AT575" s="15"/>
      <c r="AU575" s="15">
        <v>4400</v>
      </c>
      <c r="AV575" s="15">
        <v>11000</v>
      </c>
      <c r="AW575" s="15">
        <v>128</v>
      </c>
      <c r="AX575" s="15">
        <v>316</v>
      </c>
      <c r="AY575" s="27">
        <f t="shared" si="29"/>
        <v>53522</v>
      </c>
      <c r="AZ575" s="27">
        <f t="shared" si="30"/>
        <v>133787</v>
      </c>
    </row>
    <row r="576" spans="1:52" x14ac:dyDescent="0.25">
      <c r="A576" s="13">
        <v>950</v>
      </c>
      <c r="B576" s="19" t="s">
        <v>1210</v>
      </c>
      <c r="C576" s="26" t="s">
        <v>1211</v>
      </c>
      <c r="D576" s="19" t="s">
        <v>42</v>
      </c>
      <c r="E576" s="16">
        <v>480</v>
      </c>
      <c r="F576" s="16">
        <v>1200</v>
      </c>
      <c r="G576" s="16">
        <v>8</v>
      </c>
      <c r="H576" s="16">
        <v>18</v>
      </c>
      <c r="I576" s="16">
        <v>44</v>
      </c>
      <c r="J576" s="16">
        <v>108</v>
      </c>
      <c r="K576" s="16">
        <v>52</v>
      </c>
      <c r="L576" s="16">
        <v>126</v>
      </c>
      <c r="M576" s="16">
        <v>18</v>
      </c>
      <c r="N576" s="16">
        <v>42</v>
      </c>
      <c r="O576" s="16">
        <v>6</v>
      </c>
      <c r="P576" s="16">
        <v>10</v>
      </c>
      <c r="Q576" s="16">
        <v>8</v>
      </c>
      <c r="R576" s="16">
        <v>18</v>
      </c>
      <c r="S576" s="16">
        <v>8</v>
      </c>
      <c r="T576" s="16">
        <v>16</v>
      </c>
      <c r="U576" s="16">
        <v>114</v>
      </c>
      <c r="V576" s="16">
        <v>285</v>
      </c>
      <c r="W576" s="16">
        <v>10</v>
      </c>
      <c r="X576" s="16">
        <v>23</v>
      </c>
      <c r="Y576" s="16">
        <v>6</v>
      </c>
      <c r="Z576" s="16">
        <v>12</v>
      </c>
      <c r="AA576" s="16">
        <v>2</v>
      </c>
      <c r="AB576" s="16">
        <v>2</v>
      </c>
      <c r="AC576" s="16">
        <v>7</v>
      </c>
      <c r="AD576" s="16">
        <v>15</v>
      </c>
      <c r="AE576" s="16">
        <v>16</v>
      </c>
      <c r="AF576" s="16">
        <v>37</v>
      </c>
      <c r="AG576" s="16">
        <v>8</v>
      </c>
      <c r="AH576" s="16">
        <v>20</v>
      </c>
      <c r="AI576" s="16">
        <v>40</v>
      </c>
      <c r="AJ576" s="16">
        <v>100</v>
      </c>
      <c r="AK576" s="16">
        <v>12</v>
      </c>
      <c r="AL576" s="16">
        <v>30</v>
      </c>
      <c r="AM576" s="16">
        <v>1440</v>
      </c>
      <c r="AN576" s="16">
        <v>3600</v>
      </c>
      <c r="AO576" s="15">
        <v>8</v>
      </c>
      <c r="AP576" s="15">
        <v>16</v>
      </c>
      <c r="AQ576" s="15">
        <v>40</v>
      </c>
      <c r="AR576" s="15">
        <v>100</v>
      </c>
      <c r="AS576" s="15"/>
      <c r="AT576" s="15"/>
      <c r="AU576" s="15">
        <v>2</v>
      </c>
      <c r="AV576" s="15">
        <v>4</v>
      </c>
      <c r="AW576" s="15">
        <v>4</v>
      </c>
      <c r="AX576" s="15">
        <v>8</v>
      </c>
      <c r="AY576" s="27">
        <f t="shared" si="29"/>
        <v>2333</v>
      </c>
      <c r="AZ576" s="27">
        <f t="shared" si="30"/>
        <v>5790</v>
      </c>
    </row>
    <row r="577" spans="1:52" x14ac:dyDescent="0.25">
      <c r="A577" s="13">
        <v>951</v>
      </c>
      <c r="B577" s="19" t="s">
        <v>1212</v>
      </c>
      <c r="C577" s="26" t="s">
        <v>1213</v>
      </c>
      <c r="D577" s="19" t="s">
        <v>42</v>
      </c>
      <c r="E577" s="16">
        <v>20</v>
      </c>
      <c r="F577" s="16">
        <v>48</v>
      </c>
      <c r="G577" s="16">
        <v>262</v>
      </c>
      <c r="H577" s="16">
        <v>654</v>
      </c>
      <c r="I577" s="16">
        <v>58</v>
      </c>
      <c r="J577" s="16">
        <v>144</v>
      </c>
      <c r="K577" s="16">
        <v>6080</v>
      </c>
      <c r="L577" s="16">
        <v>15200</v>
      </c>
      <c r="M577" s="16">
        <v>5231</v>
      </c>
      <c r="N577" s="16">
        <v>13076</v>
      </c>
      <c r="O577" s="16">
        <v>334</v>
      </c>
      <c r="P577" s="16">
        <v>831</v>
      </c>
      <c r="Q577" s="16">
        <v>7</v>
      </c>
      <c r="R577" s="16">
        <v>14</v>
      </c>
      <c r="S577" s="16">
        <v>24</v>
      </c>
      <c r="T577" s="16">
        <v>60</v>
      </c>
      <c r="U577" s="16">
        <v>496</v>
      </c>
      <c r="V577" s="16">
        <v>1240</v>
      </c>
      <c r="W577" s="16">
        <v>248</v>
      </c>
      <c r="X577" s="16">
        <v>620</v>
      </c>
      <c r="Y577" s="16">
        <v>42</v>
      </c>
      <c r="Z577" s="16">
        <v>104</v>
      </c>
      <c r="AA577" s="16">
        <v>27</v>
      </c>
      <c r="AB577" s="16">
        <v>65</v>
      </c>
      <c r="AC577" s="16">
        <v>286</v>
      </c>
      <c r="AD577" s="16">
        <v>715</v>
      </c>
      <c r="AE577" s="16">
        <v>808</v>
      </c>
      <c r="AF577" s="16">
        <v>2017</v>
      </c>
      <c r="AG577" s="16"/>
      <c r="AH577" s="16"/>
      <c r="AI577" s="16">
        <v>640</v>
      </c>
      <c r="AJ577" s="16">
        <v>1600</v>
      </c>
      <c r="AK577" s="16">
        <v>32</v>
      </c>
      <c r="AL577" s="16">
        <v>80</v>
      </c>
      <c r="AM577" s="16">
        <v>1920</v>
      </c>
      <c r="AN577" s="16">
        <v>4800</v>
      </c>
      <c r="AO577" s="15">
        <v>480</v>
      </c>
      <c r="AP577" s="15">
        <v>1200</v>
      </c>
      <c r="AQ577" s="15">
        <v>131</v>
      </c>
      <c r="AR577" s="15">
        <v>325</v>
      </c>
      <c r="AS577" s="15">
        <v>24</v>
      </c>
      <c r="AT577" s="15">
        <v>60</v>
      </c>
      <c r="AU577" s="15">
        <v>54</v>
      </c>
      <c r="AV577" s="15">
        <v>135</v>
      </c>
      <c r="AW577" s="15"/>
      <c r="AX577" s="15"/>
      <c r="AY577" s="27">
        <f t="shared" si="29"/>
        <v>17204</v>
      </c>
      <c r="AZ577" s="27">
        <f t="shared" si="30"/>
        <v>42988</v>
      </c>
    </row>
    <row r="578" spans="1:52" x14ac:dyDescent="0.25">
      <c r="A578" s="13">
        <v>954</v>
      </c>
      <c r="B578" s="19" t="s">
        <v>1214</v>
      </c>
      <c r="C578" s="26" t="s">
        <v>1215</v>
      </c>
      <c r="D578" s="19" t="s">
        <v>42</v>
      </c>
      <c r="E578" s="16">
        <v>10</v>
      </c>
      <c r="F578" s="16">
        <v>24</v>
      </c>
      <c r="G578" s="16"/>
      <c r="H578" s="16"/>
      <c r="I578" s="16">
        <v>304</v>
      </c>
      <c r="J578" s="16">
        <v>760</v>
      </c>
      <c r="K578" s="16">
        <v>212</v>
      </c>
      <c r="L578" s="16">
        <v>530</v>
      </c>
      <c r="M578" s="16">
        <v>176</v>
      </c>
      <c r="N578" s="16">
        <v>436</v>
      </c>
      <c r="O578" s="16">
        <v>57</v>
      </c>
      <c r="P578" s="16">
        <v>140</v>
      </c>
      <c r="Q578" s="16"/>
      <c r="R578" s="16"/>
      <c r="S578" s="16">
        <v>4</v>
      </c>
      <c r="T578" s="16">
        <v>10</v>
      </c>
      <c r="U578" s="16">
        <v>132</v>
      </c>
      <c r="V578" s="16">
        <v>330</v>
      </c>
      <c r="W578" s="16">
        <v>113</v>
      </c>
      <c r="X578" s="16">
        <v>281</v>
      </c>
      <c r="Y578" s="16">
        <v>8</v>
      </c>
      <c r="Z578" s="16">
        <v>16</v>
      </c>
      <c r="AA578" s="16"/>
      <c r="AB578" s="16"/>
      <c r="AC578" s="16"/>
      <c r="AD578" s="16"/>
      <c r="AE578" s="16">
        <v>771</v>
      </c>
      <c r="AF578" s="16">
        <v>1921</v>
      </c>
      <c r="AG578" s="16">
        <v>2418</v>
      </c>
      <c r="AH578" s="16">
        <v>6043</v>
      </c>
      <c r="AI578" s="16">
        <v>12</v>
      </c>
      <c r="AJ578" s="16">
        <v>26</v>
      </c>
      <c r="AK578" s="16">
        <v>2898</v>
      </c>
      <c r="AL578" s="16">
        <v>7244</v>
      </c>
      <c r="AM578" s="16">
        <v>548</v>
      </c>
      <c r="AN578" s="16">
        <v>1368</v>
      </c>
      <c r="AO578" s="15"/>
      <c r="AP578" s="15"/>
      <c r="AQ578" s="15"/>
      <c r="AR578" s="15"/>
      <c r="AS578" s="15">
        <v>48</v>
      </c>
      <c r="AT578" s="15">
        <v>120</v>
      </c>
      <c r="AU578" s="15"/>
      <c r="AV578" s="15"/>
      <c r="AW578" s="15"/>
      <c r="AX578" s="15"/>
      <c r="AY578" s="27">
        <f t="shared" si="29"/>
        <v>7711</v>
      </c>
      <c r="AZ578" s="27">
        <f t="shared" si="30"/>
        <v>19249</v>
      </c>
    </row>
    <row r="579" spans="1:52" x14ac:dyDescent="0.25">
      <c r="A579" s="13">
        <v>955</v>
      </c>
      <c r="B579" s="19" t="s">
        <v>1216</v>
      </c>
      <c r="C579" s="26" t="s">
        <v>1217</v>
      </c>
      <c r="D579" s="19" t="s">
        <v>42</v>
      </c>
      <c r="E579" s="16">
        <v>104</v>
      </c>
      <c r="F579" s="16">
        <v>260</v>
      </c>
      <c r="G579" s="16">
        <v>20</v>
      </c>
      <c r="H579" s="16">
        <v>50</v>
      </c>
      <c r="I579" s="16"/>
      <c r="J579" s="16"/>
      <c r="K579" s="16">
        <v>180</v>
      </c>
      <c r="L579" s="16">
        <v>446</v>
      </c>
      <c r="M579" s="16">
        <v>206</v>
      </c>
      <c r="N579" s="16">
        <v>508</v>
      </c>
      <c r="O579" s="16">
        <v>29</v>
      </c>
      <c r="P579" s="16">
        <v>70</v>
      </c>
      <c r="Q579" s="16"/>
      <c r="R579" s="16"/>
      <c r="S579" s="16"/>
      <c r="T579" s="16"/>
      <c r="U579" s="16">
        <v>36</v>
      </c>
      <c r="V579" s="16">
        <v>88</v>
      </c>
      <c r="W579" s="16">
        <v>72</v>
      </c>
      <c r="X579" s="16">
        <v>180</v>
      </c>
      <c r="Y579" s="16">
        <v>14</v>
      </c>
      <c r="Z579" s="16">
        <v>32</v>
      </c>
      <c r="AA579" s="16">
        <v>48</v>
      </c>
      <c r="AB579" s="16">
        <v>120</v>
      </c>
      <c r="AC579" s="16">
        <v>9</v>
      </c>
      <c r="AD579" s="16">
        <v>18</v>
      </c>
      <c r="AE579" s="16"/>
      <c r="AF579" s="16"/>
      <c r="AG579" s="16"/>
      <c r="AH579" s="16"/>
      <c r="AI579" s="16">
        <v>192</v>
      </c>
      <c r="AJ579" s="16">
        <v>480</v>
      </c>
      <c r="AK579" s="16"/>
      <c r="AL579" s="16"/>
      <c r="AM579" s="16">
        <v>58</v>
      </c>
      <c r="AN579" s="16">
        <v>144</v>
      </c>
      <c r="AO579" s="15">
        <v>40</v>
      </c>
      <c r="AP579" s="15">
        <v>100</v>
      </c>
      <c r="AQ579" s="15">
        <v>8</v>
      </c>
      <c r="AR579" s="15">
        <v>18</v>
      </c>
      <c r="AS579" s="15"/>
      <c r="AT579" s="15"/>
      <c r="AU579" s="15"/>
      <c r="AV579" s="15"/>
      <c r="AW579" s="15"/>
      <c r="AX579" s="15"/>
      <c r="AY579" s="27">
        <f t="shared" si="29"/>
        <v>1016</v>
      </c>
      <c r="AZ579" s="27">
        <f t="shared" si="30"/>
        <v>2514</v>
      </c>
    </row>
    <row r="580" spans="1:52" x14ac:dyDescent="0.25">
      <c r="A580" s="13">
        <v>956</v>
      </c>
      <c r="B580" s="19" t="s">
        <v>1218</v>
      </c>
      <c r="C580" s="26" t="s">
        <v>1219</v>
      </c>
      <c r="D580" s="19" t="s">
        <v>42</v>
      </c>
      <c r="E580" s="16">
        <v>86</v>
      </c>
      <c r="F580" s="16">
        <v>212</v>
      </c>
      <c r="G580" s="16">
        <v>22</v>
      </c>
      <c r="H580" s="16">
        <v>48</v>
      </c>
      <c r="I580" s="16">
        <v>3084</v>
      </c>
      <c r="J580" s="16">
        <v>7706</v>
      </c>
      <c r="K580" s="16">
        <v>1141</v>
      </c>
      <c r="L580" s="16">
        <v>2852</v>
      </c>
      <c r="M580" s="16">
        <v>1126</v>
      </c>
      <c r="N580" s="16">
        <v>2814</v>
      </c>
      <c r="O580" s="16">
        <v>146</v>
      </c>
      <c r="P580" s="16">
        <v>360</v>
      </c>
      <c r="Q580" s="16"/>
      <c r="R580" s="16"/>
      <c r="S580" s="16">
        <v>17</v>
      </c>
      <c r="T580" s="16">
        <v>41</v>
      </c>
      <c r="U580" s="16">
        <v>1936</v>
      </c>
      <c r="V580" s="16">
        <v>4840</v>
      </c>
      <c r="W580" s="16">
        <v>256</v>
      </c>
      <c r="X580" s="16">
        <v>640</v>
      </c>
      <c r="Y580" s="16">
        <v>360</v>
      </c>
      <c r="Z580" s="16">
        <v>896</v>
      </c>
      <c r="AA580" s="16">
        <v>204</v>
      </c>
      <c r="AB580" s="16">
        <v>506</v>
      </c>
      <c r="AC580" s="16">
        <v>32</v>
      </c>
      <c r="AD580" s="16">
        <v>75</v>
      </c>
      <c r="AE580" s="16">
        <v>98</v>
      </c>
      <c r="AF580" s="16">
        <v>241</v>
      </c>
      <c r="AG580" s="16">
        <v>56</v>
      </c>
      <c r="AH580" s="16">
        <v>140</v>
      </c>
      <c r="AI580" s="16">
        <v>160</v>
      </c>
      <c r="AJ580" s="16">
        <v>400</v>
      </c>
      <c r="AK580" s="16">
        <v>6</v>
      </c>
      <c r="AL580" s="16">
        <v>14</v>
      </c>
      <c r="AM580" s="16">
        <v>9840</v>
      </c>
      <c r="AN580" s="16">
        <v>24600</v>
      </c>
      <c r="AO580" s="15">
        <v>970</v>
      </c>
      <c r="AP580" s="15">
        <v>2422</v>
      </c>
      <c r="AQ580" s="15">
        <v>16</v>
      </c>
      <c r="AR580" s="15">
        <v>40</v>
      </c>
      <c r="AS580" s="15">
        <v>940</v>
      </c>
      <c r="AT580" s="15">
        <v>2350</v>
      </c>
      <c r="AU580" s="15">
        <v>11</v>
      </c>
      <c r="AV580" s="15">
        <v>26</v>
      </c>
      <c r="AW580" s="15"/>
      <c r="AX580" s="15"/>
      <c r="AY580" s="27">
        <f t="shared" si="29"/>
        <v>20507</v>
      </c>
      <c r="AZ580" s="27">
        <f t="shared" si="30"/>
        <v>51223</v>
      </c>
    </row>
    <row r="581" spans="1:52" x14ac:dyDescent="0.25">
      <c r="A581" s="13">
        <v>957</v>
      </c>
      <c r="B581" s="19" t="s">
        <v>1220</v>
      </c>
      <c r="C581" s="26" t="s">
        <v>1221</v>
      </c>
      <c r="D581" s="19" t="s">
        <v>42</v>
      </c>
      <c r="E581" s="16"/>
      <c r="F581" s="16"/>
      <c r="G581" s="16"/>
      <c r="H581" s="16"/>
      <c r="I581" s="16">
        <v>930</v>
      </c>
      <c r="J581" s="16">
        <v>2324</v>
      </c>
      <c r="K581" s="16">
        <v>934</v>
      </c>
      <c r="L581" s="16">
        <v>2334</v>
      </c>
      <c r="M581" s="16">
        <v>2210</v>
      </c>
      <c r="N581" s="16">
        <v>5522</v>
      </c>
      <c r="O581" s="16">
        <v>113</v>
      </c>
      <c r="P581" s="16">
        <v>280</v>
      </c>
      <c r="Q581" s="16">
        <v>50</v>
      </c>
      <c r="R581" s="16">
        <v>122</v>
      </c>
      <c r="S581" s="16"/>
      <c r="T581" s="16"/>
      <c r="U581" s="16">
        <v>88</v>
      </c>
      <c r="V581" s="16">
        <v>220</v>
      </c>
      <c r="W581" s="16">
        <v>29</v>
      </c>
      <c r="X581" s="16">
        <v>72</v>
      </c>
      <c r="Y581" s="16">
        <v>8</v>
      </c>
      <c r="Z581" s="16">
        <v>16</v>
      </c>
      <c r="AA581" s="16"/>
      <c r="AB581" s="16"/>
      <c r="AC581" s="16">
        <v>87</v>
      </c>
      <c r="AD581" s="16">
        <v>215</v>
      </c>
      <c r="AE581" s="16">
        <v>98</v>
      </c>
      <c r="AF581" s="16">
        <v>241</v>
      </c>
      <c r="AG581" s="16"/>
      <c r="AH581" s="16"/>
      <c r="AI581" s="16">
        <v>424</v>
      </c>
      <c r="AJ581" s="16">
        <v>1060</v>
      </c>
      <c r="AK581" s="16">
        <v>54</v>
      </c>
      <c r="AL581" s="16">
        <v>130</v>
      </c>
      <c r="AM581" s="16">
        <v>1728</v>
      </c>
      <c r="AN581" s="16">
        <v>4320</v>
      </c>
      <c r="AO581" s="15">
        <v>680</v>
      </c>
      <c r="AP581" s="15">
        <v>1700</v>
      </c>
      <c r="AQ581" s="15"/>
      <c r="AR581" s="15"/>
      <c r="AS581" s="15">
        <v>4576</v>
      </c>
      <c r="AT581" s="15">
        <v>11440</v>
      </c>
      <c r="AU581" s="15">
        <v>16</v>
      </c>
      <c r="AV581" s="15">
        <v>40</v>
      </c>
      <c r="AW581" s="15"/>
      <c r="AX581" s="15"/>
      <c r="AY581" s="27">
        <f t="shared" si="29"/>
        <v>12025</v>
      </c>
      <c r="AZ581" s="27">
        <f t="shared" si="30"/>
        <v>30036</v>
      </c>
    </row>
    <row r="582" spans="1:52" x14ac:dyDescent="0.25">
      <c r="A582" s="13">
        <v>958</v>
      </c>
      <c r="B582" s="19" t="s">
        <v>1222</v>
      </c>
      <c r="C582" s="26" t="s">
        <v>1223</v>
      </c>
      <c r="D582" s="19" t="s">
        <v>42</v>
      </c>
      <c r="E582" s="16">
        <v>60</v>
      </c>
      <c r="F582" s="16">
        <v>150</v>
      </c>
      <c r="G582" s="16">
        <v>6</v>
      </c>
      <c r="H582" s="16">
        <v>10</v>
      </c>
      <c r="I582" s="16"/>
      <c r="J582" s="16"/>
      <c r="K582" s="16">
        <v>1152</v>
      </c>
      <c r="L582" s="16">
        <v>2876</v>
      </c>
      <c r="M582" s="16">
        <v>840</v>
      </c>
      <c r="N582" s="16">
        <v>2100</v>
      </c>
      <c r="O582" s="16">
        <v>34</v>
      </c>
      <c r="P582" s="16">
        <v>80</v>
      </c>
      <c r="Q582" s="16">
        <v>16</v>
      </c>
      <c r="R582" s="16">
        <v>38</v>
      </c>
      <c r="S582" s="16">
        <v>8</v>
      </c>
      <c r="T582" s="16">
        <v>20</v>
      </c>
      <c r="U582" s="16">
        <v>176</v>
      </c>
      <c r="V582" s="16">
        <v>440</v>
      </c>
      <c r="W582" s="16">
        <v>519</v>
      </c>
      <c r="X582" s="16">
        <v>1296</v>
      </c>
      <c r="Y582" s="16">
        <v>456</v>
      </c>
      <c r="Z582" s="16">
        <v>1136</v>
      </c>
      <c r="AA582" s="16">
        <v>40</v>
      </c>
      <c r="AB582" s="16">
        <v>96</v>
      </c>
      <c r="AC582" s="16">
        <v>374</v>
      </c>
      <c r="AD582" s="16">
        <v>935</v>
      </c>
      <c r="AE582" s="16">
        <v>960</v>
      </c>
      <c r="AF582" s="16">
        <v>2400</v>
      </c>
      <c r="AG582" s="16"/>
      <c r="AH582" s="16"/>
      <c r="AI582" s="16">
        <v>184</v>
      </c>
      <c r="AJ582" s="16">
        <v>460</v>
      </c>
      <c r="AK582" s="16">
        <v>128</v>
      </c>
      <c r="AL582" s="16">
        <v>320</v>
      </c>
      <c r="AM582" s="16">
        <v>7278</v>
      </c>
      <c r="AN582" s="16">
        <v>18192</v>
      </c>
      <c r="AO582" s="15">
        <v>1364</v>
      </c>
      <c r="AP582" s="15">
        <v>3410</v>
      </c>
      <c r="AQ582" s="15">
        <v>32</v>
      </c>
      <c r="AR582" s="15">
        <v>76</v>
      </c>
      <c r="AS582" s="15">
        <v>4632</v>
      </c>
      <c r="AT582" s="15">
        <v>11578</v>
      </c>
      <c r="AU582" s="15">
        <v>100</v>
      </c>
      <c r="AV582" s="15">
        <v>250</v>
      </c>
      <c r="AW582" s="15"/>
      <c r="AX582" s="15"/>
      <c r="AY582" s="27">
        <f t="shared" si="29"/>
        <v>18359</v>
      </c>
      <c r="AZ582" s="27">
        <f t="shared" si="30"/>
        <v>45863</v>
      </c>
    </row>
    <row r="583" spans="1:52" x14ac:dyDescent="0.25">
      <c r="A583" s="13">
        <v>960</v>
      </c>
      <c r="B583" s="19" t="s">
        <v>1224</v>
      </c>
      <c r="C583" s="26" t="s">
        <v>1225</v>
      </c>
      <c r="D583" s="19" t="s">
        <v>42</v>
      </c>
      <c r="E583" s="16"/>
      <c r="F583" s="16"/>
      <c r="G583" s="16">
        <v>400</v>
      </c>
      <c r="H583" s="16">
        <v>1000</v>
      </c>
      <c r="I583" s="16"/>
      <c r="J583" s="16"/>
      <c r="K583" s="16">
        <v>84</v>
      </c>
      <c r="L583" s="16">
        <v>210</v>
      </c>
      <c r="M583" s="16"/>
      <c r="N583" s="16"/>
      <c r="O583" s="16">
        <v>29</v>
      </c>
      <c r="P583" s="16">
        <v>70</v>
      </c>
      <c r="Q583" s="16"/>
      <c r="R583" s="16"/>
      <c r="S583" s="16"/>
      <c r="T583" s="16"/>
      <c r="U583" s="16">
        <v>22</v>
      </c>
      <c r="V583" s="16">
        <v>55</v>
      </c>
      <c r="W583" s="16">
        <v>173</v>
      </c>
      <c r="X583" s="16">
        <v>432</v>
      </c>
      <c r="Y583" s="16"/>
      <c r="Z583" s="16"/>
      <c r="AA583" s="16"/>
      <c r="AB583" s="16"/>
      <c r="AC583" s="16"/>
      <c r="AD583" s="16"/>
      <c r="AE583" s="16">
        <v>40</v>
      </c>
      <c r="AF583" s="16">
        <v>96</v>
      </c>
      <c r="AG583" s="16"/>
      <c r="AH583" s="16"/>
      <c r="AI583" s="16">
        <v>72</v>
      </c>
      <c r="AJ583" s="16">
        <v>180</v>
      </c>
      <c r="AK583" s="16"/>
      <c r="AL583" s="16"/>
      <c r="AM583" s="16">
        <v>260</v>
      </c>
      <c r="AN583" s="16">
        <v>648</v>
      </c>
      <c r="AO583" s="15">
        <v>31</v>
      </c>
      <c r="AP583" s="15">
        <v>76</v>
      </c>
      <c r="AQ583" s="15"/>
      <c r="AR583" s="15"/>
      <c r="AS583" s="15"/>
      <c r="AT583" s="15"/>
      <c r="AU583" s="15"/>
      <c r="AV583" s="15"/>
      <c r="AW583" s="15"/>
      <c r="AX583" s="15"/>
      <c r="AY583" s="27">
        <f t="shared" si="29"/>
        <v>1111</v>
      </c>
      <c r="AZ583" s="27">
        <f t="shared" si="30"/>
        <v>2767</v>
      </c>
    </row>
    <row r="584" spans="1:52" x14ac:dyDescent="0.25">
      <c r="A584" s="13">
        <v>961</v>
      </c>
      <c r="B584" s="19" t="s">
        <v>1226</v>
      </c>
      <c r="C584" s="26" t="s">
        <v>1227</v>
      </c>
      <c r="D584" s="19" t="s">
        <v>42</v>
      </c>
      <c r="E584" s="16">
        <v>4</v>
      </c>
      <c r="F584" s="16">
        <v>6</v>
      </c>
      <c r="G584" s="16">
        <v>20</v>
      </c>
      <c r="H584" s="16">
        <v>50</v>
      </c>
      <c r="I584" s="16"/>
      <c r="J584" s="16"/>
      <c r="K584" s="16">
        <v>82</v>
      </c>
      <c r="L584" s="16">
        <v>202</v>
      </c>
      <c r="M584" s="16"/>
      <c r="N584" s="16"/>
      <c r="O584" s="16">
        <v>29</v>
      </c>
      <c r="P584" s="16">
        <v>70</v>
      </c>
      <c r="Q584" s="16"/>
      <c r="R584" s="16"/>
      <c r="S584" s="16"/>
      <c r="T584" s="16"/>
      <c r="U584" s="16">
        <v>132</v>
      </c>
      <c r="V584" s="16">
        <v>330</v>
      </c>
      <c r="W584" s="16">
        <v>260</v>
      </c>
      <c r="X584" s="16">
        <v>648</v>
      </c>
      <c r="Y584" s="16"/>
      <c r="Z584" s="16"/>
      <c r="AA584" s="16"/>
      <c r="AB584" s="16"/>
      <c r="AC584" s="16"/>
      <c r="AD584" s="16"/>
      <c r="AE584" s="16">
        <v>98</v>
      </c>
      <c r="AF584" s="16">
        <v>241</v>
      </c>
      <c r="AG584" s="16">
        <v>12</v>
      </c>
      <c r="AH584" s="16">
        <v>30</v>
      </c>
      <c r="AI584" s="16">
        <v>20</v>
      </c>
      <c r="AJ584" s="16">
        <v>50</v>
      </c>
      <c r="AK584" s="16">
        <v>16</v>
      </c>
      <c r="AL584" s="16">
        <v>40</v>
      </c>
      <c r="AM584" s="16">
        <v>60</v>
      </c>
      <c r="AN584" s="16">
        <v>144</v>
      </c>
      <c r="AO584" s="15">
        <v>38</v>
      </c>
      <c r="AP584" s="15">
        <v>95</v>
      </c>
      <c r="AQ584" s="15"/>
      <c r="AR584" s="15"/>
      <c r="AS584" s="15">
        <v>1280</v>
      </c>
      <c r="AT584" s="15">
        <v>3200</v>
      </c>
      <c r="AU584" s="15"/>
      <c r="AV584" s="15"/>
      <c r="AW584" s="15"/>
      <c r="AX584" s="15"/>
      <c r="AY584" s="27">
        <f t="shared" si="29"/>
        <v>2051</v>
      </c>
      <c r="AZ584" s="27">
        <f t="shared" si="30"/>
        <v>5106</v>
      </c>
    </row>
    <row r="585" spans="1:52" x14ac:dyDescent="0.25">
      <c r="A585" s="13">
        <v>965</v>
      </c>
      <c r="B585" s="19" t="s">
        <v>1228</v>
      </c>
      <c r="C585" s="26" t="s">
        <v>1229</v>
      </c>
      <c r="D585" s="19" t="s">
        <v>42</v>
      </c>
      <c r="E585" s="16">
        <v>6</v>
      </c>
      <c r="F585" s="16">
        <v>12</v>
      </c>
      <c r="G585" s="16">
        <v>124</v>
      </c>
      <c r="H585" s="16">
        <v>306</v>
      </c>
      <c r="I585" s="16">
        <v>24</v>
      </c>
      <c r="J585" s="16">
        <v>60</v>
      </c>
      <c r="K585" s="16">
        <v>8</v>
      </c>
      <c r="L585" s="16">
        <v>20</v>
      </c>
      <c r="M585" s="16"/>
      <c r="N585" s="16"/>
      <c r="O585" s="16">
        <v>85</v>
      </c>
      <c r="P585" s="16">
        <v>210</v>
      </c>
      <c r="Q585" s="16">
        <v>16</v>
      </c>
      <c r="R585" s="16">
        <v>38</v>
      </c>
      <c r="S585" s="16"/>
      <c r="T585" s="16"/>
      <c r="U585" s="16">
        <v>132</v>
      </c>
      <c r="V585" s="16">
        <v>330</v>
      </c>
      <c r="W585" s="16"/>
      <c r="X585" s="16"/>
      <c r="Y585" s="16"/>
      <c r="Z585" s="16"/>
      <c r="AA585" s="16"/>
      <c r="AB585" s="16"/>
      <c r="AC585" s="16"/>
      <c r="AD585" s="16"/>
      <c r="AE585" s="16">
        <v>21</v>
      </c>
      <c r="AF585" s="16">
        <v>49</v>
      </c>
      <c r="AG585" s="16"/>
      <c r="AH585" s="16"/>
      <c r="AI585" s="16"/>
      <c r="AJ585" s="16"/>
      <c r="AK585" s="16"/>
      <c r="AL585" s="16"/>
      <c r="AM585" s="16">
        <v>40</v>
      </c>
      <c r="AN585" s="16">
        <v>96</v>
      </c>
      <c r="AO585" s="15"/>
      <c r="AP585" s="15"/>
      <c r="AQ585" s="15"/>
      <c r="AR585" s="15"/>
      <c r="AS585" s="15"/>
      <c r="AT585" s="15"/>
      <c r="AU585" s="15"/>
      <c r="AV585" s="15"/>
      <c r="AW585" s="15"/>
      <c r="AX585" s="15"/>
      <c r="AY585" s="27">
        <f t="shared" si="29"/>
        <v>456</v>
      </c>
      <c r="AZ585" s="27">
        <f t="shared" si="30"/>
        <v>1121</v>
      </c>
    </row>
    <row r="586" spans="1:52" x14ac:dyDescent="0.25">
      <c r="A586" s="13">
        <v>966</v>
      </c>
      <c r="B586" s="19" t="s">
        <v>1230</v>
      </c>
      <c r="C586" s="26" t="s">
        <v>1231</v>
      </c>
      <c r="D586" s="19" t="s">
        <v>42</v>
      </c>
      <c r="E586" s="16">
        <v>24</v>
      </c>
      <c r="F586" s="16">
        <v>60</v>
      </c>
      <c r="G586" s="16"/>
      <c r="H586" s="16"/>
      <c r="I586" s="16">
        <v>80</v>
      </c>
      <c r="J586" s="16">
        <v>200</v>
      </c>
      <c r="K586" s="16">
        <v>236</v>
      </c>
      <c r="L586" s="16">
        <v>589</v>
      </c>
      <c r="M586" s="16"/>
      <c r="N586" s="16"/>
      <c r="O586" s="16">
        <v>57</v>
      </c>
      <c r="P586" s="16">
        <v>140</v>
      </c>
      <c r="Q586" s="16">
        <v>16</v>
      </c>
      <c r="R586" s="16">
        <v>38</v>
      </c>
      <c r="S586" s="16"/>
      <c r="T586" s="16"/>
      <c r="U586" s="16">
        <v>124</v>
      </c>
      <c r="V586" s="16">
        <v>308</v>
      </c>
      <c r="W586" s="16">
        <v>26</v>
      </c>
      <c r="X586" s="16">
        <v>64</v>
      </c>
      <c r="Y586" s="16"/>
      <c r="Z586" s="16"/>
      <c r="AA586" s="16"/>
      <c r="AB586" s="16"/>
      <c r="AC586" s="16">
        <v>8</v>
      </c>
      <c r="AD586" s="16">
        <v>18</v>
      </c>
      <c r="AE586" s="16">
        <v>51</v>
      </c>
      <c r="AF586" s="16">
        <v>121</v>
      </c>
      <c r="AG586" s="16">
        <v>40</v>
      </c>
      <c r="AH586" s="16">
        <v>100</v>
      </c>
      <c r="AI586" s="16">
        <v>616</v>
      </c>
      <c r="AJ586" s="16">
        <v>1540</v>
      </c>
      <c r="AK586" s="16">
        <v>374</v>
      </c>
      <c r="AL586" s="16">
        <v>930</v>
      </c>
      <c r="AM586" s="16">
        <v>846</v>
      </c>
      <c r="AN586" s="16">
        <v>2112</v>
      </c>
      <c r="AO586" s="15">
        <v>4</v>
      </c>
      <c r="AP586" s="15">
        <v>10</v>
      </c>
      <c r="AQ586" s="15">
        <v>4</v>
      </c>
      <c r="AR586" s="15">
        <v>10</v>
      </c>
      <c r="AS586" s="15">
        <v>6680</v>
      </c>
      <c r="AT586" s="15">
        <v>16700</v>
      </c>
      <c r="AU586" s="15">
        <v>100</v>
      </c>
      <c r="AV586" s="15">
        <v>250</v>
      </c>
      <c r="AW586" s="15"/>
      <c r="AX586" s="15"/>
      <c r="AY586" s="27">
        <f t="shared" si="29"/>
        <v>9286</v>
      </c>
      <c r="AZ586" s="27">
        <f t="shared" si="30"/>
        <v>23190</v>
      </c>
    </row>
    <row r="587" spans="1:52" x14ac:dyDescent="0.25">
      <c r="A587" s="13">
        <v>967</v>
      </c>
      <c r="B587" s="19" t="s">
        <v>1232</v>
      </c>
      <c r="C587" s="26" t="s">
        <v>1233</v>
      </c>
      <c r="D587" s="19" t="s">
        <v>42</v>
      </c>
      <c r="E587" s="16">
        <v>4</v>
      </c>
      <c r="F587" s="16">
        <v>10</v>
      </c>
      <c r="G587" s="16">
        <v>70</v>
      </c>
      <c r="H587" s="16">
        <v>174</v>
      </c>
      <c r="I587" s="16">
        <v>240</v>
      </c>
      <c r="J587" s="16">
        <v>600</v>
      </c>
      <c r="K587" s="16">
        <v>712</v>
      </c>
      <c r="L587" s="16">
        <v>1780</v>
      </c>
      <c r="M587" s="16">
        <v>78</v>
      </c>
      <c r="N587" s="16">
        <v>194</v>
      </c>
      <c r="O587" s="16">
        <v>114</v>
      </c>
      <c r="P587" s="16">
        <v>280</v>
      </c>
      <c r="Q587" s="16">
        <v>24</v>
      </c>
      <c r="R587" s="16">
        <v>58</v>
      </c>
      <c r="S587" s="16">
        <v>40</v>
      </c>
      <c r="T587" s="16">
        <v>96</v>
      </c>
      <c r="U587" s="16">
        <v>176</v>
      </c>
      <c r="V587" s="16">
        <v>440</v>
      </c>
      <c r="W587" s="16">
        <v>232</v>
      </c>
      <c r="X587" s="16">
        <v>580</v>
      </c>
      <c r="Y587" s="16">
        <v>154</v>
      </c>
      <c r="Z587" s="16">
        <v>384</v>
      </c>
      <c r="AA587" s="16">
        <v>8</v>
      </c>
      <c r="AB587" s="16">
        <v>20</v>
      </c>
      <c r="AC587" s="16">
        <v>87</v>
      </c>
      <c r="AD587" s="16">
        <v>215</v>
      </c>
      <c r="AE587" s="16">
        <v>480</v>
      </c>
      <c r="AF587" s="16">
        <v>1200</v>
      </c>
      <c r="AG587" s="16">
        <v>240</v>
      </c>
      <c r="AH587" s="16">
        <v>600</v>
      </c>
      <c r="AI587" s="16">
        <v>1080</v>
      </c>
      <c r="AJ587" s="16">
        <v>2700</v>
      </c>
      <c r="AK587" s="16">
        <v>264</v>
      </c>
      <c r="AL587" s="16">
        <v>660</v>
      </c>
      <c r="AM587" s="16">
        <v>202</v>
      </c>
      <c r="AN587" s="16">
        <v>504</v>
      </c>
      <c r="AO587" s="15">
        <v>17</v>
      </c>
      <c r="AP587" s="15">
        <v>41</v>
      </c>
      <c r="AQ587" s="15">
        <v>16</v>
      </c>
      <c r="AR587" s="15">
        <v>40</v>
      </c>
      <c r="AS587" s="15">
        <v>580</v>
      </c>
      <c r="AT587" s="15">
        <v>1450</v>
      </c>
      <c r="AU587" s="15">
        <v>62</v>
      </c>
      <c r="AV587" s="15">
        <v>154</v>
      </c>
      <c r="AW587" s="15"/>
      <c r="AX587" s="15"/>
      <c r="AY587" s="27">
        <f t="shared" si="29"/>
        <v>4880</v>
      </c>
      <c r="AZ587" s="27">
        <f t="shared" si="30"/>
        <v>12180</v>
      </c>
    </row>
    <row r="588" spans="1:52" x14ac:dyDescent="0.25">
      <c r="A588" s="13">
        <v>968</v>
      </c>
      <c r="B588" s="19" t="s">
        <v>1234</v>
      </c>
      <c r="C588" s="26" t="s">
        <v>1235</v>
      </c>
      <c r="D588" s="19" t="s">
        <v>42</v>
      </c>
      <c r="E588" s="16">
        <v>2</v>
      </c>
      <c r="F588" s="16">
        <v>4</v>
      </c>
      <c r="G588" s="16"/>
      <c r="H588" s="16"/>
      <c r="I588" s="16"/>
      <c r="J588" s="16"/>
      <c r="K588" s="16"/>
      <c r="L588" s="16"/>
      <c r="M588" s="16"/>
      <c r="N588" s="16"/>
      <c r="O588" s="16">
        <v>29</v>
      </c>
      <c r="P588" s="16">
        <v>70</v>
      </c>
      <c r="Q588" s="16"/>
      <c r="R588" s="16"/>
      <c r="S588" s="16"/>
      <c r="T588" s="16"/>
      <c r="U588" s="16">
        <v>247</v>
      </c>
      <c r="V588" s="16">
        <v>616</v>
      </c>
      <c r="W588" s="16">
        <v>7</v>
      </c>
      <c r="X588" s="16">
        <v>14</v>
      </c>
      <c r="Y588" s="16"/>
      <c r="Z588" s="16"/>
      <c r="AA588" s="16"/>
      <c r="AB588" s="16"/>
      <c r="AC588" s="16"/>
      <c r="AD588" s="16"/>
      <c r="AE588" s="16"/>
      <c r="AF588" s="16"/>
      <c r="AG588" s="16">
        <v>2</v>
      </c>
      <c r="AH588" s="16">
        <v>4</v>
      </c>
      <c r="AI588" s="16"/>
      <c r="AJ588" s="16"/>
      <c r="AK588" s="16"/>
      <c r="AL588" s="16"/>
      <c r="AM588" s="16">
        <v>126</v>
      </c>
      <c r="AN588" s="16">
        <v>312</v>
      </c>
      <c r="AO588" s="15"/>
      <c r="AP588" s="15"/>
      <c r="AQ588" s="15"/>
      <c r="AR588" s="15"/>
      <c r="AS588" s="15">
        <v>10300</v>
      </c>
      <c r="AT588" s="15">
        <v>25750</v>
      </c>
      <c r="AU588" s="15"/>
      <c r="AV588" s="15"/>
      <c r="AW588" s="15"/>
      <c r="AX588" s="15"/>
      <c r="AY588" s="27">
        <f t="shared" si="29"/>
        <v>10713</v>
      </c>
      <c r="AZ588" s="27">
        <f t="shared" si="30"/>
        <v>26770</v>
      </c>
    </row>
    <row r="589" spans="1:52" x14ac:dyDescent="0.25">
      <c r="A589" s="13">
        <v>969</v>
      </c>
      <c r="B589" s="19" t="s">
        <v>1236</v>
      </c>
      <c r="C589" s="26" t="s">
        <v>1237</v>
      </c>
      <c r="D589" s="19" t="s">
        <v>42</v>
      </c>
      <c r="E589" s="16">
        <v>4</v>
      </c>
      <c r="F589" s="16">
        <v>6</v>
      </c>
      <c r="G589" s="16"/>
      <c r="H589" s="16"/>
      <c r="I589" s="16">
        <v>500</v>
      </c>
      <c r="J589" s="16">
        <v>1250</v>
      </c>
      <c r="K589" s="16">
        <v>410</v>
      </c>
      <c r="L589" s="16">
        <v>1022</v>
      </c>
      <c r="M589" s="16">
        <v>378</v>
      </c>
      <c r="N589" s="16">
        <v>940</v>
      </c>
      <c r="O589" s="16">
        <v>121</v>
      </c>
      <c r="P589" s="16">
        <v>297</v>
      </c>
      <c r="Q589" s="16">
        <v>8</v>
      </c>
      <c r="R589" s="16">
        <v>18</v>
      </c>
      <c r="S589" s="16">
        <v>6</v>
      </c>
      <c r="T589" s="16">
        <v>9</v>
      </c>
      <c r="U589" s="16">
        <v>440</v>
      </c>
      <c r="V589" s="16">
        <v>1100</v>
      </c>
      <c r="W589" s="16">
        <v>15</v>
      </c>
      <c r="X589" s="16">
        <v>36</v>
      </c>
      <c r="Y589" s="16"/>
      <c r="Z589" s="16"/>
      <c r="AA589" s="16">
        <v>20</v>
      </c>
      <c r="AB589" s="16">
        <v>50</v>
      </c>
      <c r="AC589" s="16">
        <v>35</v>
      </c>
      <c r="AD589" s="16">
        <v>86</v>
      </c>
      <c r="AE589" s="16">
        <v>51</v>
      </c>
      <c r="AF589" s="16">
        <v>121</v>
      </c>
      <c r="AG589" s="16">
        <v>34</v>
      </c>
      <c r="AH589" s="16">
        <v>83</v>
      </c>
      <c r="AI589" s="16">
        <v>224</v>
      </c>
      <c r="AJ589" s="16">
        <v>560</v>
      </c>
      <c r="AK589" s="16">
        <v>370</v>
      </c>
      <c r="AL589" s="16">
        <v>924</v>
      </c>
      <c r="AM589" s="16">
        <v>298</v>
      </c>
      <c r="AN589" s="16">
        <v>744</v>
      </c>
      <c r="AO589" s="15">
        <v>176</v>
      </c>
      <c r="AP589" s="15">
        <v>440</v>
      </c>
      <c r="AQ589" s="15"/>
      <c r="AR589" s="15"/>
      <c r="AS589" s="15">
        <v>6704</v>
      </c>
      <c r="AT589" s="15">
        <v>16760</v>
      </c>
      <c r="AU589" s="15"/>
      <c r="AV589" s="15"/>
      <c r="AW589" s="15"/>
      <c r="AX589" s="15"/>
      <c r="AY589" s="27">
        <f t="shared" si="29"/>
        <v>9794</v>
      </c>
      <c r="AZ589" s="27">
        <f t="shared" si="30"/>
        <v>24446</v>
      </c>
    </row>
    <row r="590" spans="1:52" x14ac:dyDescent="0.25">
      <c r="A590" s="13">
        <v>970</v>
      </c>
      <c r="B590" s="19" t="s">
        <v>1238</v>
      </c>
      <c r="C590" s="26" t="s">
        <v>1239</v>
      </c>
      <c r="D590" s="19" t="s">
        <v>42</v>
      </c>
      <c r="E590" s="16">
        <v>2</v>
      </c>
      <c r="F590" s="16">
        <v>4</v>
      </c>
      <c r="G590" s="16"/>
      <c r="H590" s="16"/>
      <c r="I590" s="16"/>
      <c r="J590" s="16"/>
      <c r="K590" s="16"/>
      <c r="L590" s="16"/>
      <c r="M590" s="16"/>
      <c r="N590" s="16"/>
      <c r="O590" s="16">
        <v>29</v>
      </c>
      <c r="P590" s="16">
        <v>70</v>
      </c>
      <c r="Q590" s="16"/>
      <c r="R590" s="16"/>
      <c r="S590" s="16"/>
      <c r="T590" s="16"/>
      <c r="U590" s="16">
        <v>11</v>
      </c>
      <c r="V590" s="16">
        <v>27</v>
      </c>
      <c r="W590" s="16"/>
      <c r="X590" s="16"/>
      <c r="Y590" s="16"/>
      <c r="Z590" s="16"/>
      <c r="AA590" s="16"/>
      <c r="AB590" s="16"/>
      <c r="AC590" s="16"/>
      <c r="AD590" s="16"/>
      <c r="AE590" s="16"/>
      <c r="AF590" s="16"/>
      <c r="AG590" s="16"/>
      <c r="AH590" s="16"/>
      <c r="AI590" s="16">
        <v>98</v>
      </c>
      <c r="AJ590" s="16">
        <v>242</v>
      </c>
      <c r="AK590" s="16"/>
      <c r="AL590" s="16"/>
      <c r="AM590" s="16">
        <v>240</v>
      </c>
      <c r="AN590" s="16">
        <v>600</v>
      </c>
      <c r="AO590" s="15"/>
      <c r="AP590" s="15"/>
      <c r="AQ590" s="15"/>
      <c r="AR590" s="15"/>
      <c r="AS590" s="15">
        <v>2854</v>
      </c>
      <c r="AT590" s="15">
        <v>7135</v>
      </c>
      <c r="AU590" s="15"/>
      <c r="AV590" s="15"/>
      <c r="AW590" s="15"/>
      <c r="AX590" s="15"/>
      <c r="AY590" s="27">
        <f t="shared" si="29"/>
        <v>3234</v>
      </c>
      <c r="AZ590" s="27">
        <f t="shared" si="30"/>
        <v>8078</v>
      </c>
    </row>
    <row r="591" spans="1:52" x14ac:dyDescent="0.25">
      <c r="A591" s="13">
        <v>971</v>
      </c>
      <c r="B591" s="19" t="s">
        <v>1240</v>
      </c>
      <c r="C591" s="26" t="s">
        <v>1241</v>
      </c>
      <c r="D591" s="19" t="s">
        <v>42</v>
      </c>
      <c r="E591" s="16">
        <v>60</v>
      </c>
      <c r="F591" s="16">
        <v>150</v>
      </c>
      <c r="G591" s="16"/>
      <c r="H591" s="16"/>
      <c r="I591" s="16">
        <v>480</v>
      </c>
      <c r="J591" s="16">
        <v>1200</v>
      </c>
      <c r="K591" s="16">
        <v>342</v>
      </c>
      <c r="L591" s="16">
        <v>852</v>
      </c>
      <c r="M591" s="16">
        <v>400</v>
      </c>
      <c r="N591" s="16">
        <v>994</v>
      </c>
      <c r="O591" s="16">
        <v>29</v>
      </c>
      <c r="P591" s="16">
        <v>70</v>
      </c>
      <c r="Q591" s="16"/>
      <c r="R591" s="16"/>
      <c r="S591" s="16"/>
      <c r="T591" s="16"/>
      <c r="U591" s="16">
        <v>22</v>
      </c>
      <c r="V591" s="16">
        <v>53</v>
      </c>
      <c r="W591" s="16"/>
      <c r="X591" s="16"/>
      <c r="Y591" s="16">
        <v>160</v>
      </c>
      <c r="Z591" s="16">
        <v>400</v>
      </c>
      <c r="AA591" s="16"/>
      <c r="AB591" s="16"/>
      <c r="AC591" s="16"/>
      <c r="AD591" s="16"/>
      <c r="AE591" s="16">
        <v>30</v>
      </c>
      <c r="AF591" s="16">
        <v>73</v>
      </c>
      <c r="AG591" s="16">
        <v>4</v>
      </c>
      <c r="AH591" s="16">
        <v>10</v>
      </c>
      <c r="AI591" s="16">
        <v>90</v>
      </c>
      <c r="AJ591" s="16">
        <v>222</v>
      </c>
      <c r="AK591" s="16">
        <v>528</v>
      </c>
      <c r="AL591" s="16">
        <v>1316</v>
      </c>
      <c r="AM591" s="16">
        <v>250</v>
      </c>
      <c r="AN591" s="16">
        <v>624</v>
      </c>
      <c r="AO591" s="15">
        <v>320</v>
      </c>
      <c r="AP591" s="15">
        <v>800</v>
      </c>
      <c r="AQ591" s="15"/>
      <c r="AR591" s="15"/>
      <c r="AS591" s="15">
        <v>456</v>
      </c>
      <c r="AT591" s="15">
        <v>1140</v>
      </c>
      <c r="AU591" s="15"/>
      <c r="AV591" s="15"/>
      <c r="AW591" s="15"/>
      <c r="AX591" s="15"/>
      <c r="AY591" s="27">
        <f t="shared" si="29"/>
        <v>3171</v>
      </c>
      <c r="AZ591" s="27">
        <f t="shared" si="30"/>
        <v>7904</v>
      </c>
    </row>
    <row r="592" spans="1:52" x14ac:dyDescent="0.25">
      <c r="A592" s="13">
        <v>973</v>
      </c>
      <c r="B592" s="19" t="s">
        <v>1242</v>
      </c>
      <c r="C592" s="26" t="s">
        <v>1243</v>
      </c>
      <c r="D592" s="19" t="s">
        <v>42</v>
      </c>
      <c r="E592" s="16">
        <v>802</v>
      </c>
      <c r="F592" s="16">
        <v>2004</v>
      </c>
      <c r="G592" s="16">
        <v>166</v>
      </c>
      <c r="H592" s="16">
        <v>412</v>
      </c>
      <c r="I592" s="16">
        <v>3680</v>
      </c>
      <c r="J592" s="16">
        <v>9200</v>
      </c>
      <c r="K592" s="16">
        <v>2065</v>
      </c>
      <c r="L592" s="16">
        <v>5161</v>
      </c>
      <c r="M592" s="16">
        <v>965</v>
      </c>
      <c r="N592" s="16">
        <v>2408</v>
      </c>
      <c r="O592" s="16">
        <v>191</v>
      </c>
      <c r="P592" s="16">
        <v>475</v>
      </c>
      <c r="Q592" s="16">
        <v>324</v>
      </c>
      <c r="R592" s="16">
        <v>810</v>
      </c>
      <c r="S592" s="16">
        <v>80</v>
      </c>
      <c r="T592" s="16">
        <v>200</v>
      </c>
      <c r="U592" s="16">
        <v>352</v>
      </c>
      <c r="V592" s="16">
        <v>880</v>
      </c>
      <c r="W592" s="16">
        <v>312</v>
      </c>
      <c r="X592" s="16">
        <v>780</v>
      </c>
      <c r="Y592" s="16">
        <v>832</v>
      </c>
      <c r="Z592" s="16">
        <v>2080</v>
      </c>
      <c r="AA592" s="16">
        <v>43</v>
      </c>
      <c r="AB592" s="16">
        <v>105</v>
      </c>
      <c r="AC592" s="16">
        <v>286</v>
      </c>
      <c r="AD592" s="16">
        <v>715</v>
      </c>
      <c r="AE592" s="16">
        <v>2880</v>
      </c>
      <c r="AF592" s="16">
        <v>7200</v>
      </c>
      <c r="AG592" s="16"/>
      <c r="AH592" s="16"/>
      <c r="AI592" s="16">
        <v>1120</v>
      </c>
      <c r="AJ592" s="16">
        <v>2800</v>
      </c>
      <c r="AK592" s="16">
        <v>166</v>
      </c>
      <c r="AL592" s="16">
        <v>414</v>
      </c>
      <c r="AM592" s="16">
        <v>20</v>
      </c>
      <c r="AN592" s="16">
        <v>48</v>
      </c>
      <c r="AO592" s="15">
        <v>976</v>
      </c>
      <c r="AP592" s="15">
        <v>2440</v>
      </c>
      <c r="AQ592" s="15">
        <v>6</v>
      </c>
      <c r="AR592" s="15">
        <v>12</v>
      </c>
      <c r="AS592" s="15"/>
      <c r="AT592" s="15"/>
      <c r="AU592" s="15">
        <v>104</v>
      </c>
      <c r="AV592" s="15">
        <v>260</v>
      </c>
      <c r="AW592" s="15"/>
      <c r="AX592" s="15"/>
      <c r="AY592" s="27">
        <f t="shared" si="29"/>
        <v>15370</v>
      </c>
      <c r="AZ592" s="27">
        <f t="shared" si="30"/>
        <v>38404</v>
      </c>
    </row>
    <row r="593" spans="1:52" x14ac:dyDescent="0.25">
      <c r="A593" s="13">
        <v>974</v>
      </c>
      <c r="B593" s="19" t="s">
        <v>1244</v>
      </c>
      <c r="C593" s="26" t="s">
        <v>1245</v>
      </c>
      <c r="D593" s="19" t="s">
        <v>42</v>
      </c>
      <c r="E593" s="16">
        <v>10</v>
      </c>
      <c r="F593" s="16">
        <v>24</v>
      </c>
      <c r="G593" s="16">
        <v>12</v>
      </c>
      <c r="H593" s="16">
        <v>24</v>
      </c>
      <c r="I593" s="16">
        <v>80</v>
      </c>
      <c r="J593" s="16">
        <v>200</v>
      </c>
      <c r="K593" s="16">
        <v>2240</v>
      </c>
      <c r="L593" s="16">
        <v>5600</v>
      </c>
      <c r="M593" s="16">
        <v>200</v>
      </c>
      <c r="N593" s="16">
        <v>500</v>
      </c>
      <c r="O593" s="16">
        <v>57</v>
      </c>
      <c r="P593" s="16">
        <v>140</v>
      </c>
      <c r="Q593" s="16"/>
      <c r="R593" s="16"/>
      <c r="S593" s="16">
        <v>20</v>
      </c>
      <c r="T593" s="16">
        <v>48</v>
      </c>
      <c r="U593" s="16">
        <v>44</v>
      </c>
      <c r="V593" s="16">
        <v>110</v>
      </c>
      <c r="W593" s="16">
        <v>79</v>
      </c>
      <c r="X593" s="16">
        <v>196</v>
      </c>
      <c r="Y593" s="16">
        <v>632</v>
      </c>
      <c r="Z593" s="16">
        <v>1576</v>
      </c>
      <c r="AA593" s="16"/>
      <c r="AB593" s="16"/>
      <c r="AC593" s="16">
        <v>132</v>
      </c>
      <c r="AD593" s="16">
        <v>330</v>
      </c>
      <c r="AE593" s="16">
        <v>624</v>
      </c>
      <c r="AF593" s="16">
        <v>1560</v>
      </c>
      <c r="AG593" s="16"/>
      <c r="AH593" s="16"/>
      <c r="AI593" s="16">
        <v>96</v>
      </c>
      <c r="AJ593" s="16">
        <v>240</v>
      </c>
      <c r="AK593" s="16"/>
      <c r="AL593" s="16"/>
      <c r="AM593" s="16"/>
      <c r="AN593" s="16"/>
      <c r="AO593" s="15">
        <v>33</v>
      </c>
      <c r="AP593" s="15">
        <v>82</v>
      </c>
      <c r="AQ593" s="15"/>
      <c r="AR593" s="15"/>
      <c r="AS593" s="15"/>
      <c r="AT593" s="15"/>
      <c r="AU593" s="15"/>
      <c r="AV593" s="15"/>
      <c r="AW593" s="15"/>
      <c r="AX593" s="15"/>
      <c r="AY593" s="27">
        <f t="shared" si="29"/>
        <v>4259</v>
      </c>
      <c r="AZ593" s="27">
        <f t="shared" si="30"/>
        <v>10630</v>
      </c>
    </row>
    <row r="594" spans="1:52" x14ac:dyDescent="0.25">
      <c r="A594" s="13">
        <v>975</v>
      </c>
      <c r="B594" s="19" t="s">
        <v>1246</v>
      </c>
      <c r="C594" s="26" t="s">
        <v>1247</v>
      </c>
      <c r="D594" s="19" t="s">
        <v>42</v>
      </c>
      <c r="E594" s="16">
        <v>2</v>
      </c>
      <c r="F594" s="16">
        <v>4</v>
      </c>
      <c r="G594" s="16">
        <v>200</v>
      </c>
      <c r="H594" s="16">
        <v>500</v>
      </c>
      <c r="I594" s="16"/>
      <c r="J594" s="16"/>
      <c r="K594" s="16">
        <v>162</v>
      </c>
      <c r="L594" s="16">
        <v>404</v>
      </c>
      <c r="M594" s="16">
        <v>292</v>
      </c>
      <c r="N594" s="16">
        <v>730</v>
      </c>
      <c r="O594" s="16">
        <v>562</v>
      </c>
      <c r="P594" s="16">
        <v>1400</v>
      </c>
      <c r="Q594" s="16"/>
      <c r="R594" s="16"/>
      <c r="S594" s="16"/>
      <c r="T594" s="16"/>
      <c r="U594" s="16">
        <v>132</v>
      </c>
      <c r="V594" s="16">
        <v>330</v>
      </c>
      <c r="W594" s="16">
        <v>9</v>
      </c>
      <c r="X594" s="16">
        <v>22</v>
      </c>
      <c r="Y594" s="16">
        <v>842</v>
      </c>
      <c r="Z594" s="16">
        <v>2104</v>
      </c>
      <c r="AA594" s="16"/>
      <c r="AB594" s="16"/>
      <c r="AC594" s="16"/>
      <c r="AD594" s="16"/>
      <c r="AE594" s="16">
        <v>4800</v>
      </c>
      <c r="AF594" s="16">
        <v>12000</v>
      </c>
      <c r="AG594" s="16"/>
      <c r="AH594" s="16"/>
      <c r="AI594" s="16">
        <v>8</v>
      </c>
      <c r="AJ594" s="16">
        <v>20</v>
      </c>
      <c r="AK594" s="16">
        <v>800</v>
      </c>
      <c r="AL594" s="16">
        <v>2000</v>
      </c>
      <c r="AM594" s="16"/>
      <c r="AN594" s="16"/>
      <c r="AO594" s="15">
        <v>132</v>
      </c>
      <c r="AP594" s="15">
        <v>330</v>
      </c>
      <c r="AQ594" s="15"/>
      <c r="AR594" s="15"/>
      <c r="AS594" s="15"/>
      <c r="AT594" s="15"/>
      <c r="AU594" s="15"/>
      <c r="AV594" s="15"/>
      <c r="AW594" s="15"/>
      <c r="AX594" s="15"/>
      <c r="AY594" s="27">
        <f t="shared" si="29"/>
        <v>7941</v>
      </c>
      <c r="AZ594" s="27">
        <f t="shared" si="30"/>
        <v>19844</v>
      </c>
    </row>
    <row r="595" spans="1:52" x14ac:dyDescent="0.25">
      <c r="A595" s="13">
        <v>976</v>
      </c>
      <c r="B595" s="19" t="s">
        <v>1248</v>
      </c>
      <c r="C595" s="26" t="s">
        <v>1249</v>
      </c>
      <c r="D595" s="19" t="s">
        <v>42</v>
      </c>
      <c r="E595" s="16"/>
      <c r="F595" s="16"/>
      <c r="G595" s="16">
        <v>24</v>
      </c>
      <c r="H595" s="16">
        <v>60</v>
      </c>
      <c r="I595" s="16"/>
      <c r="J595" s="16"/>
      <c r="K595" s="16">
        <v>328</v>
      </c>
      <c r="L595" s="16">
        <v>820</v>
      </c>
      <c r="M595" s="16">
        <v>288</v>
      </c>
      <c r="N595" s="16">
        <v>720</v>
      </c>
      <c r="O595" s="16">
        <v>4</v>
      </c>
      <c r="P595" s="16">
        <v>7</v>
      </c>
      <c r="Q595" s="16">
        <v>64</v>
      </c>
      <c r="R595" s="16">
        <v>160</v>
      </c>
      <c r="S595" s="16">
        <v>8</v>
      </c>
      <c r="T595" s="16">
        <v>20</v>
      </c>
      <c r="U595" s="16">
        <v>88</v>
      </c>
      <c r="V595" s="16">
        <v>220</v>
      </c>
      <c r="W595" s="16">
        <v>104</v>
      </c>
      <c r="X595" s="16">
        <v>260</v>
      </c>
      <c r="Y595" s="16">
        <v>34</v>
      </c>
      <c r="Z595" s="16">
        <v>82</v>
      </c>
      <c r="AA595" s="16">
        <v>4</v>
      </c>
      <c r="AB595" s="16">
        <v>8</v>
      </c>
      <c r="AC595" s="16"/>
      <c r="AD595" s="16"/>
      <c r="AE595" s="16">
        <v>8</v>
      </c>
      <c r="AF595" s="16">
        <v>16</v>
      </c>
      <c r="AG595" s="16">
        <v>38</v>
      </c>
      <c r="AH595" s="16">
        <v>95</v>
      </c>
      <c r="AI595" s="16">
        <v>24</v>
      </c>
      <c r="AJ595" s="16">
        <v>60</v>
      </c>
      <c r="AK595" s="16">
        <v>16</v>
      </c>
      <c r="AL595" s="16">
        <v>40</v>
      </c>
      <c r="AM595" s="16"/>
      <c r="AN595" s="16"/>
      <c r="AO595" s="15">
        <v>4</v>
      </c>
      <c r="AP595" s="15">
        <v>10</v>
      </c>
      <c r="AQ595" s="15"/>
      <c r="AR595" s="15"/>
      <c r="AS595" s="15"/>
      <c r="AT595" s="15"/>
      <c r="AU595" s="15"/>
      <c r="AV595" s="15"/>
      <c r="AW595" s="15"/>
      <c r="AX595" s="15"/>
      <c r="AY595" s="27">
        <f t="shared" si="29"/>
        <v>1036</v>
      </c>
      <c r="AZ595" s="27">
        <f t="shared" si="30"/>
        <v>2578</v>
      </c>
    </row>
    <row r="596" spans="1:52" x14ac:dyDescent="0.25">
      <c r="A596" s="13">
        <v>977</v>
      </c>
      <c r="B596" s="19" t="s">
        <v>1250</v>
      </c>
      <c r="C596" s="26" t="s">
        <v>1251</v>
      </c>
      <c r="D596" s="19" t="s">
        <v>42</v>
      </c>
      <c r="E596" s="16">
        <v>400</v>
      </c>
      <c r="F596" s="16">
        <v>1000</v>
      </c>
      <c r="G596" s="16">
        <v>166</v>
      </c>
      <c r="H596" s="16">
        <v>412</v>
      </c>
      <c r="I596" s="16">
        <v>1152</v>
      </c>
      <c r="J596" s="16">
        <v>2880</v>
      </c>
      <c r="K596" s="16">
        <v>124</v>
      </c>
      <c r="L596" s="16">
        <v>310</v>
      </c>
      <c r="M596" s="16">
        <v>10886</v>
      </c>
      <c r="N596" s="16">
        <v>27214</v>
      </c>
      <c r="O596" s="16">
        <v>314</v>
      </c>
      <c r="P596" s="16">
        <v>782</v>
      </c>
      <c r="Q596" s="16">
        <v>82</v>
      </c>
      <c r="R596" s="16">
        <v>202</v>
      </c>
      <c r="S596" s="16">
        <v>48</v>
      </c>
      <c r="T596" s="16">
        <v>120</v>
      </c>
      <c r="U596" s="16">
        <v>220</v>
      </c>
      <c r="V596" s="16">
        <v>550</v>
      </c>
      <c r="W596" s="16">
        <v>288</v>
      </c>
      <c r="X596" s="16">
        <v>720</v>
      </c>
      <c r="Y596" s="16">
        <v>352</v>
      </c>
      <c r="Z596" s="16">
        <v>880</v>
      </c>
      <c r="AA596" s="16">
        <v>400</v>
      </c>
      <c r="AB596" s="16">
        <v>1000</v>
      </c>
      <c r="AC596" s="16">
        <v>18194</v>
      </c>
      <c r="AD596" s="16">
        <v>45481</v>
      </c>
      <c r="AE596" s="16">
        <v>768</v>
      </c>
      <c r="AF596" s="16">
        <v>1920</v>
      </c>
      <c r="AG596" s="16">
        <v>4080</v>
      </c>
      <c r="AH596" s="16">
        <v>10200</v>
      </c>
      <c r="AI596" s="16">
        <v>30</v>
      </c>
      <c r="AJ596" s="16">
        <v>72</v>
      </c>
      <c r="AK596" s="16">
        <v>24864</v>
      </c>
      <c r="AL596" s="16">
        <v>62160</v>
      </c>
      <c r="AM596" s="16">
        <v>336</v>
      </c>
      <c r="AN596" s="16">
        <v>840</v>
      </c>
      <c r="AO596" s="15">
        <v>6720</v>
      </c>
      <c r="AP596" s="15">
        <v>16800</v>
      </c>
      <c r="AQ596" s="15">
        <v>48</v>
      </c>
      <c r="AR596" s="15">
        <v>120</v>
      </c>
      <c r="AS596" s="15">
        <v>24</v>
      </c>
      <c r="AT596" s="15">
        <v>60</v>
      </c>
      <c r="AU596" s="15">
        <v>600</v>
      </c>
      <c r="AV596" s="15">
        <v>1500</v>
      </c>
      <c r="AW596" s="15">
        <v>78</v>
      </c>
      <c r="AX596" s="15">
        <v>192</v>
      </c>
      <c r="AY596" s="27">
        <f t="shared" si="29"/>
        <v>70174</v>
      </c>
      <c r="AZ596" s="27">
        <f t="shared" si="30"/>
        <v>175415</v>
      </c>
    </row>
    <row r="597" spans="1:52" x14ac:dyDescent="0.25">
      <c r="A597" s="13">
        <v>978</v>
      </c>
      <c r="B597" s="19" t="s">
        <v>1252</v>
      </c>
      <c r="C597" s="26" t="s">
        <v>1253</v>
      </c>
      <c r="D597" s="19" t="s">
        <v>42</v>
      </c>
      <c r="E597" s="16">
        <v>40</v>
      </c>
      <c r="F597" s="16">
        <v>100</v>
      </c>
      <c r="G597" s="16"/>
      <c r="H597" s="16"/>
      <c r="I597" s="16">
        <v>906</v>
      </c>
      <c r="J597" s="16">
        <v>2264</v>
      </c>
      <c r="K597" s="16">
        <v>636</v>
      </c>
      <c r="L597" s="16">
        <v>1584</v>
      </c>
      <c r="M597" s="16">
        <v>226</v>
      </c>
      <c r="N597" s="16">
        <v>560</v>
      </c>
      <c r="O597" s="16">
        <v>29</v>
      </c>
      <c r="P597" s="16">
        <v>70</v>
      </c>
      <c r="Q597" s="16">
        <v>8</v>
      </c>
      <c r="R597" s="16">
        <v>18</v>
      </c>
      <c r="S597" s="16"/>
      <c r="T597" s="16"/>
      <c r="U597" s="16">
        <v>54</v>
      </c>
      <c r="V597" s="16">
        <v>132</v>
      </c>
      <c r="W597" s="16">
        <v>96</v>
      </c>
      <c r="X597" s="16">
        <v>240</v>
      </c>
      <c r="Y597" s="16">
        <v>72</v>
      </c>
      <c r="Z597" s="16">
        <v>176</v>
      </c>
      <c r="AA597" s="16">
        <v>28</v>
      </c>
      <c r="AB597" s="16">
        <v>70</v>
      </c>
      <c r="AC597" s="16"/>
      <c r="AD597" s="16"/>
      <c r="AE597" s="16">
        <v>480</v>
      </c>
      <c r="AF597" s="16">
        <v>1200</v>
      </c>
      <c r="AG597" s="16">
        <v>12</v>
      </c>
      <c r="AH597" s="16">
        <v>30</v>
      </c>
      <c r="AI597" s="16">
        <v>16</v>
      </c>
      <c r="AJ597" s="16">
        <v>40</v>
      </c>
      <c r="AK597" s="16">
        <v>496</v>
      </c>
      <c r="AL597" s="16">
        <v>1236</v>
      </c>
      <c r="AM597" s="16">
        <v>606</v>
      </c>
      <c r="AN597" s="16">
        <v>1512</v>
      </c>
      <c r="AO597" s="15">
        <v>88</v>
      </c>
      <c r="AP597" s="15">
        <v>220</v>
      </c>
      <c r="AQ597" s="15">
        <v>2</v>
      </c>
      <c r="AR597" s="15">
        <v>4</v>
      </c>
      <c r="AS597" s="15">
        <v>174</v>
      </c>
      <c r="AT597" s="15">
        <v>435</v>
      </c>
      <c r="AU597" s="15">
        <v>24</v>
      </c>
      <c r="AV597" s="15">
        <v>60</v>
      </c>
      <c r="AW597" s="15"/>
      <c r="AX597" s="15"/>
      <c r="AY597" s="27">
        <f t="shared" si="29"/>
        <v>3993</v>
      </c>
      <c r="AZ597" s="27">
        <f t="shared" si="30"/>
        <v>9951</v>
      </c>
    </row>
    <row r="598" spans="1:52" x14ac:dyDescent="0.25">
      <c r="A598" s="13">
        <v>979</v>
      </c>
      <c r="B598" s="19" t="s">
        <v>1254</v>
      </c>
      <c r="C598" s="26" t="s">
        <v>1255</v>
      </c>
      <c r="D598" s="19" t="s">
        <v>42</v>
      </c>
      <c r="E598" s="16">
        <v>10</v>
      </c>
      <c r="F598" s="16">
        <v>22</v>
      </c>
      <c r="G598" s="16"/>
      <c r="H598" s="16"/>
      <c r="I598" s="16"/>
      <c r="J598" s="16"/>
      <c r="K598" s="16"/>
      <c r="L598" s="16"/>
      <c r="M598" s="16"/>
      <c r="N598" s="16"/>
      <c r="O598" s="16"/>
      <c r="P598" s="16"/>
      <c r="Q598" s="16">
        <v>8</v>
      </c>
      <c r="R598" s="16">
        <v>18</v>
      </c>
      <c r="S598" s="16"/>
      <c r="T598" s="16"/>
      <c r="U598" s="16">
        <v>264</v>
      </c>
      <c r="V598" s="16">
        <v>660</v>
      </c>
      <c r="W598" s="16">
        <v>32</v>
      </c>
      <c r="X598" s="16">
        <v>80</v>
      </c>
      <c r="Y598" s="16"/>
      <c r="Z598" s="16"/>
      <c r="AA598" s="16"/>
      <c r="AB598" s="16"/>
      <c r="AC598" s="16"/>
      <c r="AD598" s="16"/>
      <c r="AE598" s="16">
        <v>96</v>
      </c>
      <c r="AF598" s="16">
        <v>240</v>
      </c>
      <c r="AG598" s="16"/>
      <c r="AH598" s="16"/>
      <c r="AI598" s="16"/>
      <c r="AJ598" s="16"/>
      <c r="AK598" s="16"/>
      <c r="AL598" s="16"/>
      <c r="AM598" s="16">
        <v>96</v>
      </c>
      <c r="AN598" s="16">
        <v>240</v>
      </c>
      <c r="AO598" s="15"/>
      <c r="AP598" s="15"/>
      <c r="AQ598" s="15"/>
      <c r="AR598" s="15"/>
      <c r="AS598" s="15">
        <v>608</v>
      </c>
      <c r="AT598" s="15">
        <v>1520</v>
      </c>
      <c r="AU598" s="15">
        <v>68</v>
      </c>
      <c r="AV598" s="15">
        <v>166</v>
      </c>
      <c r="AW598" s="15"/>
      <c r="AX598" s="15"/>
      <c r="AY598" s="27">
        <f t="shared" si="29"/>
        <v>1182</v>
      </c>
      <c r="AZ598" s="27">
        <f t="shared" si="30"/>
        <v>2946</v>
      </c>
    </row>
    <row r="599" spans="1:52" x14ac:dyDescent="0.25">
      <c r="A599" s="13">
        <v>980</v>
      </c>
      <c r="B599" s="19" t="s">
        <v>1256</v>
      </c>
      <c r="C599" s="26" t="s">
        <v>1257</v>
      </c>
      <c r="D599" s="19" t="s">
        <v>42</v>
      </c>
      <c r="E599" s="16"/>
      <c r="F599" s="16"/>
      <c r="G599" s="16"/>
      <c r="H599" s="16"/>
      <c r="I599" s="16"/>
      <c r="J599" s="16"/>
      <c r="K599" s="16"/>
      <c r="L599" s="16"/>
      <c r="M599" s="16"/>
      <c r="N599" s="16"/>
      <c r="O599" s="16">
        <v>85</v>
      </c>
      <c r="P599" s="16">
        <v>210</v>
      </c>
      <c r="Q599" s="16"/>
      <c r="R599" s="16"/>
      <c r="S599" s="16"/>
      <c r="T599" s="16"/>
      <c r="U599" s="16">
        <v>264</v>
      </c>
      <c r="V599" s="16">
        <v>660</v>
      </c>
      <c r="W599" s="16">
        <v>8</v>
      </c>
      <c r="X599" s="16">
        <v>18</v>
      </c>
      <c r="Y599" s="16">
        <v>40</v>
      </c>
      <c r="Z599" s="16">
        <v>100</v>
      </c>
      <c r="AA599" s="16"/>
      <c r="AB599" s="16"/>
      <c r="AC599" s="16">
        <v>9</v>
      </c>
      <c r="AD599" s="16">
        <v>17</v>
      </c>
      <c r="AE599" s="16">
        <v>288</v>
      </c>
      <c r="AF599" s="16">
        <v>720</v>
      </c>
      <c r="AG599" s="16">
        <v>8</v>
      </c>
      <c r="AH599" s="16">
        <v>20</v>
      </c>
      <c r="AI599" s="16">
        <v>64</v>
      </c>
      <c r="AJ599" s="16">
        <v>160</v>
      </c>
      <c r="AK599" s="16">
        <v>480</v>
      </c>
      <c r="AL599" s="16">
        <v>1200</v>
      </c>
      <c r="AM599" s="16">
        <v>144</v>
      </c>
      <c r="AN599" s="16">
        <v>360</v>
      </c>
      <c r="AO599" s="15"/>
      <c r="AP599" s="15"/>
      <c r="AQ599" s="15"/>
      <c r="AR599" s="15"/>
      <c r="AS599" s="15">
        <v>544</v>
      </c>
      <c r="AT599" s="15">
        <v>1360</v>
      </c>
      <c r="AU599" s="15"/>
      <c r="AV599" s="15"/>
      <c r="AW599" s="15"/>
      <c r="AX599" s="15"/>
      <c r="AY599" s="27">
        <f t="shared" si="29"/>
        <v>1934</v>
      </c>
      <c r="AZ599" s="27">
        <f t="shared" si="30"/>
        <v>4825</v>
      </c>
    </row>
    <row r="600" spans="1:52" x14ac:dyDescent="0.25">
      <c r="A600" s="13">
        <v>981</v>
      </c>
      <c r="B600" s="19" t="s">
        <v>1258</v>
      </c>
      <c r="C600" s="26" t="s">
        <v>1259</v>
      </c>
      <c r="D600" s="19" t="s">
        <v>42</v>
      </c>
      <c r="E600" s="16">
        <v>348</v>
      </c>
      <c r="F600" s="16">
        <v>868</v>
      </c>
      <c r="G600" s="16"/>
      <c r="H600" s="16"/>
      <c r="I600" s="16">
        <v>2600</v>
      </c>
      <c r="J600" s="16">
        <v>6500</v>
      </c>
      <c r="K600" s="16">
        <v>1724</v>
      </c>
      <c r="L600" s="16">
        <v>4302</v>
      </c>
      <c r="M600" s="16">
        <v>1021</v>
      </c>
      <c r="N600" s="16">
        <v>2548</v>
      </c>
      <c r="O600" s="16">
        <v>176</v>
      </c>
      <c r="P600" s="16">
        <v>434</v>
      </c>
      <c r="Q600" s="16"/>
      <c r="R600" s="16"/>
      <c r="S600" s="16">
        <v>4</v>
      </c>
      <c r="T600" s="16">
        <v>6</v>
      </c>
      <c r="U600" s="16">
        <v>2244</v>
      </c>
      <c r="V600" s="16">
        <v>5610</v>
      </c>
      <c r="W600" s="16">
        <v>108</v>
      </c>
      <c r="X600" s="16">
        <v>270</v>
      </c>
      <c r="Y600" s="16">
        <v>120</v>
      </c>
      <c r="Z600" s="16">
        <v>300</v>
      </c>
      <c r="AA600" s="16">
        <v>8</v>
      </c>
      <c r="AB600" s="16">
        <v>20</v>
      </c>
      <c r="AC600" s="16">
        <v>191</v>
      </c>
      <c r="AD600" s="16">
        <v>475</v>
      </c>
      <c r="AE600" s="16">
        <v>3840</v>
      </c>
      <c r="AF600" s="16">
        <v>9600</v>
      </c>
      <c r="AG600" s="16">
        <v>2535</v>
      </c>
      <c r="AH600" s="16">
        <v>6336</v>
      </c>
      <c r="AI600" s="16">
        <v>2416</v>
      </c>
      <c r="AJ600" s="16">
        <v>6040</v>
      </c>
      <c r="AK600" s="16">
        <v>8480</v>
      </c>
      <c r="AL600" s="16">
        <v>21196</v>
      </c>
      <c r="AM600" s="16">
        <v>3966</v>
      </c>
      <c r="AN600" s="16">
        <v>9912</v>
      </c>
      <c r="AO600" s="15">
        <v>252</v>
      </c>
      <c r="AP600" s="15">
        <v>630</v>
      </c>
      <c r="AQ600" s="15">
        <v>80</v>
      </c>
      <c r="AR600" s="15">
        <v>200</v>
      </c>
      <c r="AS600" s="15">
        <v>28848</v>
      </c>
      <c r="AT600" s="15">
        <v>72120</v>
      </c>
      <c r="AU600" s="15">
        <v>300</v>
      </c>
      <c r="AV600" s="15">
        <v>750</v>
      </c>
      <c r="AW600" s="15"/>
      <c r="AX600" s="15"/>
      <c r="AY600" s="27">
        <f t="shared" ref="AY600:AY612" si="31">SUM(E600+G600+I600+K600+M600+O600+Q600+S600+U600+W600+Y600+AA600+AC600+AE600+AG600+AI600+AK600+AM600+AO600+AQ600+AS600+AU600+AW600)</f>
        <v>59261</v>
      </c>
      <c r="AZ600" s="27">
        <f t="shared" ref="AZ600:AZ612" si="32">SUM(F600+H600+J600+L600+N600+P600+R600+T600+V600+X600+Z600+AB600+AD600+AF600+AH600+AJ600+AL600+AN600+AP600+AR600+AT600+AV600+AX600)</f>
        <v>148117</v>
      </c>
    </row>
    <row r="601" spans="1:52" x14ac:dyDescent="0.25">
      <c r="A601" s="13">
        <v>982</v>
      </c>
      <c r="B601" s="19" t="s">
        <v>1260</v>
      </c>
      <c r="C601" s="26" t="s">
        <v>1261</v>
      </c>
      <c r="D601" s="19" t="s">
        <v>42</v>
      </c>
      <c r="E601" s="16">
        <v>2</v>
      </c>
      <c r="F601" s="16">
        <v>4</v>
      </c>
      <c r="G601" s="16"/>
      <c r="H601" s="16"/>
      <c r="I601" s="16"/>
      <c r="J601" s="16"/>
      <c r="K601" s="16">
        <v>176</v>
      </c>
      <c r="L601" s="16">
        <v>440</v>
      </c>
      <c r="M601" s="16"/>
      <c r="N601" s="16"/>
      <c r="O601" s="16">
        <v>29</v>
      </c>
      <c r="P601" s="16">
        <v>70</v>
      </c>
      <c r="Q601" s="16"/>
      <c r="R601" s="16"/>
      <c r="S601" s="16"/>
      <c r="T601" s="16"/>
      <c r="U601" s="16">
        <v>572</v>
      </c>
      <c r="V601" s="16">
        <v>1430</v>
      </c>
      <c r="W601" s="16"/>
      <c r="X601" s="16"/>
      <c r="Y601" s="16"/>
      <c r="Z601" s="16"/>
      <c r="AA601" s="16"/>
      <c r="AB601" s="16"/>
      <c r="AC601" s="16"/>
      <c r="AD601" s="16"/>
      <c r="AE601" s="16">
        <v>194</v>
      </c>
      <c r="AF601" s="16">
        <v>481</v>
      </c>
      <c r="AG601" s="16">
        <v>20</v>
      </c>
      <c r="AH601" s="16">
        <v>50</v>
      </c>
      <c r="AI601" s="16">
        <v>832</v>
      </c>
      <c r="AJ601" s="16">
        <v>2080</v>
      </c>
      <c r="AK601" s="16">
        <v>2160</v>
      </c>
      <c r="AL601" s="16">
        <v>5400</v>
      </c>
      <c r="AM601" s="16">
        <v>30</v>
      </c>
      <c r="AN601" s="16">
        <v>72</v>
      </c>
      <c r="AO601" s="15"/>
      <c r="AP601" s="15"/>
      <c r="AQ601" s="15"/>
      <c r="AR601" s="15"/>
      <c r="AS601" s="15">
        <v>848</v>
      </c>
      <c r="AT601" s="15">
        <v>2120</v>
      </c>
      <c r="AU601" s="15"/>
      <c r="AV601" s="15"/>
      <c r="AW601" s="15"/>
      <c r="AX601" s="15"/>
      <c r="AY601" s="27">
        <f t="shared" si="31"/>
        <v>4863</v>
      </c>
      <c r="AZ601" s="27">
        <f t="shared" si="32"/>
        <v>12147</v>
      </c>
    </row>
    <row r="602" spans="1:52" x14ac:dyDescent="0.25">
      <c r="A602" s="13">
        <v>983</v>
      </c>
      <c r="B602" s="19" t="s">
        <v>1262</v>
      </c>
      <c r="C602" s="26" t="s">
        <v>1263</v>
      </c>
      <c r="D602" s="19" t="s">
        <v>42</v>
      </c>
      <c r="E602" s="16">
        <v>60</v>
      </c>
      <c r="F602" s="16">
        <v>150</v>
      </c>
      <c r="G602" s="16"/>
      <c r="H602" s="16"/>
      <c r="I602" s="16"/>
      <c r="J602" s="16"/>
      <c r="K602" s="16">
        <v>1246</v>
      </c>
      <c r="L602" s="16">
        <v>3112</v>
      </c>
      <c r="M602" s="16">
        <v>2466</v>
      </c>
      <c r="N602" s="16">
        <v>6158</v>
      </c>
      <c r="O602" s="16"/>
      <c r="P602" s="16"/>
      <c r="Q602" s="16"/>
      <c r="R602" s="16"/>
      <c r="S602" s="16"/>
      <c r="T602" s="16"/>
      <c r="U602" s="16">
        <v>18</v>
      </c>
      <c r="V602" s="16">
        <v>44</v>
      </c>
      <c r="W602" s="16"/>
      <c r="X602" s="16"/>
      <c r="Y602" s="16">
        <v>22</v>
      </c>
      <c r="Z602" s="16">
        <v>50</v>
      </c>
      <c r="AA602" s="16"/>
      <c r="AB602" s="16"/>
      <c r="AC602" s="16"/>
      <c r="AD602" s="16"/>
      <c r="AE602" s="16">
        <v>78</v>
      </c>
      <c r="AF602" s="16">
        <v>193</v>
      </c>
      <c r="AG602" s="16"/>
      <c r="AH602" s="16"/>
      <c r="AI602" s="16">
        <v>100</v>
      </c>
      <c r="AJ602" s="16">
        <v>250</v>
      </c>
      <c r="AK602" s="16"/>
      <c r="AL602" s="16"/>
      <c r="AM602" s="16">
        <v>40</v>
      </c>
      <c r="AN602" s="16">
        <v>96</v>
      </c>
      <c r="AO602" s="15">
        <v>280</v>
      </c>
      <c r="AP602" s="15">
        <v>700</v>
      </c>
      <c r="AQ602" s="15"/>
      <c r="AR602" s="15"/>
      <c r="AS602" s="15">
        <v>32</v>
      </c>
      <c r="AT602" s="15">
        <v>80</v>
      </c>
      <c r="AU602" s="15"/>
      <c r="AV602" s="15"/>
      <c r="AW602" s="15"/>
      <c r="AX602" s="15"/>
      <c r="AY602" s="27">
        <f t="shared" si="31"/>
        <v>4342</v>
      </c>
      <c r="AZ602" s="27">
        <f t="shared" si="32"/>
        <v>10833</v>
      </c>
    </row>
    <row r="603" spans="1:52" x14ac:dyDescent="0.25">
      <c r="A603" s="13">
        <v>984</v>
      </c>
      <c r="B603" s="19" t="s">
        <v>1264</v>
      </c>
      <c r="C603" s="26" t="s">
        <v>1265</v>
      </c>
      <c r="D603" s="19" t="s">
        <v>42</v>
      </c>
      <c r="E603" s="16"/>
      <c r="F603" s="16"/>
      <c r="G603" s="16"/>
      <c r="H603" s="16"/>
      <c r="I603" s="16">
        <v>620</v>
      </c>
      <c r="J603" s="16">
        <v>1550</v>
      </c>
      <c r="K603" s="16">
        <v>848</v>
      </c>
      <c r="L603" s="16">
        <v>2114</v>
      </c>
      <c r="M603" s="16"/>
      <c r="N603" s="16"/>
      <c r="O603" s="16">
        <v>100</v>
      </c>
      <c r="P603" s="16">
        <v>245</v>
      </c>
      <c r="Q603" s="16"/>
      <c r="R603" s="16"/>
      <c r="S603" s="16"/>
      <c r="T603" s="16"/>
      <c r="U603" s="16">
        <v>968</v>
      </c>
      <c r="V603" s="16">
        <v>2420</v>
      </c>
      <c r="W603" s="16">
        <v>15</v>
      </c>
      <c r="X603" s="16">
        <v>36</v>
      </c>
      <c r="Y603" s="16">
        <v>58</v>
      </c>
      <c r="Z603" s="16">
        <v>142</v>
      </c>
      <c r="AA603" s="16"/>
      <c r="AB603" s="16"/>
      <c r="AC603" s="16">
        <v>18</v>
      </c>
      <c r="AD603" s="16">
        <v>42</v>
      </c>
      <c r="AE603" s="16">
        <v>194</v>
      </c>
      <c r="AF603" s="16">
        <v>481</v>
      </c>
      <c r="AG603" s="16">
        <v>2</v>
      </c>
      <c r="AH603" s="16">
        <v>4</v>
      </c>
      <c r="AI603" s="16">
        <v>408</v>
      </c>
      <c r="AJ603" s="16">
        <v>1020</v>
      </c>
      <c r="AK603" s="16">
        <v>4421</v>
      </c>
      <c r="AL603" s="16">
        <v>11052</v>
      </c>
      <c r="AM603" s="16">
        <v>144</v>
      </c>
      <c r="AN603" s="16">
        <v>360</v>
      </c>
      <c r="AO603" s="15"/>
      <c r="AP603" s="15"/>
      <c r="AQ603" s="15"/>
      <c r="AR603" s="15"/>
      <c r="AS603" s="15"/>
      <c r="AT603" s="15"/>
      <c r="AU603" s="15">
        <v>40</v>
      </c>
      <c r="AV603" s="15">
        <v>100</v>
      </c>
      <c r="AW603" s="15"/>
      <c r="AX603" s="15"/>
      <c r="AY603" s="27">
        <f t="shared" si="31"/>
        <v>7836</v>
      </c>
      <c r="AZ603" s="27">
        <f t="shared" si="32"/>
        <v>19566</v>
      </c>
    </row>
    <row r="604" spans="1:52" x14ac:dyDescent="0.25">
      <c r="A604" s="13">
        <v>991</v>
      </c>
      <c r="B604" s="19" t="s">
        <v>1266</v>
      </c>
      <c r="C604" s="26" t="s">
        <v>1267</v>
      </c>
      <c r="D604" s="19" t="s">
        <v>42</v>
      </c>
      <c r="E604" s="16"/>
      <c r="F604" s="16"/>
      <c r="G604" s="16">
        <v>802</v>
      </c>
      <c r="H604" s="16">
        <v>2002</v>
      </c>
      <c r="I604" s="16"/>
      <c r="J604" s="16"/>
      <c r="K604" s="16">
        <v>1040</v>
      </c>
      <c r="L604" s="16">
        <v>2600</v>
      </c>
      <c r="M604" s="16">
        <v>436</v>
      </c>
      <c r="N604" s="16">
        <v>1090</v>
      </c>
      <c r="O604" s="16">
        <v>560</v>
      </c>
      <c r="P604" s="16">
        <v>1400</v>
      </c>
      <c r="Q604" s="16"/>
      <c r="R604" s="16"/>
      <c r="S604" s="16">
        <v>5</v>
      </c>
      <c r="T604" s="16">
        <v>10</v>
      </c>
      <c r="U604" s="16">
        <v>420</v>
      </c>
      <c r="V604" s="16">
        <v>1050</v>
      </c>
      <c r="W604" s="16">
        <v>216</v>
      </c>
      <c r="X604" s="16">
        <v>540</v>
      </c>
      <c r="Y604" s="16">
        <v>400</v>
      </c>
      <c r="Z604" s="16">
        <v>1000</v>
      </c>
      <c r="AA604" s="16"/>
      <c r="AB604" s="16"/>
      <c r="AC604" s="16">
        <v>308</v>
      </c>
      <c r="AD604" s="16">
        <v>770</v>
      </c>
      <c r="AE604" s="16">
        <v>960</v>
      </c>
      <c r="AF604" s="16">
        <v>2400</v>
      </c>
      <c r="AG604" s="16"/>
      <c r="AH604" s="16"/>
      <c r="AI604" s="16">
        <v>2040</v>
      </c>
      <c r="AJ604" s="16">
        <v>5100</v>
      </c>
      <c r="AK604" s="16"/>
      <c r="AL604" s="16"/>
      <c r="AM604" s="16"/>
      <c r="AN604" s="16"/>
      <c r="AO604" s="15"/>
      <c r="AP604" s="15"/>
      <c r="AQ604" s="15"/>
      <c r="AR604" s="15"/>
      <c r="AS604" s="15"/>
      <c r="AT604" s="15"/>
      <c r="AU604" s="15">
        <v>800</v>
      </c>
      <c r="AV604" s="15">
        <v>2000</v>
      </c>
      <c r="AW604" s="15">
        <v>4</v>
      </c>
      <c r="AX604" s="15">
        <v>6</v>
      </c>
      <c r="AY604" s="27">
        <f t="shared" si="31"/>
        <v>7991</v>
      </c>
      <c r="AZ604" s="27">
        <f t="shared" si="32"/>
        <v>19968</v>
      </c>
    </row>
    <row r="605" spans="1:52" x14ac:dyDescent="0.25">
      <c r="A605" s="13">
        <v>992</v>
      </c>
      <c r="B605" s="19" t="s">
        <v>1268</v>
      </c>
      <c r="C605" s="26" t="s">
        <v>1269</v>
      </c>
      <c r="D605" s="19" t="s">
        <v>42</v>
      </c>
      <c r="E605" s="16"/>
      <c r="F605" s="16"/>
      <c r="G605" s="16">
        <v>800</v>
      </c>
      <c r="H605" s="16">
        <v>2000</v>
      </c>
      <c r="I605" s="16"/>
      <c r="J605" s="16"/>
      <c r="K605" s="16">
        <v>120</v>
      </c>
      <c r="L605" s="16">
        <v>300</v>
      </c>
      <c r="M605" s="16"/>
      <c r="N605" s="16"/>
      <c r="O605" s="16"/>
      <c r="P605" s="16"/>
      <c r="Q605" s="16"/>
      <c r="R605" s="16"/>
      <c r="S605" s="16">
        <v>3</v>
      </c>
      <c r="T605" s="16">
        <v>6</v>
      </c>
      <c r="U605" s="16"/>
      <c r="V605" s="16"/>
      <c r="W605" s="16">
        <v>216</v>
      </c>
      <c r="X605" s="16">
        <v>540</v>
      </c>
      <c r="Y605" s="16">
        <v>172</v>
      </c>
      <c r="Z605" s="16">
        <v>430</v>
      </c>
      <c r="AA605" s="16"/>
      <c r="AB605" s="16"/>
      <c r="AC605" s="16"/>
      <c r="AD605" s="16"/>
      <c r="AE605" s="16">
        <v>51</v>
      </c>
      <c r="AF605" s="16">
        <v>121</v>
      </c>
      <c r="AG605" s="16"/>
      <c r="AH605" s="16"/>
      <c r="AI605" s="16">
        <v>480</v>
      </c>
      <c r="AJ605" s="16">
        <v>1200</v>
      </c>
      <c r="AK605" s="16"/>
      <c r="AL605" s="16"/>
      <c r="AM605" s="16"/>
      <c r="AN605" s="16"/>
      <c r="AO605" s="15"/>
      <c r="AP605" s="15"/>
      <c r="AQ605" s="15"/>
      <c r="AR605" s="15"/>
      <c r="AS605" s="15"/>
      <c r="AT605" s="15"/>
      <c r="AU605" s="15"/>
      <c r="AV605" s="15"/>
      <c r="AW605" s="15"/>
      <c r="AX605" s="15"/>
      <c r="AY605" s="27">
        <f t="shared" si="31"/>
        <v>1842</v>
      </c>
      <c r="AZ605" s="27">
        <f t="shared" si="32"/>
        <v>4597</v>
      </c>
    </row>
    <row r="606" spans="1:52" x14ac:dyDescent="0.25">
      <c r="A606" s="13">
        <v>993</v>
      </c>
      <c r="B606" s="19" t="s">
        <v>1270</v>
      </c>
      <c r="C606" s="26" t="s">
        <v>1271</v>
      </c>
      <c r="D606" s="19" t="s">
        <v>42</v>
      </c>
      <c r="E606" s="16"/>
      <c r="F606" s="16"/>
      <c r="G606" s="16"/>
      <c r="H606" s="16"/>
      <c r="I606" s="16">
        <v>1080</v>
      </c>
      <c r="J606" s="16">
        <v>2700</v>
      </c>
      <c r="K606" s="16">
        <v>936</v>
      </c>
      <c r="L606" s="16">
        <v>2340</v>
      </c>
      <c r="M606" s="16">
        <v>398</v>
      </c>
      <c r="N606" s="16">
        <v>992</v>
      </c>
      <c r="O606" s="16">
        <v>174</v>
      </c>
      <c r="P606" s="16">
        <v>434</v>
      </c>
      <c r="Q606" s="16">
        <v>16</v>
      </c>
      <c r="R606" s="16">
        <v>38</v>
      </c>
      <c r="S606" s="16">
        <v>5</v>
      </c>
      <c r="T606" s="16">
        <v>10</v>
      </c>
      <c r="U606" s="16">
        <v>704</v>
      </c>
      <c r="V606" s="16">
        <v>1760</v>
      </c>
      <c r="W606" s="16">
        <v>576</v>
      </c>
      <c r="X606" s="16">
        <v>1440</v>
      </c>
      <c r="Y606" s="16">
        <v>408</v>
      </c>
      <c r="Z606" s="16">
        <v>1016</v>
      </c>
      <c r="AA606" s="16">
        <v>48</v>
      </c>
      <c r="AB606" s="16">
        <v>120</v>
      </c>
      <c r="AC606" s="16">
        <v>234</v>
      </c>
      <c r="AD606" s="16">
        <v>583</v>
      </c>
      <c r="AE606" s="16">
        <v>240</v>
      </c>
      <c r="AF606" s="16">
        <v>600</v>
      </c>
      <c r="AG606" s="16"/>
      <c r="AH606" s="16"/>
      <c r="AI606" s="16">
        <v>736</v>
      </c>
      <c r="AJ606" s="16">
        <v>1840</v>
      </c>
      <c r="AK606" s="16"/>
      <c r="AL606" s="16"/>
      <c r="AM606" s="16"/>
      <c r="AN606" s="16"/>
      <c r="AO606" s="15"/>
      <c r="AP606" s="15"/>
      <c r="AQ606" s="15"/>
      <c r="AR606" s="15"/>
      <c r="AS606" s="15"/>
      <c r="AT606" s="15"/>
      <c r="AU606" s="15"/>
      <c r="AV606" s="15"/>
      <c r="AW606" s="15"/>
      <c r="AX606" s="15"/>
      <c r="AY606" s="27">
        <f t="shared" si="31"/>
        <v>5555</v>
      </c>
      <c r="AZ606" s="27">
        <f t="shared" si="32"/>
        <v>13873</v>
      </c>
    </row>
    <row r="607" spans="1:52" x14ac:dyDescent="0.25">
      <c r="A607" s="13">
        <v>994</v>
      </c>
      <c r="B607" s="19" t="s">
        <v>1272</v>
      </c>
      <c r="C607" s="26" t="s">
        <v>1273</v>
      </c>
      <c r="D607" s="19" t="s">
        <v>42</v>
      </c>
      <c r="E607" s="16"/>
      <c r="F607" s="16"/>
      <c r="G607" s="16"/>
      <c r="H607" s="16"/>
      <c r="I607" s="16"/>
      <c r="J607" s="16"/>
      <c r="K607" s="16">
        <v>920</v>
      </c>
      <c r="L607" s="16">
        <v>2300</v>
      </c>
      <c r="M607" s="16">
        <v>256</v>
      </c>
      <c r="N607" s="16">
        <v>640</v>
      </c>
      <c r="O607" s="16">
        <v>41</v>
      </c>
      <c r="P607" s="16">
        <v>98</v>
      </c>
      <c r="Q607" s="16"/>
      <c r="R607" s="16"/>
      <c r="S607" s="16"/>
      <c r="T607" s="16"/>
      <c r="U607" s="16">
        <v>62</v>
      </c>
      <c r="V607" s="16">
        <v>154</v>
      </c>
      <c r="W607" s="16">
        <v>72</v>
      </c>
      <c r="X607" s="16">
        <v>180</v>
      </c>
      <c r="Y607" s="16">
        <v>480</v>
      </c>
      <c r="Z607" s="16">
        <v>1200</v>
      </c>
      <c r="AA607" s="16"/>
      <c r="AB607" s="16"/>
      <c r="AC607" s="16"/>
      <c r="AD607" s="16"/>
      <c r="AE607" s="16">
        <v>194</v>
      </c>
      <c r="AF607" s="16">
        <v>481</v>
      </c>
      <c r="AG607" s="16"/>
      <c r="AH607" s="16"/>
      <c r="AI607" s="16">
        <v>4</v>
      </c>
      <c r="AJ607" s="16">
        <v>10</v>
      </c>
      <c r="AK607" s="16"/>
      <c r="AL607" s="16"/>
      <c r="AM607" s="16"/>
      <c r="AN607" s="16"/>
      <c r="AO607" s="15"/>
      <c r="AP607" s="15"/>
      <c r="AQ607" s="15"/>
      <c r="AR607" s="15"/>
      <c r="AS607" s="15"/>
      <c r="AT607" s="15"/>
      <c r="AU607" s="15"/>
      <c r="AV607" s="15"/>
      <c r="AW607" s="15"/>
      <c r="AX607" s="15"/>
      <c r="AY607" s="27">
        <f t="shared" si="31"/>
        <v>2029</v>
      </c>
      <c r="AZ607" s="27">
        <f t="shared" si="32"/>
        <v>5063</v>
      </c>
    </row>
    <row r="608" spans="1:52" x14ac:dyDescent="0.25">
      <c r="A608" s="13">
        <v>995</v>
      </c>
      <c r="B608" s="19" t="s">
        <v>1274</v>
      </c>
      <c r="C608" s="26" t="s">
        <v>1275</v>
      </c>
      <c r="D608" s="19" t="s">
        <v>42</v>
      </c>
      <c r="E608" s="16"/>
      <c r="F608" s="16"/>
      <c r="G608" s="16"/>
      <c r="H608" s="16"/>
      <c r="I608" s="16"/>
      <c r="J608" s="16"/>
      <c r="K608" s="16">
        <v>920</v>
      </c>
      <c r="L608" s="16">
        <v>2300</v>
      </c>
      <c r="M608" s="16">
        <v>256</v>
      </c>
      <c r="N608" s="16">
        <v>640</v>
      </c>
      <c r="O608" s="16">
        <v>41</v>
      </c>
      <c r="P608" s="16">
        <v>98</v>
      </c>
      <c r="Q608" s="16"/>
      <c r="R608" s="16"/>
      <c r="S608" s="16"/>
      <c r="T608" s="16"/>
      <c r="U608" s="16">
        <v>62</v>
      </c>
      <c r="V608" s="16">
        <v>154</v>
      </c>
      <c r="W608" s="16">
        <v>72</v>
      </c>
      <c r="X608" s="16">
        <v>180</v>
      </c>
      <c r="Y608" s="16">
        <v>480</v>
      </c>
      <c r="Z608" s="16">
        <v>1200</v>
      </c>
      <c r="AA608" s="16"/>
      <c r="AB608" s="16"/>
      <c r="AC608" s="16"/>
      <c r="AD608" s="16"/>
      <c r="AE608" s="16">
        <v>578</v>
      </c>
      <c r="AF608" s="16">
        <v>1441</v>
      </c>
      <c r="AG608" s="16"/>
      <c r="AH608" s="16"/>
      <c r="AI608" s="16">
        <v>4</v>
      </c>
      <c r="AJ608" s="16">
        <v>10</v>
      </c>
      <c r="AK608" s="16"/>
      <c r="AL608" s="16"/>
      <c r="AM608" s="16"/>
      <c r="AN608" s="16"/>
      <c r="AO608" s="15"/>
      <c r="AP608" s="15"/>
      <c r="AQ608" s="15"/>
      <c r="AR608" s="15"/>
      <c r="AS608" s="15"/>
      <c r="AT608" s="15"/>
      <c r="AU608" s="15"/>
      <c r="AV608" s="15"/>
      <c r="AW608" s="15"/>
      <c r="AX608" s="15"/>
      <c r="AY608" s="27">
        <f t="shared" si="31"/>
        <v>2413</v>
      </c>
      <c r="AZ608" s="27">
        <f t="shared" si="32"/>
        <v>6023</v>
      </c>
    </row>
    <row r="609" spans="1:52" x14ac:dyDescent="0.25">
      <c r="A609" s="13">
        <v>996</v>
      </c>
      <c r="B609" s="19" t="s">
        <v>1276</v>
      </c>
      <c r="C609" s="26" t="s">
        <v>1277</v>
      </c>
      <c r="D609" s="19" t="s">
        <v>42</v>
      </c>
      <c r="E609" s="16"/>
      <c r="F609" s="16"/>
      <c r="G609" s="16"/>
      <c r="H609" s="16"/>
      <c r="I609" s="16"/>
      <c r="J609" s="16"/>
      <c r="K609" s="16">
        <v>520</v>
      </c>
      <c r="L609" s="16">
        <v>1300</v>
      </c>
      <c r="M609" s="16"/>
      <c r="N609" s="16"/>
      <c r="O609" s="16">
        <v>41</v>
      </c>
      <c r="P609" s="16">
        <v>98</v>
      </c>
      <c r="Q609" s="16"/>
      <c r="R609" s="16"/>
      <c r="S609" s="16"/>
      <c r="T609" s="16"/>
      <c r="U609" s="16">
        <v>62</v>
      </c>
      <c r="V609" s="16">
        <v>154</v>
      </c>
      <c r="W609" s="16">
        <v>72</v>
      </c>
      <c r="X609" s="16">
        <v>180</v>
      </c>
      <c r="Y609" s="16">
        <v>480</v>
      </c>
      <c r="Z609" s="16">
        <v>1200</v>
      </c>
      <c r="AA609" s="16"/>
      <c r="AB609" s="16"/>
      <c r="AC609" s="16"/>
      <c r="AD609" s="16"/>
      <c r="AE609" s="16">
        <v>578</v>
      </c>
      <c r="AF609" s="16">
        <v>1441</v>
      </c>
      <c r="AG609" s="16"/>
      <c r="AH609" s="16"/>
      <c r="AI609" s="16">
        <v>4</v>
      </c>
      <c r="AJ609" s="16">
        <v>10</v>
      </c>
      <c r="AK609" s="16"/>
      <c r="AL609" s="16"/>
      <c r="AM609" s="16"/>
      <c r="AN609" s="16"/>
      <c r="AO609" s="15"/>
      <c r="AP609" s="15"/>
      <c r="AQ609" s="15"/>
      <c r="AR609" s="15"/>
      <c r="AS609" s="15"/>
      <c r="AT609" s="15"/>
      <c r="AU609" s="15"/>
      <c r="AV609" s="15"/>
      <c r="AW609" s="15"/>
      <c r="AX609" s="15"/>
      <c r="AY609" s="27">
        <f t="shared" si="31"/>
        <v>1757</v>
      </c>
      <c r="AZ609" s="27">
        <f t="shared" si="32"/>
        <v>4383</v>
      </c>
    </row>
    <row r="610" spans="1:52" x14ac:dyDescent="0.25">
      <c r="A610" s="13">
        <v>997</v>
      </c>
      <c r="B610" s="19" t="s">
        <v>1278</v>
      </c>
      <c r="C610" s="26" t="s">
        <v>1279</v>
      </c>
      <c r="D610" s="19" t="s">
        <v>42</v>
      </c>
      <c r="E610" s="16"/>
      <c r="F610" s="16"/>
      <c r="G610" s="16"/>
      <c r="H610" s="16"/>
      <c r="I610" s="16"/>
      <c r="J610" s="16"/>
      <c r="K610" s="16">
        <v>520</v>
      </c>
      <c r="L610" s="16">
        <v>1300</v>
      </c>
      <c r="M610" s="16">
        <v>80</v>
      </c>
      <c r="N610" s="16">
        <v>196</v>
      </c>
      <c r="O610" s="16">
        <v>86</v>
      </c>
      <c r="P610" s="16">
        <v>210</v>
      </c>
      <c r="Q610" s="16"/>
      <c r="R610" s="16"/>
      <c r="S610" s="16"/>
      <c r="T610" s="16"/>
      <c r="U610" s="16">
        <v>18</v>
      </c>
      <c r="V610" s="16">
        <v>44</v>
      </c>
      <c r="W610" s="16">
        <v>10</v>
      </c>
      <c r="X610" s="16">
        <v>24</v>
      </c>
      <c r="Y610" s="16"/>
      <c r="Z610" s="16"/>
      <c r="AA610" s="16"/>
      <c r="AB610" s="16"/>
      <c r="AC610" s="16"/>
      <c r="AD610" s="16"/>
      <c r="AE610" s="16">
        <v>386</v>
      </c>
      <c r="AF610" s="16">
        <v>961</v>
      </c>
      <c r="AG610" s="16"/>
      <c r="AH610" s="16"/>
      <c r="AI610" s="16">
        <v>64</v>
      </c>
      <c r="AJ610" s="16">
        <v>160</v>
      </c>
      <c r="AK610" s="16"/>
      <c r="AL610" s="16"/>
      <c r="AM610" s="16"/>
      <c r="AN610" s="16"/>
      <c r="AO610" s="15">
        <v>12</v>
      </c>
      <c r="AP610" s="15">
        <v>28</v>
      </c>
      <c r="AQ610" s="15"/>
      <c r="AR610" s="15"/>
      <c r="AS610" s="15"/>
      <c r="AT610" s="15"/>
      <c r="AU610" s="15"/>
      <c r="AV610" s="15"/>
      <c r="AW610" s="15"/>
      <c r="AX610" s="15"/>
      <c r="AY610" s="27">
        <f t="shared" si="31"/>
        <v>1176</v>
      </c>
      <c r="AZ610" s="27">
        <f t="shared" si="32"/>
        <v>2923</v>
      </c>
    </row>
    <row r="611" spans="1:52" x14ac:dyDescent="0.25">
      <c r="A611" s="13">
        <v>998</v>
      </c>
      <c r="B611" s="19" t="s">
        <v>1280</v>
      </c>
      <c r="C611" s="26" t="s">
        <v>1281</v>
      </c>
      <c r="D611" s="19" t="s">
        <v>42</v>
      </c>
      <c r="E611" s="16"/>
      <c r="F611" s="16"/>
      <c r="G611" s="16"/>
      <c r="H611" s="16"/>
      <c r="I611" s="16"/>
      <c r="J611" s="16"/>
      <c r="K611" s="16">
        <v>480</v>
      </c>
      <c r="L611" s="16">
        <v>1200</v>
      </c>
      <c r="M611" s="16">
        <v>80</v>
      </c>
      <c r="N611" s="16">
        <v>196</v>
      </c>
      <c r="O611" s="16">
        <v>86</v>
      </c>
      <c r="P611" s="16">
        <v>210</v>
      </c>
      <c r="Q611" s="16"/>
      <c r="R611" s="16"/>
      <c r="S611" s="16"/>
      <c r="T611" s="16"/>
      <c r="U611" s="16">
        <v>18</v>
      </c>
      <c r="V611" s="16">
        <v>44</v>
      </c>
      <c r="W611" s="16">
        <v>10</v>
      </c>
      <c r="X611" s="16">
        <v>24</v>
      </c>
      <c r="Y611" s="16"/>
      <c r="Z611" s="16"/>
      <c r="AA611" s="16"/>
      <c r="AB611" s="16"/>
      <c r="AC611" s="16"/>
      <c r="AD611" s="16"/>
      <c r="AE611" s="16">
        <v>194</v>
      </c>
      <c r="AF611" s="16">
        <v>481</v>
      </c>
      <c r="AG611" s="16"/>
      <c r="AH611" s="16"/>
      <c r="AI611" s="16">
        <v>34</v>
      </c>
      <c r="AJ611" s="16">
        <v>85</v>
      </c>
      <c r="AK611" s="16"/>
      <c r="AL611" s="16"/>
      <c r="AM611" s="16"/>
      <c r="AN611" s="16"/>
      <c r="AO611" s="15"/>
      <c r="AP611" s="15"/>
      <c r="AQ611" s="15"/>
      <c r="AR611" s="15"/>
      <c r="AS611" s="15"/>
      <c r="AT611" s="15"/>
      <c r="AU611" s="15"/>
      <c r="AV611" s="15"/>
      <c r="AW611" s="15"/>
      <c r="AX611" s="15"/>
      <c r="AY611" s="27">
        <f t="shared" si="31"/>
        <v>902</v>
      </c>
      <c r="AZ611" s="27">
        <f t="shared" si="32"/>
        <v>2240</v>
      </c>
    </row>
    <row r="612" spans="1:52" x14ac:dyDescent="0.25">
      <c r="A612" s="13">
        <v>1001</v>
      </c>
      <c r="B612" s="19" t="s">
        <v>1282</v>
      </c>
      <c r="C612" s="26" t="s">
        <v>1283</v>
      </c>
      <c r="D612" s="19" t="s">
        <v>43</v>
      </c>
      <c r="E612" s="16">
        <v>2</v>
      </c>
      <c r="F612" s="16">
        <v>4</v>
      </c>
      <c r="G612" s="16"/>
      <c r="H612" s="16"/>
      <c r="I612" s="16">
        <v>2400</v>
      </c>
      <c r="J612" s="16">
        <v>6000</v>
      </c>
      <c r="K612" s="16">
        <v>512</v>
      </c>
      <c r="L612" s="16">
        <v>1278</v>
      </c>
      <c r="M612" s="16"/>
      <c r="N612" s="16"/>
      <c r="O612" s="16">
        <v>57</v>
      </c>
      <c r="P612" s="16">
        <v>140</v>
      </c>
      <c r="Q612" s="16"/>
      <c r="R612" s="16"/>
      <c r="S612" s="16"/>
      <c r="T612" s="16"/>
      <c r="U612" s="16">
        <v>940</v>
      </c>
      <c r="V612" s="16">
        <v>2350</v>
      </c>
      <c r="W612" s="16">
        <v>36</v>
      </c>
      <c r="X612" s="16">
        <v>90</v>
      </c>
      <c r="Y612" s="16">
        <v>24</v>
      </c>
      <c r="Z612" s="16">
        <v>60</v>
      </c>
      <c r="AA612" s="16"/>
      <c r="AB612" s="16"/>
      <c r="AC612" s="16"/>
      <c r="AD612" s="16"/>
      <c r="AE612" s="16">
        <v>98</v>
      </c>
      <c r="AF612" s="16">
        <v>241</v>
      </c>
      <c r="AG612" s="16">
        <v>1960</v>
      </c>
      <c r="AH612" s="16">
        <v>4900</v>
      </c>
      <c r="AI612" s="16">
        <v>4</v>
      </c>
      <c r="AJ612" s="16">
        <v>8</v>
      </c>
      <c r="AK612" s="16">
        <v>1932</v>
      </c>
      <c r="AL612" s="16">
        <v>4830</v>
      </c>
      <c r="AM612" s="16">
        <v>1038</v>
      </c>
      <c r="AN612" s="16">
        <v>2592</v>
      </c>
      <c r="AO612" s="15"/>
      <c r="AP612" s="15"/>
      <c r="AQ612" s="15">
        <v>26</v>
      </c>
      <c r="AR612" s="15">
        <v>62</v>
      </c>
      <c r="AS612" s="15">
        <v>1840</v>
      </c>
      <c r="AT612" s="15">
        <v>4600</v>
      </c>
      <c r="AU612" s="15">
        <v>254</v>
      </c>
      <c r="AV612" s="15">
        <v>632</v>
      </c>
      <c r="AW612" s="15"/>
      <c r="AX612" s="15"/>
      <c r="AY612" s="27">
        <f t="shared" si="31"/>
        <v>11123</v>
      </c>
      <c r="AZ612" s="27">
        <f t="shared" si="32"/>
        <v>27787</v>
      </c>
    </row>
  </sheetData>
  <autoFilter ref="A3:AZ407" xr:uid="{00000000-0009-0000-0000-000001000000}"/>
  <mergeCells count="24">
    <mergeCell ref="AY2:AZ2"/>
    <mergeCell ref="AS2:AT2"/>
    <mergeCell ref="AU2:AV2"/>
    <mergeCell ref="AW2:AX2"/>
    <mergeCell ref="AI2:AJ2"/>
    <mergeCell ref="AK2:AL2"/>
    <mergeCell ref="AM2:AN2"/>
    <mergeCell ref="AO2:AP2"/>
    <mergeCell ref="AQ2:AR2"/>
    <mergeCell ref="AA2:AB2"/>
    <mergeCell ref="AC2:AD2"/>
    <mergeCell ref="AE2:AF2"/>
    <mergeCell ref="AG2:AH2"/>
    <mergeCell ref="E2:F2"/>
    <mergeCell ref="Q2:R2"/>
    <mergeCell ref="S2:T2"/>
    <mergeCell ref="U2:V2"/>
    <mergeCell ref="W2:X2"/>
    <mergeCell ref="Y2:Z2"/>
    <mergeCell ref="G2:H2"/>
    <mergeCell ref="I2:J2"/>
    <mergeCell ref="K2:L2"/>
    <mergeCell ref="M2:N2"/>
    <mergeCell ref="O2:P2"/>
  </mergeCells>
  <conditionalFormatting sqref="B1:B2">
    <cfRule type="duplicateValues" dxfId="2" priority="5"/>
  </conditionalFormatting>
  <conditionalFormatting sqref="B3">
    <cfRule type="duplicateValues" dxfId="1" priority="2"/>
  </conditionalFormatting>
  <conditionalFormatting sqref="B4">
    <cfRule type="duplicateValues" dxfId="0" priority="1"/>
  </conditionalFormatting>
  <printOptions horizontalCentered="1"/>
  <pageMargins left="0.70866141732283472" right="0.70866141732283472" top="0.74803149606299213" bottom="0.74803149606299213" header="0.31496062992125984" footer="0.31496062992125984"/>
  <pageSetup scale="40" fitToWidth="2" fitToHeight="0" orientation="landscape" r:id="rId1"/>
  <headerFooter>
    <oddFooter>&amp;C&amp;P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 Demanda Agregada</vt:lpstr>
      <vt:lpstr>1.1 Detalle CCINSHAE</vt:lpstr>
      <vt:lpstr>'1 Demanda Agregada'!Print_Titles</vt:lpstr>
      <vt:lpstr>'1.1 Detalle CCINSHAE'!Print_Titles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MVS</dc:creator>
  <cp:lastModifiedBy>Jorge Armando Cuaxospa Jiménez</cp:lastModifiedBy>
  <cp:lastPrinted>2021-10-07T18:29:45Z</cp:lastPrinted>
  <dcterms:created xsi:type="dcterms:W3CDTF">2021-09-30T20:19:07Z</dcterms:created>
  <dcterms:modified xsi:type="dcterms:W3CDTF">2024-02-16T03:40:01Z</dcterms:modified>
</cp:coreProperties>
</file>